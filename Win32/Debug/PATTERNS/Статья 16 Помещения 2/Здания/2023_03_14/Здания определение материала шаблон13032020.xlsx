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Tokyo\Cadastral_Valuation\Win32\PATTERNS\Здания\2023_03_14\"/>
    </mc:Choice>
  </mc:AlternateContent>
  <xr:revisionPtr revIDLastSave="0" documentId="13_ncr:1_{1DB072F1-0FEB-4AE7-9FD0-C9E1D62960F8}" xr6:coauthVersionLast="45" xr6:coauthVersionMax="45" xr10:uidLastSave="{00000000-0000-0000-0000-000000000000}"/>
  <bookViews>
    <workbookView xWindow="4665" yWindow="2940" windowWidth="18900" windowHeight="11055" xr2:uid="{00000000-000D-0000-FFFF-FFFF00000000}"/>
  </bookViews>
  <sheets>
    <sheet name="Здания" sheetId="1" r:id="rId1"/>
    <sheet name="Лист2" sheetId="2" r:id="rId2"/>
  </sheets>
  <definedNames>
    <definedName name="_FilterDatabase" localSheetId="0" hidden="1">Здания!$A$1:$L$4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97" i="1" l="1"/>
  <c r="L3497" i="1"/>
  <c r="K3497" i="1"/>
  <c r="J3497" i="1"/>
  <c r="I3497" i="1"/>
  <c r="M3496" i="1"/>
  <c r="L3496" i="1"/>
  <c r="J3496" i="1"/>
  <c r="K3496" i="1" s="1"/>
  <c r="I3496" i="1"/>
  <c r="M3495" i="1"/>
  <c r="J3495" i="1"/>
  <c r="K3495" i="1" s="1"/>
  <c r="I3495" i="1"/>
  <c r="L3495" i="1" s="1"/>
  <c r="M3494" i="1"/>
  <c r="J3494" i="1"/>
  <c r="K3494" i="1" s="1"/>
  <c r="I3494" i="1"/>
  <c r="L3494" i="1" s="1"/>
  <c r="M3493" i="1"/>
  <c r="L3493" i="1"/>
  <c r="K3493" i="1"/>
  <c r="J3493" i="1"/>
  <c r="I3493" i="1"/>
  <c r="M3492" i="1"/>
  <c r="L3492" i="1"/>
  <c r="J3492" i="1"/>
  <c r="K3492" i="1" s="1"/>
  <c r="I3492" i="1"/>
  <c r="M3491" i="1"/>
  <c r="J3491" i="1"/>
  <c r="K3491" i="1" s="1"/>
  <c r="I3491" i="1"/>
  <c r="L3491" i="1" s="1"/>
  <c r="M3490" i="1"/>
  <c r="J3490" i="1"/>
  <c r="K3490" i="1" s="1"/>
  <c r="I3490" i="1"/>
  <c r="L3490" i="1" s="1"/>
  <c r="M3489" i="1"/>
  <c r="L3489" i="1"/>
  <c r="K3489" i="1"/>
  <c r="J3489" i="1"/>
  <c r="I3489" i="1"/>
  <c r="M3488" i="1"/>
  <c r="L3488" i="1"/>
  <c r="J3488" i="1"/>
  <c r="K3488" i="1" s="1"/>
  <c r="I3488" i="1"/>
  <c r="M3487" i="1"/>
  <c r="J3487" i="1"/>
  <c r="K3487" i="1" s="1"/>
  <c r="I3487" i="1"/>
  <c r="L3487" i="1" s="1"/>
  <c r="M3486" i="1"/>
  <c r="J3486" i="1"/>
  <c r="K3486" i="1" s="1"/>
  <c r="I3486" i="1"/>
  <c r="L3486" i="1" s="1"/>
  <c r="M3485" i="1"/>
  <c r="L3485" i="1"/>
  <c r="K3485" i="1"/>
  <c r="J3485" i="1"/>
  <c r="I3485" i="1"/>
  <c r="M3484" i="1"/>
  <c r="L3484" i="1"/>
  <c r="J3484" i="1"/>
  <c r="K3484" i="1" s="1"/>
  <c r="I3484" i="1"/>
  <c r="M3483" i="1"/>
  <c r="J3483" i="1"/>
  <c r="K3483" i="1" s="1"/>
  <c r="I3483" i="1"/>
  <c r="L3483" i="1" s="1"/>
  <c r="M3482" i="1"/>
  <c r="J3482" i="1"/>
  <c r="K3482" i="1" s="1"/>
  <c r="I3482" i="1"/>
  <c r="L3482" i="1" s="1"/>
  <c r="M3481" i="1"/>
  <c r="L3481" i="1"/>
  <c r="K3481" i="1"/>
  <c r="J3481" i="1"/>
  <c r="I3481" i="1"/>
  <c r="M3480" i="1"/>
  <c r="L3480" i="1"/>
  <c r="J3480" i="1"/>
  <c r="K3480" i="1" s="1"/>
  <c r="I3480" i="1"/>
  <c r="M3479" i="1"/>
  <c r="J3479" i="1"/>
  <c r="K3479" i="1" s="1"/>
  <c r="I3479" i="1"/>
  <c r="L3479" i="1" s="1"/>
  <c r="M3478" i="1"/>
  <c r="J3478" i="1"/>
  <c r="K3478" i="1" s="1"/>
  <c r="I3478" i="1"/>
  <c r="L3478" i="1" s="1"/>
  <c r="M3477" i="1"/>
  <c r="L3477" i="1"/>
  <c r="K3477" i="1"/>
  <c r="J3477" i="1"/>
  <c r="I3477" i="1"/>
  <c r="M3476" i="1"/>
  <c r="L3476" i="1"/>
  <c r="J3476" i="1"/>
  <c r="K3476" i="1" s="1"/>
  <c r="I3476" i="1"/>
  <c r="M3475" i="1"/>
  <c r="J3475" i="1"/>
  <c r="K3475" i="1" s="1"/>
  <c r="I3475" i="1"/>
  <c r="L3475" i="1" s="1"/>
  <c r="M3474" i="1"/>
  <c r="L3474" i="1"/>
  <c r="J3474" i="1"/>
  <c r="K3474" i="1" s="1"/>
  <c r="I3474" i="1"/>
  <c r="M3473" i="1"/>
  <c r="L3473" i="1"/>
  <c r="K3473" i="1"/>
  <c r="J3473" i="1"/>
  <c r="I3473" i="1"/>
  <c r="M3472" i="1"/>
  <c r="L3472" i="1"/>
  <c r="J3472" i="1"/>
  <c r="K3472" i="1" s="1"/>
  <c r="I3472" i="1"/>
  <c r="M3471" i="1"/>
  <c r="J3471" i="1"/>
  <c r="K3471" i="1" s="1"/>
  <c r="I3471" i="1"/>
  <c r="L3471" i="1" s="1"/>
  <c r="M3470" i="1"/>
  <c r="L3470" i="1"/>
  <c r="J3470" i="1"/>
  <c r="K3470" i="1" s="1"/>
  <c r="I3470" i="1"/>
  <c r="M3469" i="1"/>
  <c r="L3469" i="1"/>
  <c r="K3469" i="1"/>
  <c r="J3469" i="1"/>
  <c r="I3469" i="1"/>
  <c r="M3468" i="1"/>
  <c r="L3468" i="1"/>
  <c r="J3468" i="1"/>
  <c r="K3468" i="1" s="1"/>
  <c r="I3468" i="1"/>
  <c r="M3467" i="1"/>
  <c r="J3467" i="1"/>
  <c r="K3467" i="1" s="1"/>
  <c r="I3467" i="1"/>
  <c r="L3467" i="1" s="1"/>
  <c r="M3466" i="1"/>
  <c r="L3466" i="1"/>
  <c r="J3466" i="1"/>
  <c r="K3466" i="1" s="1"/>
  <c r="I3466" i="1"/>
  <c r="M3465" i="1"/>
  <c r="L3465" i="1"/>
  <c r="K3465" i="1"/>
  <c r="J3465" i="1"/>
  <c r="I3465" i="1"/>
  <c r="M3464" i="1"/>
  <c r="L3464" i="1"/>
  <c r="J3464" i="1"/>
  <c r="K3464" i="1" s="1"/>
  <c r="I3464" i="1"/>
  <c r="M3463" i="1"/>
  <c r="J3463" i="1"/>
  <c r="K3463" i="1" s="1"/>
  <c r="I3463" i="1"/>
  <c r="L3463" i="1" s="1"/>
  <c r="M3462" i="1"/>
  <c r="L3462" i="1"/>
  <c r="J3462" i="1"/>
  <c r="K3462" i="1" s="1"/>
  <c r="I3462" i="1"/>
  <c r="M3461" i="1"/>
  <c r="L3461" i="1"/>
  <c r="K3461" i="1"/>
  <c r="J3461" i="1"/>
  <c r="I3461" i="1"/>
  <c r="M3460" i="1"/>
  <c r="L3460" i="1"/>
  <c r="J3460" i="1"/>
  <c r="K3460" i="1" s="1"/>
  <c r="I3460" i="1"/>
  <c r="M3459" i="1"/>
  <c r="J3459" i="1"/>
  <c r="K3459" i="1" s="1"/>
  <c r="I3459" i="1"/>
  <c r="L3459" i="1" s="1"/>
  <c r="M3458" i="1"/>
  <c r="L3458" i="1"/>
  <c r="J3458" i="1"/>
  <c r="K3458" i="1" s="1"/>
  <c r="I3458" i="1"/>
  <c r="M3457" i="1"/>
  <c r="L3457" i="1"/>
  <c r="K3457" i="1"/>
  <c r="J3457" i="1"/>
  <c r="I3457" i="1"/>
  <c r="M3456" i="1"/>
  <c r="L3456" i="1"/>
  <c r="J3456" i="1"/>
  <c r="K3456" i="1" s="1"/>
  <c r="I3456" i="1"/>
  <c r="M3455" i="1"/>
  <c r="J3455" i="1"/>
  <c r="K3455" i="1" s="1"/>
  <c r="I3455" i="1"/>
  <c r="L3455" i="1" s="1"/>
  <c r="M3454" i="1"/>
  <c r="L3454" i="1"/>
  <c r="J3454" i="1"/>
  <c r="K3454" i="1" s="1"/>
  <c r="I3454" i="1"/>
  <c r="M3453" i="1"/>
  <c r="L3453" i="1"/>
  <c r="K3453" i="1"/>
  <c r="J3453" i="1"/>
  <c r="I3453" i="1"/>
  <c r="M3452" i="1"/>
  <c r="L3452" i="1"/>
  <c r="J3452" i="1"/>
  <c r="K3452" i="1" s="1"/>
  <c r="I3452" i="1"/>
  <c r="M3451" i="1"/>
  <c r="J3451" i="1"/>
  <c r="K3451" i="1" s="1"/>
  <c r="I3451" i="1"/>
  <c r="L3451" i="1" s="1"/>
  <c r="M3450" i="1"/>
  <c r="L3450" i="1"/>
  <c r="J3450" i="1"/>
  <c r="K3450" i="1" s="1"/>
  <c r="I3450" i="1"/>
  <c r="M3449" i="1"/>
  <c r="L3449" i="1"/>
  <c r="K3449" i="1"/>
  <c r="J3449" i="1"/>
  <c r="I3449" i="1"/>
  <c r="M3448" i="1"/>
  <c r="L3448" i="1"/>
  <c r="J3448" i="1"/>
  <c r="K3448" i="1" s="1"/>
  <c r="I3448" i="1"/>
  <c r="M3447" i="1"/>
  <c r="J3447" i="1"/>
  <c r="K3447" i="1" s="1"/>
  <c r="I3447" i="1"/>
  <c r="L3447" i="1" s="1"/>
  <c r="M3446" i="1"/>
  <c r="L3446" i="1"/>
  <c r="J3446" i="1"/>
  <c r="K3446" i="1" s="1"/>
  <c r="I3446" i="1"/>
  <c r="M3445" i="1"/>
  <c r="L3445" i="1"/>
  <c r="K3445" i="1"/>
  <c r="J3445" i="1"/>
  <c r="I3445" i="1"/>
  <c r="M3444" i="1"/>
  <c r="L3444" i="1"/>
  <c r="J3444" i="1"/>
  <c r="K3444" i="1" s="1"/>
  <c r="I3444" i="1"/>
  <c r="M3443" i="1"/>
  <c r="J3443" i="1"/>
  <c r="K3443" i="1" s="1"/>
  <c r="I3443" i="1"/>
  <c r="L3443" i="1" s="1"/>
  <c r="M3442" i="1"/>
  <c r="L3442" i="1"/>
  <c r="J3442" i="1"/>
  <c r="K3442" i="1" s="1"/>
  <c r="I3442" i="1"/>
  <c r="M3441" i="1"/>
  <c r="L3441" i="1"/>
  <c r="K3441" i="1"/>
  <c r="J3441" i="1"/>
  <c r="I3441" i="1"/>
  <c r="M3440" i="1"/>
  <c r="L3440" i="1"/>
  <c r="J3440" i="1"/>
  <c r="K3440" i="1" s="1"/>
  <c r="I3440" i="1"/>
  <c r="M3439" i="1"/>
  <c r="J3439" i="1"/>
  <c r="K3439" i="1" s="1"/>
  <c r="I3439" i="1"/>
  <c r="L3439" i="1" s="1"/>
  <c r="M3438" i="1"/>
  <c r="L3438" i="1"/>
  <c r="J3438" i="1"/>
  <c r="K3438" i="1" s="1"/>
  <c r="I3438" i="1"/>
  <c r="M3437" i="1"/>
  <c r="L3437" i="1"/>
  <c r="K3437" i="1"/>
  <c r="J3437" i="1"/>
  <c r="I3437" i="1"/>
  <c r="M3436" i="1"/>
  <c r="L3436" i="1"/>
  <c r="J3436" i="1"/>
  <c r="K3436" i="1" s="1"/>
  <c r="I3436" i="1"/>
  <c r="M3435" i="1"/>
  <c r="J3435" i="1"/>
  <c r="K3435" i="1" s="1"/>
  <c r="I3435" i="1"/>
  <c r="L3435" i="1" s="1"/>
  <c r="M3434" i="1"/>
  <c r="L3434" i="1"/>
  <c r="J3434" i="1"/>
  <c r="K3434" i="1" s="1"/>
  <c r="I3434" i="1"/>
  <c r="M3433" i="1"/>
  <c r="L3433" i="1"/>
  <c r="K3433" i="1"/>
  <c r="J3433" i="1"/>
  <c r="I3433" i="1"/>
  <c r="M3432" i="1"/>
  <c r="L3432" i="1"/>
  <c r="J3432" i="1"/>
  <c r="K3432" i="1" s="1"/>
  <c r="I3432" i="1"/>
  <c r="M3431" i="1"/>
  <c r="J3431" i="1"/>
  <c r="K3431" i="1" s="1"/>
  <c r="I3431" i="1"/>
  <c r="L3431" i="1" s="1"/>
  <c r="M3430" i="1"/>
  <c r="L3430" i="1"/>
  <c r="J3430" i="1"/>
  <c r="K3430" i="1" s="1"/>
  <c r="I3430" i="1"/>
  <c r="M3429" i="1"/>
  <c r="L3429" i="1"/>
  <c r="K3429" i="1"/>
  <c r="J3429" i="1"/>
  <c r="I3429" i="1"/>
  <c r="M3428" i="1"/>
  <c r="L3428" i="1"/>
  <c r="J3428" i="1"/>
  <c r="K3428" i="1" s="1"/>
  <c r="I3428" i="1"/>
  <c r="M3427" i="1"/>
  <c r="J3427" i="1"/>
  <c r="K3427" i="1" s="1"/>
  <c r="I3427" i="1"/>
  <c r="L3427" i="1" s="1"/>
  <c r="M3426" i="1"/>
  <c r="L3426" i="1"/>
  <c r="J3426" i="1"/>
  <c r="K3426" i="1" s="1"/>
  <c r="I3426" i="1"/>
  <c r="M3425" i="1"/>
  <c r="L3425" i="1"/>
  <c r="K3425" i="1"/>
  <c r="J3425" i="1"/>
  <c r="I3425" i="1"/>
  <c r="M3424" i="1"/>
  <c r="L3424" i="1"/>
  <c r="J3424" i="1"/>
  <c r="K3424" i="1" s="1"/>
  <c r="I3424" i="1"/>
  <c r="M3423" i="1"/>
  <c r="J3423" i="1"/>
  <c r="K3423" i="1" s="1"/>
  <c r="I3423" i="1"/>
  <c r="L3423" i="1" s="1"/>
  <c r="M3422" i="1"/>
  <c r="L3422" i="1"/>
  <c r="J3422" i="1"/>
  <c r="K3422" i="1" s="1"/>
  <c r="I3422" i="1"/>
  <c r="M3421" i="1"/>
  <c r="L3421" i="1"/>
  <c r="K3421" i="1"/>
  <c r="J3421" i="1"/>
  <c r="I3421" i="1"/>
  <c r="M3420" i="1"/>
  <c r="J3420" i="1"/>
  <c r="K3420" i="1" s="1"/>
  <c r="I3420" i="1"/>
  <c r="L3420" i="1" s="1"/>
  <c r="M3419" i="1"/>
  <c r="J3419" i="1"/>
  <c r="K3419" i="1" s="1"/>
  <c r="I3419" i="1"/>
  <c r="L3419" i="1" s="1"/>
  <c r="M3418" i="1"/>
  <c r="L3418" i="1"/>
  <c r="K3418" i="1"/>
  <c r="J3418" i="1"/>
  <c r="I3418" i="1"/>
  <c r="M3417" i="1"/>
  <c r="L3417" i="1"/>
  <c r="K3417" i="1"/>
  <c r="J3417" i="1"/>
  <c r="I3417" i="1"/>
  <c r="M3416" i="1"/>
  <c r="L3416" i="1"/>
  <c r="J3416" i="1"/>
  <c r="K3416" i="1" s="1"/>
  <c r="I3416" i="1"/>
  <c r="M3415" i="1"/>
  <c r="J3415" i="1"/>
  <c r="K3415" i="1" s="1"/>
  <c r="I3415" i="1"/>
  <c r="L3415" i="1" s="1"/>
  <c r="M3414" i="1"/>
  <c r="L3414" i="1"/>
  <c r="J3414" i="1"/>
  <c r="K3414" i="1" s="1"/>
  <c r="I3414" i="1"/>
  <c r="M3413" i="1"/>
  <c r="L3413" i="1"/>
  <c r="K3413" i="1"/>
  <c r="J3413" i="1"/>
  <c r="I3413" i="1"/>
  <c r="M3412" i="1"/>
  <c r="L3412" i="1"/>
  <c r="J3412" i="1"/>
  <c r="K3412" i="1" s="1"/>
  <c r="I3412" i="1"/>
  <c r="M3411" i="1"/>
  <c r="J3411" i="1"/>
  <c r="K3411" i="1" s="1"/>
  <c r="I3411" i="1"/>
  <c r="L3411" i="1" s="1"/>
  <c r="M3410" i="1"/>
  <c r="L3410" i="1"/>
  <c r="K3410" i="1"/>
  <c r="J3410" i="1"/>
  <c r="I3410" i="1"/>
  <c r="M3409" i="1"/>
  <c r="L3409" i="1"/>
  <c r="K3409" i="1"/>
  <c r="J3409" i="1"/>
  <c r="I3409" i="1"/>
  <c r="M3408" i="1"/>
  <c r="J3408" i="1"/>
  <c r="K3408" i="1" s="1"/>
  <c r="I3408" i="1"/>
  <c r="L3408" i="1" s="1"/>
  <c r="M3407" i="1"/>
  <c r="J3407" i="1"/>
  <c r="K3407" i="1" s="1"/>
  <c r="I3407" i="1"/>
  <c r="L3407" i="1" s="1"/>
  <c r="M3406" i="1"/>
  <c r="L3406" i="1"/>
  <c r="J3406" i="1"/>
  <c r="K3406" i="1" s="1"/>
  <c r="I3406" i="1"/>
  <c r="M3405" i="1"/>
  <c r="L3405" i="1"/>
  <c r="K3405" i="1"/>
  <c r="J3405" i="1"/>
  <c r="I3405" i="1"/>
  <c r="M3404" i="1"/>
  <c r="L3404" i="1"/>
  <c r="J3404" i="1"/>
  <c r="K3404" i="1" s="1"/>
  <c r="I3404" i="1"/>
  <c r="M3403" i="1"/>
  <c r="J3403" i="1"/>
  <c r="K3403" i="1" s="1"/>
  <c r="I3403" i="1"/>
  <c r="L3403" i="1" s="1"/>
  <c r="M3402" i="1"/>
  <c r="L3402" i="1"/>
  <c r="K3402" i="1"/>
  <c r="J3402" i="1"/>
  <c r="I3402" i="1"/>
  <c r="M3401" i="1"/>
  <c r="L3401" i="1"/>
  <c r="K3401" i="1"/>
  <c r="J3401" i="1"/>
  <c r="I3401" i="1"/>
  <c r="M3400" i="1"/>
  <c r="L3400" i="1"/>
  <c r="J3400" i="1"/>
  <c r="K3400" i="1" s="1"/>
  <c r="I3400" i="1"/>
  <c r="M3399" i="1"/>
  <c r="J3399" i="1"/>
  <c r="K3399" i="1" s="1"/>
  <c r="I3399" i="1"/>
  <c r="L3399" i="1" s="1"/>
  <c r="M3398" i="1"/>
  <c r="L3398" i="1"/>
  <c r="J3398" i="1"/>
  <c r="K3398" i="1" s="1"/>
  <c r="I3398" i="1"/>
  <c r="M3397" i="1"/>
  <c r="L3397" i="1"/>
  <c r="K3397" i="1"/>
  <c r="J3397" i="1"/>
  <c r="I3397" i="1"/>
  <c r="M3396" i="1"/>
  <c r="J3396" i="1"/>
  <c r="K3396" i="1" s="1"/>
  <c r="I3396" i="1"/>
  <c r="L3396" i="1" s="1"/>
  <c r="M3395" i="1"/>
  <c r="J3395" i="1"/>
  <c r="K3395" i="1" s="1"/>
  <c r="I3395" i="1"/>
  <c r="L3395" i="1" s="1"/>
  <c r="M3394" i="1"/>
  <c r="L3394" i="1"/>
  <c r="K3394" i="1"/>
  <c r="J3394" i="1"/>
  <c r="I3394" i="1"/>
  <c r="M3393" i="1"/>
  <c r="L3393" i="1"/>
  <c r="K3393" i="1"/>
  <c r="J3393" i="1"/>
  <c r="I3393" i="1"/>
  <c r="M3392" i="1"/>
  <c r="J3392" i="1"/>
  <c r="K3392" i="1" s="1"/>
  <c r="I3392" i="1"/>
  <c r="L3392" i="1" s="1"/>
  <c r="M3391" i="1"/>
  <c r="J3391" i="1"/>
  <c r="K3391" i="1" s="1"/>
  <c r="I3391" i="1"/>
  <c r="L3391" i="1" s="1"/>
  <c r="M3390" i="1"/>
  <c r="L3390" i="1"/>
  <c r="J3390" i="1"/>
  <c r="K3390" i="1" s="1"/>
  <c r="I3390" i="1"/>
  <c r="M3389" i="1"/>
  <c r="L3389" i="1"/>
  <c r="K3389" i="1"/>
  <c r="J3389" i="1"/>
  <c r="I3389" i="1"/>
  <c r="M3388" i="1"/>
  <c r="J3388" i="1"/>
  <c r="K3388" i="1" s="1"/>
  <c r="I3388" i="1"/>
  <c r="L3388" i="1" s="1"/>
  <c r="M3387" i="1"/>
  <c r="J3387" i="1"/>
  <c r="K3387" i="1" s="1"/>
  <c r="I3387" i="1"/>
  <c r="L3387" i="1" s="1"/>
  <c r="M3386" i="1"/>
  <c r="L3386" i="1"/>
  <c r="K3386" i="1"/>
  <c r="J3386" i="1"/>
  <c r="I3386" i="1"/>
  <c r="M3385" i="1"/>
  <c r="L3385" i="1"/>
  <c r="K3385" i="1"/>
  <c r="J3385" i="1"/>
  <c r="I3385" i="1"/>
  <c r="M3384" i="1"/>
  <c r="L3384" i="1"/>
  <c r="J3384" i="1"/>
  <c r="K3384" i="1" s="1"/>
  <c r="I3384" i="1"/>
  <c r="M3383" i="1"/>
  <c r="J3383" i="1"/>
  <c r="K3383" i="1" s="1"/>
  <c r="I3383" i="1"/>
  <c r="L3383" i="1" s="1"/>
  <c r="M3382" i="1"/>
  <c r="L3382" i="1"/>
  <c r="J3382" i="1"/>
  <c r="K3382" i="1" s="1"/>
  <c r="I3382" i="1"/>
  <c r="M3381" i="1"/>
  <c r="L3381" i="1"/>
  <c r="K3381" i="1"/>
  <c r="J3381" i="1"/>
  <c r="I3381" i="1"/>
  <c r="M3380" i="1"/>
  <c r="J3380" i="1"/>
  <c r="K3380" i="1" s="1"/>
  <c r="I3380" i="1"/>
  <c r="L3380" i="1" s="1"/>
  <c r="M3379" i="1"/>
  <c r="J3379" i="1"/>
  <c r="K3379" i="1" s="1"/>
  <c r="I3379" i="1"/>
  <c r="L3379" i="1" s="1"/>
  <c r="M3378" i="1"/>
  <c r="L3378" i="1"/>
  <c r="K3378" i="1"/>
  <c r="J3378" i="1"/>
  <c r="I3378" i="1"/>
  <c r="M3377" i="1"/>
  <c r="L3377" i="1"/>
  <c r="K3377" i="1"/>
  <c r="J3377" i="1"/>
  <c r="I3377" i="1"/>
  <c r="M3376" i="1"/>
  <c r="J3376" i="1"/>
  <c r="K3376" i="1" s="1"/>
  <c r="I3376" i="1"/>
  <c r="L3376" i="1" s="1"/>
  <c r="M3375" i="1"/>
  <c r="J3375" i="1"/>
  <c r="K3375" i="1" s="1"/>
  <c r="I3375" i="1"/>
  <c r="L3375" i="1" s="1"/>
  <c r="M3374" i="1"/>
  <c r="L3374" i="1"/>
  <c r="K3374" i="1"/>
  <c r="J3374" i="1"/>
  <c r="I3374" i="1"/>
  <c r="M3373" i="1"/>
  <c r="L3373" i="1"/>
  <c r="K3373" i="1"/>
  <c r="J3373" i="1"/>
  <c r="I3373" i="1"/>
  <c r="M3372" i="1"/>
  <c r="L3372" i="1"/>
  <c r="J3372" i="1"/>
  <c r="K3372" i="1" s="1"/>
  <c r="I3372" i="1"/>
  <c r="M3371" i="1"/>
  <c r="J3371" i="1"/>
  <c r="K3371" i="1" s="1"/>
  <c r="I3371" i="1"/>
  <c r="L3371" i="1" s="1"/>
  <c r="M3370" i="1"/>
  <c r="L3370" i="1"/>
  <c r="K3370" i="1"/>
  <c r="J3370" i="1"/>
  <c r="I3370" i="1"/>
  <c r="M3369" i="1"/>
  <c r="L3369" i="1"/>
  <c r="K3369" i="1"/>
  <c r="J3369" i="1"/>
  <c r="I3369" i="1"/>
  <c r="M3368" i="1"/>
  <c r="J3368" i="1"/>
  <c r="K3368" i="1" s="1"/>
  <c r="I3368" i="1"/>
  <c r="L3368" i="1" s="1"/>
  <c r="M3367" i="1"/>
  <c r="J3367" i="1"/>
  <c r="K3367" i="1" s="1"/>
  <c r="I3367" i="1"/>
  <c r="L3367" i="1" s="1"/>
  <c r="M3366" i="1"/>
  <c r="L3366" i="1"/>
  <c r="K3366" i="1"/>
  <c r="J3366" i="1"/>
  <c r="I3366" i="1"/>
  <c r="M3365" i="1"/>
  <c r="L3365" i="1"/>
  <c r="K3365" i="1"/>
  <c r="J3365" i="1"/>
  <c r="I3365" i="1"/>
  <c r="M3364" i="1"/>
  <c r="L3364" i="1"/>
  <c r="J3364" i="1"/>
  <c r="K3364" i="1" s="1"/>
  <c r="I3364" i="1"/>
  <c r="M3363" i="1"/>
  <c r="J3363" i="1"/>
  <c r="K3363" i="1" s="1"/>
  <c r="I3363" i="1"/>
  <c r="L3363" i="1" s="1"/>
  <c r="M3362" i="1"/>
  <c r="L3362" i="1"/>
  <c r="K3362" i="1"/>
  <c r="J3362" i="1"/>
  <c r="I3362" i="1"/>
  <c r="M3361" i="1"/>
  <c r="L3361" i="1"/>
  <c r="K3361" i="1"/>
  <c r="J3361" i="1"/>
  <c r="I3361" i="1"/>
  <c r="M3360" i="1"/>
  <c r="J3360" i="1"/>
  <c r="K3360" i="1" s="1"/>
  <c r="I3360" i="1"/>
  <c r="L3360" i="1" s="1"/>
  <c r="M3359" i="1"/>
  <c r="J3359" i="1"/>
  <c r="K3359" i="1" s="1"/>
  <c r="I3359" i="1"/>
  <c r="L3359" i="1" s="1"/>
  <c r="M3358" i="1"/>
  <c r="L3358" i="1"/>
  <c r="K3358" i="1"/>
  <c r="J3358" i="1"/>
  <c r="I3358" i="1"/>
  <c r="M3357" i="1"/>
  <c r="L3357" i="1"/>
  <c r="K3357" i="1"/>
  <c r="J3357" i="1"/>
  <c r="I3357" i="1"/>
  <c r="M3356" i="1"/>
  <c r="L3356" i="1"/>
  <c r="J3356" i="1"/>
  <c r="K3356" i="1" s="1"/>
  <c r="I3356" i="1"/>
  <c r="M3355" i="1"/>
  <c r="J3355" i="1"/>
  <c r="K3355" i="1" s="1"/>
  <c r="I3355" i="1"/>
  <c r="L3355" i="1" s="1"/>
  <c r="M3354" i="1"/>
  <c r="L3354" i="1"/>
  <c r="K3354" i="1"/>
  <c r="J3354" i="1"/>
  <c r="I3354" i="1"/>
  <c r="M3353" i="1"/>
  <c r="L3353" i="1"/>
  <c r="K3353" i="1"/>
  <c r="J3353" i="1"/>
  <c r="I3353" i="1"/>
  <c r="M3352" i="1"/>
  <c r="J3352" i="1"/>
  <c r="K3352" i="1" s="1"/>
  <c r="I3352" i="1"/>
  <c r="L3352" i="1" s="1"/>
  <c r="M3351" i="1"/>
  <c r="J3351" i="1"/>
  <c r="K3351" i="1" s="1"/>
  <c r="I3351" i="1"/>
  <c r="L3351" i="1" s="1"/>
  <c r="M3350" i="1"/>
  <c r="L3350" i="1"/>
  <c r="K3350" i="1"/>
  <c r="J3350" i="1"/>
  <c r="I3350" i="1"/>
  <c r="M3349" i="1"/>
  <c r="L3349" i="1"/>
  <c r="K3349" i="1"/>
  <c r="J3349" i="1"/>
  <c r="I3349" i="1"/>
  <c r="M3348" i="1"/>
  <c r="L3348" i="1"/>
  <c r="J3348" i="1"/>
  <c r="K3348" i="1" s="1"/>
  <c r="I3348" i="1"/>
  <c r="M3347" i="1"/>
  <c r="J3347" i="1"/>
  <c r="K3347" i="1" s="1"/>
  <c r="I3347" i="1"/>
  <c r="L3347" i="1" s="1"/>
  <c r="M3346" i="1"/>
  <c r="L3346" i="1"/>
  <c r="K3346" i="1"/>
  <c r="J3346" i="1"/>
  <c r="I3346" i="1"/>
  <c r="M3345" i="1"/>
  <c r="L3345" i="1"/>
  <c r="K3345" i="1"/>
  <c r="J3345" i="1"/>
  <c r="I3345" i="1"/>
  <c r="M3344" i="1"/>
  <c r="J3344" i="1"/>
  <c r="K3344" i="1" s="1"/>
  <c r="I3344" i="1"/>
  <c r="L3344" i="1" s="1"/>
  <c r="M3343" i="1"/>
  <c r="J3343" i="1"/>
  <c r="K3343" i="1" s="1"/>
  <c r="I3343" i="1"/>
  <c r="L3343" i="1" s="1"/>
  <c r="M3342" i="1"/>
  <c r="L3342" i="1"/>
  <c r="K3342" i="1"/>
  <c r="J3342" i="1"/>
  <c r="I3342" i="1"/>
  <c r="M3341" i="1"/>
  <c r="L3341" i="1"/>
  <c r="K3341" i="1"/>
  <c r="J3341" i="1"/>
  <c r="I3341" i="1"/>
  <c r="M3340" i="1"/>
  <c r="L3340" i="1"/>
  <c r="J3340" i="1"/>
  <c r="K3340" i="1" s="1"/>
  <c r="I3340" i="1"/>
  <c r="M3339" i="1"/>
  <c r="J3339" i="1"/>
  <c r="K3339" i="1" s="1"/>
  <c r="I3339" i="1"/>
  <c r="L3339" i="1" s="1"/>
  <c r="M3338" i="1"/>
  <c r="L3338" i="1"/>
  <c r="K3338" i="1"/>
  <c r="J3338" i="1"/>
  <c r="I3338" i="1"/>
  <c r="M3337" i="1"/>
  <c r="L3337" i="1"/>
  <c r="K3337" i="1"/>
  <c r="J3337" i="1"/>
  <c r="I3337" i="1"/>
  <c r="M3336" i="1"/>
  <c r="J3336" i="1"/>
  <c r="K3336" i="1" s="1"/>
  <c r="I3336" i="1"/>
  <c r="L3336" i="1" s="1"/>
  <c r="M3335" i="1"/>
  <c r="J3335" i="1"/>
  <c r="K3335" i="1" s="1"/>
  <c r="I3335" i="1"/>
  <c r="L3335" i="1" s="1"/>
  <c r="M3334" i="1"/>
  <c r="L3334" i="1"/>
  <c r="K3334" i="1"/>
  <c r="J3334" i="1"/>
  <c r="I3334" i="1"/>
  <c r="M3333" i="1"/>
  <c r="L3333" i="1"/>
  <c r="K3333" i="1"/>
  <c r="J3333" i="1"/>
  <c r="I3333" i="1"/>
  <c r="M3332" i="1"/>
  <c r="L3332" i="1"/>
  <c r="J3332" i="1"/>
  <c r="K3332" i="1" s="1"/>
  <c r="I3332" i="1"/>
  <c r="M3331" i="1"/>
  <c r="J3331" i="1"/>
  <c r="K3331" i="1" s="1"/>
  <c r="I3331" i="1"/>
  <c r="L3331" i="1" s="1"/>
  <c r="M3330" i="1"/>
  <c r="L3330" i="1"/>
  <c r="K3330" i="1"/>
  <c r="J3330" i="1"/>
  <c r="I3330" i="1"/>
  <c r="M3329" i="1"/>
  <c r="L3329" i="1"/>
  <c r="K3329" i="1"/>
  <c r="J3329" i="1"/>
  <c r="I3329" i="1"/>
  <c r="M3328" i="1"/>
  <c r="J3328" i="1"/>
  <c r="K3328" i="1" s="1"/>
  <c r="I3328" i="1"/>
  <c r="L3328" i="1" s="1"/>
  <c r="M3327" i="1"/>
  <c r="K3327" i="1"/>
  <c r="J3327" i="1"/>
  <c r="I3327" i="1"/>
  <c r="L3327" i="1" s="1"/>
  <c r="M3326" i="1"/>
  <c r="L3326" i="1"/>
  <c r="J3326" i="1"/>
  <c r="K3326" i="1" s="1"/>
  <c r="I3326" i="1"/>
  <c r="M3325" i="1"/>
  <c r="K3325" i="1"/>
  <c r="J3325" i="1"/>
  <c r="I3325" i="1"/>
  <c r="L3325" i="1" s="1"/>
  <c r="M3324" i="1"/>
  <c r="L3324" i="1"/>
  <c r="J3324" i="1"/>
  <c r="K3324" i="1" s="1"/>
  <c r="I3324" i="1"/>
  <c r="M3323" i="1"/>
  <c r="K3323" i="1"/>
  <c r="J3323" i="1"/>
  <c r="I3323" i="1"/>
  <c r="L3323" i="1" s="1"/>
  <c r="M3322" i="1"/>
  <c r="L3322" i="1"/>
  <c r="J3322" i="1"/>
  <c r="K3322" i="1" s="1"/>
  <c r="I3322" i="1"/>
  <c r="M3321" i="1"/>
  <c r="K3321" i="1"/>
  <c r="J3321" i="1"/>
  <c r="I3321" i="1"/>
  <c r="L3321" i="1" s="1"/>
  <c r="M3320" i="1"/>
  <c r="L3320" i="1"/>
  <c r="J3320" i="1"/>
  <c r="K3320" i="1" s="1"/>
  <c r="I3320" i="1"/>
  <c r="M3319" i="1"/>
  <c r="K3319" i="1"/>
  <c r="J3319" i="1"/>
  <c r="I3319" i="1"/>
  <c r="L3319" i="1" s="1"/>
  <c r="M3318" i="1"/>
  <c r="L3318" i="1"/>
  <c r="J3318" i="1"/>
  <c r="K3318" i="1" s="1"/>
  <c r="I3318" i="1"/>
  <c r="M3317" i="1"/>
  <c r="K3317" i="1"/>
  <c r="J3317" i="1"/>
  <c r="I3317" i="1"/>
  <c r="L3317" i="1" s="1"/>
  <c r="M3316" i="1"/>
  <c r="L3316" i="1"/>
  <c r="J3316" i="1"/>
  <c r="K3316" i="1" s="1"/>
  <c r="I3316" i="1"/>
  <c r="M3315" i="1"/>
  <c r="K3315" i="1"/>
  <c r="J3315" i="1"/>
  <c r="I3315" i="1"/>
  <c r="L3315" i="1" s="1"/>
  <c r="M3314" i="1"/>
  <c r="L3314" i="1"/>
  <c r="J3314" i="1"/>
  <c r="K3314" i="1" s="1"/>
  <c r="I3314" i="1"/>
  <c r="M3313" i="1"/>
  <c r="K3313" i="1"/>
  <c r="J3313" i="1"/>
  <c r="I3313" i="1"/>
  <c r="L3313" i="1" s="1"/>
  <c r="M3312" i="1"/>
  <c r="L3312" i="1"/>
  <c r="J3312" i="1"/>
  <c r="K3312" i="1" s="1"/>
  <c r="I3312" i="1"/>
  <c r="M3311" i="1"/>
  <c r="K3311" i="1"/>
  <c r="J3311" i="1"/>
  <c r="I3311" i="1"/>
  <c r="L3311" i="1" s="1"/>
  <c r="M3310" i="1"/>
  <c r="L3310" i="1"/>
  <c r="J3310" i="1"/>
  <c r="K3310" i="1" s="1"/>
  <c r="I3310" i="1"/>
  <c r="M3309" i="1"/>
  <c r="K3309" i="1"/>
  <c r="J3309" i="1"/>
  <c r="I3309" i="1"/>
  <c r="L3309" i="1" s="1"/>
  <c r="M3308" i="1"/>
  <c r="L3308" i="1"/>
  <c r="J3308" i="1"/>
  <c r="K3308" i="1" s="1"/>
  <c r="I3308" i="1"/>
  <c r="M3307" i="1"/>
  <c r="K3307" i="1"/>
  <c r="J3307" i="1"/>
  <c r="I3307" i="1"/>
  <c r="L3307" i="1" s="1"/>
  <c r="M3306" i="1"/>
  <c r="L3306" i="1"/>
  <c r="J3306" i="1"/>
  <c r="K3306" i="1" s="1"/>
  <c r="I3306" i="1"/>
  <c r="M3305" i="1"/>
  <c r="K3305" i="1"/>
  <c r="J3305" i="1"/>
  <c r="I3305" i="1"/>
  <c r="L3305" i="1" s="1"/>
  <c r="M3304" i="1"/>
  <c r="L3304" i="1"/>
  <c r="J3304" i="1"/>
  <c r="K3304" i="1" s="1"/>
  <c r="I3304" i="1"/>
  <c r="M3303" i="1"/>
  <c r="K3303" i="1"/>
  <c r="J3303" i="1"/>
  <c r="I3303" i="1"/>
  <c r="L3303" i="1" s="1"/>
  <c r="M3302" i="1"/>
  <c r="L3302" i="1"/>
  <c r="J3302" i="1"/>
  <c r="K3302" i="1" s="1"/>
  <c r="I3302" i="1"/>
  <c r="M3301" i="1"/>
  <c r="K3301" i="1"/>
  <c r="J3301" i="1"/>
  <c r="I3301" i="1"/>
  <c r="L3301" i="1" s="1"/>
  <c r="M3300" i="1"/>
  <c r="L3300" i="1"/>
  <c r="J3300" i="1"/>
  <c r="K3300" i="1" s="1"/>
  <c r="I3300" i="1"/>
  <c r="M3299" i="1"/>
  <c r="K3299" i="1"/>
  <c r="J3299" i="1"/>
  <c r="I3299" i="1"/>
  <c r="L3299" i="1" s="1"/>
  <c r="M3298" i="1"/>
  <c r="L3298" i="1"/>
  <c r="J3298" i="1"/>
  <c r="K3298" i="1" s="1"/>
  <c r="I3298" i="1"/>
  <c r="M3297" i="1"/>
  <c r="K3297" i="1"/>
  <c r="J3297" i="1"/>
  <c r="I3297" i="1"/>
  <c r="L3297" i="1" s="1"/>
  <c r="M3296" i="1"/>
  <c r="L3296" i="1"/>
  <c r="J3296" i="1"/>
  <c r="K3296" i="1" s="1"/>
  <c r="I3296" i="1"/>
  <c r="M3295" i="1"/>
  <c r="K3295" i="1"/>
  <c r="J3295" i="1"/>
  <c r="I3295" i="1"/>
  <c r="L3295" i="1" s="1"/>
  <c r="M3294" i="1"/>
  <c r="L3294" i="1"/>
  <c r="J3294" i="1"/>
  <c r="K3294" i="1" s="1"/>
  <c r="I3294" i="1"/>
  <c r="M3293" i="1"/>
  <c r="K3293" i="1"/>
  <c r="J3293" i="1"/>
  <c r="I3293" i="1"/>
  <c r="L3293" i="1" s="1"/>
  <c r="M3292" i="1"/>
  <c r="L3292" i="1"/>
  <c r="J3292" i="1"/>
  <c r="K3292" i="1" s="1"/>
  <c r="I3292" i="1"/>
  <c r="M3291" i="1"/>
  <c r="K3291" i="1"/>
  <c r="J3291" i="1"/>
  <c r="I3291" i="1"/>
  <c r="L3291" i="1" s="1"/>
  <c r="M3290" i="1"/>
  <c r="L3290" i="1"/>
  <c r="J3290" i="1"/>
  <c r="K3290" i="1" s="1"/>
  <c r="I3290" i="1"/>
  <c r="M3289" i="1"/>
  <c r="K3289" i="1"/>
  <c r="J3289" i="1"/>
  <c r="I3289" i="1"/>
  <c r="L3289" i="1" s="1"/>
  <c r="M3288" i="1"/>
  <c r="L3288" i="1"/>
  <c r="J3288" i="1"/>
  <c r="K3288" i="1" s="1"/>
  <c r="I3288" i="1"/>
  <c r="M3287" i="1"/>
  <c r="K3287" i="1"/>
  <c r="J3287" i="1"/>
  <c r="I3287" i="1"/>
  <c r="L3287" i="1" s="1"/>
  <c r="M3286" i="1"/>
  <c r="L3286" i="1"/>
  <c r="J3286" i="1"/>
  <c r="K3286" i="1" s="1"/>
  <c r="I3286" i="1"/>
  <c r="M3285" i="1"/>
  <c r="K3285" i="1"/>
  <c r="J3285" i="1"/>
  <c r="I3285" i="1"/>
  <c r="L3285" i="1" s="1"/>
  <c r="M3284" i="1"/>
  <c r="L3284" i="1"/>
  <c r="J3284" i="1"/>
  <c r="K3284" i="1" s="1"/>
  <c r="I3284" i="1"/>
  <c r="M3283" i="1"/>
  <c r="K3283" i="1"/>
  <c r="J3283" i="1"/>
  <c r="I3283" i="1"/>
  <c r="L3283" i="1" s="1"/>
  <c r="M3282" i="1"/>
  <c r="L3282" i="1"/>
  <c r="J3282" i="1"/>
  <c r="K3282" i="1" s="1"/>
  <c r="I3282" i="1"/>
  <c r="M3281" i="1"/>
  <c r="K3281" i="1"/>
  <c r="J3281" i="1"/>
  <c r="I3281" i="1"/>
  <c r="L3281" i="1" s="1"/>
  <c r="M3280" i="1"/>
  <c r="L3280" i="1"/>
  <c r="J3280" i="1"/>
  <c r="K3280" i="1" s="1"/>
  <c r="I3280" i="1"/>
  <c r="M3279" i="1"/>
  <c r="K3279" i="1"/>
  <c r="J3279" i="1"/>
  <c r="I3279" i="1"/>
  <c r="L3279" i="1" s="1"/>
  <c r="M3278" i="1"/>
  <c r="L3278" i="1"/>
  <c r="J3278" i="1"/>
  <c r="K3278" i="1" s="1"/>
  <c r="I3278" i="1"/>
  <c r="M3277" i="1"/>
  <c r="K3277" i="1"/>
  <c r="J3277" i="1"/>
  <c r="I3277" i="1"/>
  <c r="L3277" i="1" s="1"/>
  <c r="M3276" i="1"/>
  <c r="L3276" i="1"/>
  <c r="J3276" i="1"/>
  <c r="K3276" i="1" s="1"/>
  <c r="I3276" i="1"/>
  <c r="M3275" i="1"/>
  <c r="K3275" i="1"/>
  <c r="J3275" i="1"/>
  <c r="I3275" i="1"/>
  <c r="L3275" i="1" s="1"/>
  <c r="M3274" i="1"/>
  <c r="L3274" i="1"/>
  <c r="J3274" i="1"/>
  <c r="K3274" i="1" s="1"/>
  <c r="I3274" i="1"/>
  <c r="M3273" i="1"/>
  <c r="K3273" i="1"/>
  <c r="J3273" i="1"/>
  <c r="I3273" i="1"/>
  <c r="L3273" i="1" s="1"/>
  <c r="M3272" i="1"/>
  <c r="J3272" i="1"/>
  <c r="K3272" i="1" s="1"/>
  <c r="I3272" i="1"/>
  <c r="L3272" i="1" s="1"/>
  <c r="M3271" i="1"/>
  <c r="K3271" i="1"/>
  <c r="J3271" i="1"/>
  <c r="I3271" i="1"/>
  <c r="L3271" i="1" s="1"/>
  <c r="M3270" i="1"/>
  <c r="L3270" i="1"/>
  <c r="J3270" i="1"/>
  <c r="K3270" i="1" s="1"/>
  <c r="I3270" i="1"/>
  <c r="M3269" i="1"/>
  <c r="K3269" i="1"/>
  <c r="J3269" i="1"/>
  <c r="I3269" i="1"/>
  <c r="L3269" i="1" s="1"/>
  <c r="M3268" i="1"/>
  <c r="L3268" i="1"/>
  <c r="J3268" i="1"/>
  <c r="K3268" i="1" s="1"/>
  <c r="I3268" i="1"/>
  <c r="M3267" i="1"/>
  <c r="K3267" i="1"/>
  <c r="J3267" i="1"/>
  <c r="I3267" i="1"/>
  <c r="L3267" i="1" s="1"/>
  <c r="M3266" i="1"/>
  <c r="L3266" i="1"/>
  <c r="J3266" i="1"/>
  <c r="K3266" i="1" s="1"/>
  <c r="I3266" i="1"/>
  <c r="M3265" i="1"/>
  <c r="K3265" i="1"/>
  <c r="J3265" i="1"/>
  <c r="I3265" i="1"/>
  <c r="L3265" i="1" s="1"/>
  <c r="M3264" i="1"/>
  <c r="J3264" i="1"/>
  <c r="K3264" i="1" s="1"/>
  <c r="I3264" i="1"/>
  <c r="L3264" i="1" s="1"/>
  <c r="M3263" i="1"/>
  <c r="K3263" i="1"/>
  <c r="J3263" i="1"/>
  <c r="I3263" i="1"/>
  <c r="L3263" i="1" s="1"/>
  <c r="M3262" i="1"/>
  <c r="L3262" i="1"/>
  <c r="J3262" i="1"/>
  <c r="K3262" i="1" s="1"/>
  <c r="I3262" i="1"/>
  <c r="M3261" i="1"/>
  <c r="K3261" i="1"/>
  <c r="J3261" i="1"/>
  <c r="I3261" i="1"/>
  <c r="L3261" i="1" s="1"/>
  <c r="M3260" i="1"/>
  <c r="L3260" i="1"/>
  <c r="J3260" i="1"/>
  <c r="K3260" i="1" s="1"/>
  <c r="I3260" i="1"/>
  <c r="M3259" i="1"/>
  <c r="K3259" i="1"/>
  <c r="J3259" i="1"/>
  <c r="I3259" i="1"/>
  <c r="L3259" i="1" s="1"/>
  <c r="M3258" i="1"/>
  <c r="L3258" i="1"/>
  <c r="J3258" i="1"/>
  <c r="K3258" i="1" s="1"/>
  <c r="I3258" i="1"/>
  <c r="M3257" i="1"/>
  <c r="K3257" i="1"/>
  <c r="J3257" i="1"/>
  <c r="I3257" i="1"/>
  <c r="L3257" i="1" s="1"/>
  <c r="M3256" i="1"/>
  <c r="J3256" i="1"/>
  <c r="K3256" i="1" s="1"/>
  <c r="I3256" i="1"/>
  <c r="L3256" i="1" s="1"/>
  <c r="M3255" i="1"/>
  <c r="K3255" i="1"/>
  <c r="J3255" i="1"/>
  <c r="I3255" i="1"/>
  <c r="L3255" i="1" s="1"/>
  <c r="M3254" i="1"/>
  <c r="L3254" i="1"/>
  <c r="J3254" i="1"/>
  <c r="K3254" i="1" s="1"/>
  <c r="I3254" i="1"/>
  <c r="M3253" i="1"/>
  <c r="K3253" i="1"/>
  <c r="J3253" i="1"/>
  <c r="I3253" i="1"/>
  <c r="L3253" i="1" s="1"/>
  <c r="M3252" i="1"/>
  <c r="L3252" i="1"/>
  <c r="J3252" i="1"/>
  <c r="K3252" i="1" s="1"/>
  <c r="I3252" i="1"/>
  <c r="M3251" i="1"/>
  <c r="K3251" i="1"/>
  <c r="J3251" i="1"/>
  <c r="I3251" i="1"/>
  <c r="L3251" i="1" s="1"/>
  <c r="M3250" i="1"/>
  <c r="L3250" i="1"/>
  <c r="J3250" i="1"/>
  <c r="K3250" i="1" s="1"/>
  <c r="I3250" i="1"/>
  <c r="M3249" i="1"/>
  <c r="K3249" i="1"/>
  <c r="J3249" i="1"/>
  <c r="I3249" i="1"/>
  <c r="L3249" i="1" s="1"/>
  <c r="M3248" i="1"/>
  <c r="J3248" i="1"/>
  <c r="K3248" i="1" s="1"/>
  <c r="I3248" i="1"/>
  <c r="L3248" i="1" s="1"/>
  <c r="M3247" i="1"/>
  <c r="K3247" i="1"/>
  <c r="J3247" i="1"/>
  <c r="I3247" i="1"/>
  <c r="L3247" i="1" s="1"/>
  <c r="M3246" i="1"/>
  <c r="L3246" i="1"/>
  <c r="J3246" i="1"/>
  <c r="K3246" i="1" s="1"/>
  <c r="I3246" i="1"/>
  <c r="M3245" i="1"/>
  <c r="K3245" i="1"/>
  <c r="J3245" i="1"/>
  <c r="I3245" i="1"/>
  <c r="L3245" i="1" s="1"/>
  <c r="M3244" i="1"/>
  <c r="L3244" i="1"/>
  <c r="J3244" i="1"/>
  <c r="K3244" i="1" s="1"/>
  <c r="I3244" i="1"/>
  <c r="M3243" i="1"/>
  <c r="K3243" i="1"/>
  <c r="J3243" i="1"/>
  <c r="I3243" i="1"/>
  <c r="L3243" i="1" s="1"/>
  <c r="M3242" i="1"/>
  <c r="L3242" i="1"/>
  <c r="J3242" i="1"/>
  <c r="K3242" i="1" s="1"/>
  <c r="I3242" i="1"/>
  <c r="M3241" i="1"/>
  <c r="K3241" i="1"/>
  <c r="J3241" i="1"/>
  <c r="I3241" i="1"/>
  <c r="L3241" i="1" s="1"/>
  <c r="M3240" i="1"/>
  <c r="J3240" i="1"/>
  <c r="K3240" i="1" s="1"/>
  <c r="I3240" i="1"/>
  <c r="L3240" i="1" s="1"/>
  <c r="M3239" i="1"/>
  <c r="K3239" i="1"/>
  <c r="J3239" i="1"/>
  <c r="I3239" i="1"/>
  <c r="L3239" i="1" s="1"/>
  <c r="M3238" i="1"/>
  <c r="L3238" i="1"/>
  <c r="J3238" i="1"/>
  <c r="K3238" i="1" s="1"/>
  <c r="I3238" i="1"/>
  <c r="M3237" i="1"/>
  <c r="K3237" i="1"/>
  <c r="J3237" i="1"/>
  <c r="I3237" i="1"/>
  <c r="L3237" i="1" s="1"/>
  <c r="M3236" i="1"/>
  <c r="L3236" i="1"/>
  <c r="J3236" i="1"/>
  <c r="K3236" i="1" s="1"/>
  <c r="I3236" i="1"/>
  <c r="M3235" i="1"/>
  <c r="K3235" i="1"/>
  <c r="J3235" i="1"/>
  <c r="I3235" i="1"/>
  <c r="L3235" i="1" s="1"/>
  <c r="M3234" i="1"/>
  <c r="L3234" i="1"/>
  <c r="J3234" i="1"/>
  <c r="K3234" i="1" s="1"/>
  <c r="I3234" i="1"/>
  <c r="M3233" i="1"/>
  <c r="K3233" i="1"/>
  <c r="J3233" i="1"/>
  <c r="I3233" i="1"/>
  <c r="L3233" i="1" s="1"/>
  <c r="M3232" i="1"/>
  <c r="J3232" i="1"/>
  <c r="K3232" i="1" s="1"/>
  <c r="I3232" i="1"/>
  <c r="L3232" i="1" s="1"/>
  <c r="M3231" i="1"/>
  <c r="K3231" i="1"/>
  <c r="J3231" i="1"/>
  <c r="I3231" i="1"/>
  <c r="L3231" i="1" s="1"/>
  <c r="M3230" i="1"/>
  <c r="L3230" i="1"/>
  <c r="J3230" i="1"/>
  <c r="K3230" i="1" s="1"/>
  <c r="I3230" i="1"/>
  <c r="M3229" i="1"/>
  <c r="K3229" i="1"/>
  <c r="J3229" i="1"/>
  <c r="I3229" i="1"/>
  <c r="L3229" i="1" s="1"/>
  <c r="M3228" i="1"/>
  <c r="L3228" i="1"/>
  <c r="J3228" i="1"/>
  <c r="K3228" i="1" s="1"/>
  <c r="I3228" i="1"/>
  <c r="M3227" i="1"/>
  <c r="K3227" i="1"/>
  <c r="J3227" i="1"/>
  <c r="I3227" i="1"/>
  <c r="L3227" i="1" s="1"/>
  <c r="M3226" i="1"/>
  <c r="L3226" i="1"/>
  <c r="J3226" i="1"/>
  <c r="K3226" i="1" s="1"/>
  <c r="I3226" i="1"/>
  <c r="M3225" i="1"/>
  <c r="K3225" i="1"/>
  <c r="J3225" i="1"/>
  <c r="I3225" i="1"/>
  <c r="L3225" i="1" s="1"/>
  <c r="M3224" i="1"/>
  <c r="J3224" i="1"/>
  <c r="K3224" i="1" s="1"/>
  <c r="I3224" i="1"/>
  <c r="L3224" i="1" s="1"/>
  <c r="M3223" i="1"/>
  <c r="K3223" i="1"/>
  <c r="J3223" i="1"/>
  <c r="I3223" i="1"/>
  <c r="L3223" i="1" s="1"/>
  <c r="M3222" i="1"/>
  <c r="L3222" i="1"/>
  <c r="J3222" i="1"/>
  <c r="K3222" i="1" s="1"/>
  <c r="I3222" i="1"/>
  <c r="M3221" i="1"/>
  <c r="K3221" i="1"/>
  <c r="J3221" i="1"/>
  <c r="I3221" i="1"/>
  <c r="L3221" i="1" s="1"/>
  <c r="M3220" i="1"/>
  <c r="L3220" i="1"/>
  <c r="J3220" i="1"/>
  <c r="K3220" i="1" s="1"/>
  <c r="I3220" i="1"/>
  <c r="M3219" i="1"/>
  <c r="K3219" i="1"/>
  <c r="J3219" i="1"/>
  <c r="I3219" i="1"/>
  <c r="L3219" i="1" s="1"/>
  <c r="M3218" i="1"/>
  <c r="L3218" i="1"/>
  <c r="J3218" i="1"/>
  <c r="K3218" i="1" s="1"/>
  <c r="I3218" i="1"/>
  <c r="M3217" i="1"/>
  <c r="K3217" i="1"/>
  <c r="J3217" i="1"/>
  <c r="I3217" i="1"/>
  <c r="L3217" i="1" s="1"/>
  <c r="M3216" i="1"/>
  <c r="J3216" i="1"/>
  <c r="K3216" i="1" s="1"/>
  <c r="I3216" i="1"/>
  <c r="L3216" i="1" s="1"/>
  <c r="M3215" i="1"/>
  <c r="K3215" i="1"/>
  <c r="J3215" i="1"/>
  <c r="I3215" i="1"/>
  <c r="L3215" i="1" s="1"/>
  <c r="M3214" i="1"/>
  <c r="L3214" i="1"/>
  <c r="J3214" i="1"/>
  <c r="K3214" i="1" s="1"/>
  <c r="I3214" i="1"/>
  <c r="M3213" i="1"/>
  <c r="K3213" i="1"/>
  <c r="J3213" i="1"/>
  <c r="I3213" i="1"/>
  <c r="L3213" i="1" s="1"/>
  <c r="M3212" i="1"/>
  <c r="L3212" i="1"/>
  <c r="J3212" i="1"/>
  <c r="K3212" i="1" s="1"/>
  <c r="I3212" i="1"/>
  <c r="M3211" i="1"/>
  <c r="K3211" i="1"/>
  <c r="J3211" i="1"/>
  <c r="I3211" i="1"/>
  <c r="L3211" i="1" s="1"/>
  <c r="M3210" i="1"/>
  <c r="L3210" i="1"/>
  <c r="J3210" i="1"/>
  <c r="K3210" i="1" s="1"/>
  <c r="I3210" i="1"/>
  <c r="M3209" i="1"/>
  <c r="K3209" i="1"/>
  <c r="J3209" i="1"/>
  <c r="I3209" i="1"/>
  <c r="L3209" i="1" s="1"/>
  <c r="M3208" i="1"/>
  <c r="J3208" i="1"/>
  <c r="K3208" i="1" s="1"/>
  <c r="I3208" i="1"/>
  <c r="L3208" i="1" s="1"/>
  <c r="M3207" i="1"/>
  <c r="K3207" i="1"/>
  <c r="J3207" i="1"/>
  <c r="I3207" i="1"/>
  <c r="L3207" i="1" s="1"/>
  <c r="M3206" i="1"/>
  <c r="L3206" i="1"/>
  <c r="J3206" i="1"/>
  <c r="K3206" i="1" s="1"/>
  <c r="I3206" i="1"/>
  <c r="M3205" i="1"/>
  <c r="K3205" i="1"/>
  <c r="J3205" i="1"/>
  <c r="I3205" i="1"/>
  <c r="L3205" i="1" s="1"/>
  <c r="M3204" i="1"/>
  <c r="L3204" i="1"/>
  <c r="J3204" i="1"/>
  <c r="K3204" i="1" s="1"/>
  <c r="I3204" i="1"/>
  <c r="M3203" i="1"/>
  <c r="K3203" i="1"/>
  <c r="J3203" i="1"/>
  <c r="I3203" i="1"/>
  <c r="L3203" i="1" s="1"/>
  <c r="M3202" i="1"/>
  <c r="L3202" i="1"/>
  <c r="J3202" i="1"/>
  <c r="K3202" i="1" s="1"/>
  <c r="I3202" i="1"/>
  <c r="M3201" i="1"/>
  <c r="K3201" i="1"/>
  <c r="J3201" i="1"/>
  <c r="I3201" i="1"/>
  <c r="L3201" i="1" s="1"/>
  <c r="M3200" i="1"/>
  <c r="J3200" i="1"/>
  <c r="K3200" i="1" s="1"/>
  <c r="I3200" i="1"/>
  <c r="L3200" i="1" s="1"/>
  <c r="M3199" i="1"/>
  <c r="K3199" i="1"/>
  <c r="J3199" i="1"/>
  <c r="I3199" i="1"/>
  <c r="L3199" i="1" s="1"/>
  <c r="M3198" i="1"/>
  <c r="L3198" i="1"/>
  <c r="J3198" i="1"/>
  <c r="K3198" i="1" s="1"/>
  <c r="I3198" i="1"/>
  <c r="M3197" i="1"/>
  <c r="K3197" i="1"/>
  <c r="J3197" i="1"/>
  <c r="I3197" i="1"/>
  <c r="L3197" i="1" s="1"/>
  <c r="M3196" i="1"/>
  <c r="L3196" i="1"/>
  <c r="J3196" i="1"/>
  <c r="K3196" i="1" s="1"/>
  <c r="I3196" i="1"/>
  <c r="M3195" i="1"/>
  <c r="K3195" i="1"/>
  <c r="J3195" i="1"/>
  <c r="I3195" i="1"/>
  <c r="L3195" i="1" s="1"/>
  <c r="M3194" i="1"/>
  <c r="L3194" i="1"/>
  <c r="J3194" i="1"/>
  <c r="K3194" i="1" s="1"/>
  <c r="I3194" i="1"/>
  <c r="M3193" i="1"/>
  <c r="K3193" i="1"/>
  <c r="J3193" i="1"/>
  <c r="I3193" i="1"/>
  <c r="L3193" i="1" s="1"/>
  <c r="M3192" i="1"/>
  <c r="J3192" i="1"/>
  <c r="K3192" i="1" s="1"/>
  <c r="I3192" i="1"/>
  <c r="L3192" i="1" s="1"/>
  <c r="M3191" i="1"/>
  <c r="L3191" i="1"/>
  <c r="J3191" i="1"/>
  <c r="K3191" i="1" s="1"/>
  <c r="I3191" i="1"/>
  <c r="M3190" i="1"/>
  <c r="K3190" i="1"/>
  <c r="J3190" i="1"/>
  <c r="I3190" i="1"/>
  <c r="L3190" i="1" s="1"/>
  <c r="M3189" i="1"/>
  <c r="L3189" i="1"/>
  <c r="J3189" i="1"/>
  <c r="K3189" i="1" s="1"/>
  <c r="I3189" i="1"/>
  <c r="M3188" i="1"/>
  <c r="K3188" i="1"/>
  <c r="J3188" i="1"/>
  <c r="I3188" i="1"/>
  <c r="L3188" i="1" s="1"/>
  <c r="M3187" i="1"/>
  <c r="L3187" i="1"/>
  <c r="J3187" i="1"/>
  <c r="K3187" i="1" s="1"/>
  <c r="I3187" i="1"/>
  <c r="M3186" i="1"/>
  <c r="K3186" i="1"/>
  <c r="J3186" i="1"/>
  <c r="I3186" i="1"/>
  <c r="L3186" i="1" s="1"/>
  <c r="M3185" i="1"/>
  <c r="L3185" i="1"/>
  <c r="J3185" i="1"/>
  <c r="K3185" i="1" s="1"/>
  <c r="I3185" i="1"/>
  <c r="M3184" i="1"/>
  <c r="K3184" i="1"/>
  <c r="J3184" i="1"/>
  <c r="I3184" i="1"/>
  <c r="L3184" i="1" s="1"/>
  <c r="M3183" i="1"/>
  <c r="L3183" i="1"/>
  <c r="J3183" i="1"/>
  <c r="K3183" i="1" s="1"/>
  <c r="I3183" i="1"/>
  <c r="M3182" i="1"/>
  <c r="K3182" i="1"/>
  <c r="J3182" i="1"/>
  <c r="I3182" i="1"/>
  <c r="L3182" i="1" s="1"/>
  <c r="M3181" i="1"/>
  <c r="L3181" i="1"/>
  <c r="J3181" i="1"/>
  <c r="K3181" i="1" s="1"/>
  <c r="I3181" i="1"/>
  <c r="M3180" i="1"/>
  <c r="K3180" i="1"/>
  <c r="J3180" i="1"/>
  <c r="I3180" i="1"/>
  <c r="L3180" i="1" s="1"/>
  <c r="M3179" i="1"/>
  <c r="L3179" i="1"/>
  <c r="J3179" i="1"/>
  <c r="K3179" i="1" s="1"/>
  <c r="I3179" i="1"/>
  <c r="M3178" i="1"/>
  <c r="K3178" i="1"/>
  <c r="J3178" i="1"/>
  <c r="I3178" i="1"/>
  <c r="L3178" i="1" s="1"/>
  <c r="M3177" i="1"/>
  <c r="L3177" i="1"/>
  <c r="J3177" i="1"/>
  <c r="K3177" i="1" s="1"/>
  <c r="I3177" i="1"/>
  <c r="M3176" i="1"/>
  <c r="K3176" i="1"/>
  <c r="J3176" i="1"/>
  <c r="I3176" i="1"/>
  <c r="L3176" i="1" s="1"/>
  <c r="M3175" i="1"/>
  <c r="L3175" i="1"/>
  <c r="J3175" i="1"/>
  <c r="K3175" i="1" s="1"/>
  <c r="I3175" i="1"/>
  <c r="M3174" i="1"/>
  <c r="K3174" i="1"/>
  <c r="J3174" i="1"/>
  <c r="I3174" i="1"/>
  <c r="L3174" i="1" s="1"/>
  <c r="M3173" i="1"/>
  <c r="L3173" i="1"/>
  <c r="J3173" i="1"/>
  <c r="K3173" i="1" s="1"/>
  <c r="I3173" i="1"/>
  <c r="M3172" i="1"/>
  <c r="K3172" i="1"/>
  <c r="J3172" i="1"/>
  <c r="I3172" i="1"/>
  <c r="L3172" i="1" s="1"/>
  <c r="M3171" i="1"/>
  <c r="L3171" i="1"/>
  <c r="J3171" i="1"/>
  <c r="K3171" i="1" s="1"/>
  <c r="I3171" i="1"/>
  <c r="M3170" i="1"/>
  <c r="K3170" i="1"/>
  <c r="J3170" i="1"/>
  <c r="I3170" i="1"/>
  <c r="L3170" i="1" s="1"/>
  <c r="M3169" i="1"/>
  <c r="L3169" i="1"/>
  <c r="J3169" i="1"/>
  <c r="K3169" i="1" s="1"/>
  <c r="I3169" i="1"/>
  <c r="M3168" i="1"/>
  <c r="K3168" i="1"/>
  <c r="J3168" i="1"/>
  <c r="I3168" i="1"/>
  <c r="L3168" i="1" s="1"/>
  <c r="M3167" i="1"/>
  <c r="L3167" i="1"/>
  <c r="J3167" i="1"/>
  <c r="K3167" i="1" s="1"/>
  <c r="I3167" i="1"/>
  <c r="M3166" i="1"/>
  <c r="K3166" i="1"/>
  <c r="J3166" i="1"/>
  <c r="I3166" i="1"/>
  <c r="L3166" i="1" s="1"/>
  <c r="M3165" i="1"/>
  <c r="L3165" i="1"/>
  <c r="J3165" i="1"/>
  <c r="K3165" i="1" s="1"/>
  <c r="I3165" i="1"/>
  <c r="M3164" i="1"/>
  <c r="K3164" i="1"/>
  <c r="J3164" i="1"/>
  <c r="I3164" i="1"/>
  <c r="L3164" i="1" s="1"/>
  <c r="M3163" i="1"/>
  <c r="L3163" i="1"/>
  <c r="J3163" i="1"/>
  <c r="K3163" i="1" s="1"/>
  <c r="I3163" i="1"/>
  <c r="M3162" i="1"/>
  <c r="K3162" i="1"/>
  <c r="J3162" i="1"/>
  <c r="I3162" i="1"/>
  <c r="L3162" i="1" s="1"/>
  <c r="M3161" i="1"/>
  <c r="L3161" i="1"/>
  <c r="J3161" i="1"/>
  <c r="K3161" i="1" s="1"/>
  <c r="I3161" i="1"/>
  <c r="M3160" i="1"/>
  <c r="K3160" i="1"/>
  <c r="J3160" i="1"/>
  <c r="I3160" i="1"/>
  <c r="L3160" i="1" s="1"/>
  <c r="M3159" i="1"/>
  <c r="L3159" i="1"/>
  <c r="J3159" i="1"/>
  <c r="K3159" i="1" s="1"/>
  <c r="I3159" i="1"/>
  <c r="M3158" i="1"/>
  <c r="K3158" i="1"/>
  <c r="J3158" i="1"/>
  <c r="I3158" i="1"/>
  <c r="L3158" i="1" s="1"/>
  <c r="M3157" i="1"/>
  <c r="L3157" i="1"/>
  <c r="J3157" i="1"/>
  <c r="K3157" i="1" s="1"/>
  <c r="I3157" i="1"/>
  <c r="M3156" i="1"/>
  <c r="K3156" i="1"/>
  <c r="J3156" i="1"/>
  <c r="I3156" i="1"/>
  <c r="L3156" i="1" s="1"/>
  <c r="M3155" i="1"/>
  <c r="L3155" i="1"/>
  <c r="J3155" i="1"/>
  <c r="K3155" i="1" s="1"/>
  <c r="I3155" i="1"/>
  <c r="M3154" i="1"/>
  <c r="K3154" i="1"/>
  <c r="J3154" i="1"/>
  <c r="I3154" i="1"/>
  <c r="L3154" i="1" s="1"/>
  <c r="M3153" i="1"/>
  <c r="L3153" i="1"/>
  <c r="J3153" i="1"/>
  <c r="K3153" i="1" s="1"/>
  <c r="I3153" i="1"/>
  <c r="M3152" i="1"/>
  <c r="K3152" i="1"/>
  <c r="J3152" i="1"/>
  <c r="I3152" i="1"/>
  <c r="L3152" i="1" s="1"/>
  <c r="M3151" i="1"/>
  <c r="L3151" i="1"/>
  <c r="J3151" i="1"/>
  <c r="K3151" i="1" s="1"/>
  <c r="I3151" i="1"/>
  <c r="M3150" i="1"/>
  <c r="K3150" i="1"/>
  <c r="J3150" i="1"/>
  <c r="I3150" i="1"/>
  <c r="L3150" i="1" s="1"/>
  <c r="M3149" i="1"/>
  <c r="L3149" i="1"/>
  <c r="J3149" i="1"/>
  <c r="K3149" i="1" s="1"/>
  <c r="I3149" i="1"/>
  <c r="M3148" i="1"/>
  <c r="K3148" i="1"/>
  <c r="J3148" i="1"/>
  <c r="I3148" i="1"/>
  <c r="L3148" i="1" s="1"/>
  <c r="M3147" i="1"/>
  <c r="L3147" i="1"/>
  <c r="J3147" i="1"/>
  <c r="K3147" i="1" s="1"/>
  <c r="I3147" i="1"/>
  <c r="M3146" i="1"/>
  <c r="K3146" i="1"/>
  <c r="J3146" i="1"/>
  <c r="I3146" i="1"/>
  <c r="L3146" i="1" s="1"/>
  <c r="M3145" i="1"/>
  <c r="L3145" i="1"/>
  <c r="J3145" i="1"/>
  <c r="K3145" i="1" s="1"/>
  <c r="I3145" i="1"/>
  <c r="M3144" i="1"/>
  <c r="K3144" i="1"/>
  <c r="J3144" i="1"/>
  <c r="I3144" i="1"/>
  <c r="L3144" i="1" s="1"/>
  <c r="M3143" i="1"/>
  <c r="L3143" i="1"/>
  <c r="J3143" i="1"/>
  <c r="K3143" i="1" s="1"/>
  <c r="I3143" i="1"/>
  <c r="M3142" i="1"/>
  <c r="K3142" i="1"/>
  <c r="J3142" i="1"/>
  <c r="I3142" i="1"/>
  <c r="L3142" i="1" s="1"/>
  <c r="M3141" i="1"/>
  <c r="L3141" i="1"/>
  <c r="J3141" i="1"/>
  <c r="K3141" i="1" s="1"/>
  <c r="I3141" i="1"/>
  <c r="M3140" i="1"/>
  <c r="K3140" i="1"/>
  <c r="J3140" i="1"/>
  <c r="I3140" i="1"/>
  <c r="L3140" i="1" s="1"/>
  <c r="M3139" i="1"/>
  <c r="L3139" i="1"/>
  <c r="J3139" i="1"/>
  <c r="K3139" i="1" s="1"/>
  <c r="I3139" i="1"/>
  <c r="M3138" i="1"/>
  <c r="K3138" i="1"/>
  <c r="J3138" i="1"/>
  <c r="I3138" i="1"/>
  <c r="L3138" i="1" s="1"/>
  <c r="M3137" i="1"/>
  <c r="L3137" i="1"/>
  <c r="J3137" i="1"/>
  <c r="K3137" i="1" s="1"/>
  <c r="I3137" i="1"/>
  <c r="M3136" i="1"/>
  <c r="K3136" i="1"/>
  <c r="J3136" i="1"/>
  <c r="I3136" i="1"/>
  <c r="L3136" i="1" s="1"/>
  <c r="M3135" i="1"/>
  <c r="L3135" i="1"/>
  <c r="J3135" i="1"/>
  <c r="K3135" i="1" s="1"/>
  <c r="I3135" i="1"/>
  <c r="M3134" i="1"/>
  <c r="K3134" i="1"/>
  <c r="J3134" i="1"/>
  <c r="I3134" i="1"/>
  <c r="L3134" i="1" s="1"/>
  <c r="M3133" i="1"/>
  <c r="L3133" i="1"/>
  <c r="J3133" i="1"/>
  <c r="K3133" i="1" s="1"/>
  <c r="I3133" i="1"/>
  <c r="M3132" i="1"/>
  <c r="K3132" i="1"/>
  <c r="J3132" i="1"/>
  <c r="I3132" i="1"/>
  <c r="L3132" i="1" s="1"/>
  <c r="M3131" i="1"/>
  <c r="L3131" i="1"/>
  <c r="J3131" i="1"/>
  <c r="K3131" i="1" s="1"/>
  <c r="I3131" i="1"/>
  <c r="M3130" i="1"/>
  <c r="K3130" i="1"/>
  <c r="J3130" i="1"/>
  <c r="I3130" i="1"/>
  <c r="L3130" i="1" s="1"/>
  <c r="M3129" i="1"/>
  <c r="L3129" i="1"/>
  <c r="J3129" i="1"/>
  <c r="K3129" i="1" s="1"/>
  <c r="I3129" i="1"/>
  <c r="M3128" i="1"/>
  <c r="K3128" i="1"/>
  <c r="J3128" i="1"/>
  <c r="I3128" i="1"/>
  <c r="L3128" i="1" s="1"/>
  <c r="M3127" i="1"/>
  <c r="L3127" i="1"/>
  <c r="J3127" i="1"/>
  <c r="K3127" i="1" s="1"/>
  <c r="I3127" i="1"/>
  <c r="M3126" i="1"/>
  <c r="K3126" i="1"/>
  <c r="J3126" i="1"/>
  <c r="I3126" i="1"/>
  <c r="L3126" i="1" s="1"/>
  <c r="M3125" i="1"/>
  <c r="L3125" i="1"/>
  <c r="J3125" i="1"/>
  <c r="K3125" i="1" s="1"/>
  <c r="I3125" i="1"/>
  <c r="M3124" i="1"/>
  <c r="K3124" i="1"/>
  <c r="J3124" i="1"/>
  <c r="I3124" i="1"/>
  <c r="L3124" i="1" s="1"/>
  <c r="M3123" i="1"/>
  <c r="L3123" i="1"/>
  <c r="J3123" i="1"/>
  <c r="K3123" i="1" s="1"/>
  <c r="I3123" i="1"/>
  <c r="M3122" i="1"/>
  <c r="K3122" i="1"/>
  <c r="J3122" i="1"/>
  <c r="I3122" i="1"/>
  <c r="L3122" i="1" s="1"/>
  <c r="M3121" i="1"/>
  <c r="L3121" i="1"/>
  <c r="J3121" i="1"/>
  <c r="K3121" i="1" s="1"/>
  <c r="I3121" i="1"/>
  <c r="M3120" i="1"/>
  <c r="K3120" i="1"/>
  <c r="J3120" i="1"/>
  <c r="I3120" i="1"/>
  <c r="L3120" i="1" s="1"/>
  <c r="M3119" i="1"/>
  <c r="L3119" i="1"/>
  <c r="J3119" i="1"/>
  <c r="K3119" i="1" s="1"/>
  <c r="I3119" i="1"/>
  <c r="M3118" i="1"/>
  <c r="K3118" i="1"/>
  <c r="J3118" i="1"/>
  <c r="I3118" i="1"/>
  <c r="L3118" i="1" s="1"/>
  <c r="M3117" i="1"/>
  <c r="L3117" i="1"/>
  <c r="J3117" i="1"/>
  <c r="K3117" i="1" s="1"/>
  <c r="I3117" i="1"/>
  <c r="M3116" i="1"/>
  <c r="K3116" i="1"/>
  <c r="J3116" i="1"/>
  <c r="I3116" i="1"/>
  <c r="L3116" i="1" s="1"/>
  <c r="M3115" i="1"/>
  <c r="L3115" i="1"/>
  <c r="J3115" i="1"/>
  <c r="K3115" i="1" s="1"/>
  <c r="I3115" i="1"/>
  <c r="M3114" i="1"/>
  <c r="K3114" i="1"/>
  <c r="J3114" i="1"/>
  <c r="I3114" i="1"/>
  <c r="L3114" i="1" s="1"/>
  <c r="M3113" i="1"/>
  <c r="L3113" i="1"/>
  <c r="J3113" i="1"/>
  <c r="K3113" i="1" s="1"/>
  <c r="I3113" i="1"/>
  <c r="M3112" i="1"/>
  <c r="K3112" i="1"/>
  <c r="J3112" i="1"/>
  <c r="I3112" i="1"/>
  <c r="L3112" i="1" s="1"/>
  <c r="M3111" i="1"/>
  <c r="L3111" i="1"/>
  <c r="J3111" i="1"/>
  <c r="K3111" i="1" s="1"/>
  <c r="I3111" i="1"/>
  <c r="M3110" i="1"/>
  <c r="L3110" i="1"/>
  <c r="K3110" i="1"/>
  <c r="J3110" i="1"/>
  <c r="I3110" i="1"/>
  <c r="M3109" i="1"/>
  <c r="L3109" i="1"/>
  <c r="J3109" i="1"/>
  <c r="K3109" i="1" s="1"/>
  <c r="I3109" i="1"/>
  <c r="M3108" i="1"/>
  <c r="K3108" i="1"/>
  <c r="J3108" i="1"/>
  <c r="I3108" i="1"/>
  <c r="L3108" i="1" s="1"/>
  <c r="M3107" i="1"/>
  <c r="L3107" i="1"/>
  <c r="J3107" i="1"/>
  <c r="K3107" i="1" s="1"/>
  <c r="I3107" i="1"/>
  <c r="M3106" i="1"/>
  <c r="K3106" i="1"/>
  <c r="J3106" i="1"/>
  <c r="I3106" i="1"/>
  <c r="L3106" i="1" s="1"/>
  <c r="M3105" i="1"/>
  <c r="J3105" i="1"/>
  <c r="K3105" i="1" s="1"/>
  <c r="I3105" i="1"/>
  <c r="L3105" i="1" s="1"/>
  <c r="M3104" i="1"/>
  <c r="J3104" i="1"/>
  <c r="K3104" i="1" s="1"/>
  <c r="I3104" i="1"/>
  <c r="L3104" i="1" s="1"/>
  <c r="M3103" i="1"/>
  <c r="L3103" i="1"/>
  <c r="J3103" i="1"/>
  <c r="K3103" i="1" s="1"/>
  <c r="I3103" i="1"/>
  <c r="M3102" i="1"/>
  <c r="L3102" i="1"/>
  <c r="K3102" i="1"/>
  <c r="J3102" i="1"/>
  <c r="I3102" i="1"/>
  <c r="M3101" i="1"/>
  <c r="L3101" i="1"/>
  <c r="J3101" i="1"/>
  <c r="K3101" i="1" s="1"/>
  <c r="I3101" i="1"/>
  <c r="M3100" i="1"/>
  <c r="K3100" i="1"/>
  <c r="J3100" i="1"/>
  <c r="I3100" i="1"/>
  <c r="L3100" i="1" s="1"/>
  <c r="M3099" i="1"/>
  <c r="L3099" i="1"/>
  <c r="J3099" i="1"/>
  <c r="K3099" i="1" s="1"/>
  <c r="I3099" i="1"/>
  <c r="M3098" i="1"/>
  <c r="K3098" i="1"/>
  <c r="J3098" i="1"/>
  <c r="I3098" i="1"/>
  <c r="L3098" i="1" s="1"/>
  <c r="M3097" i="1"/>
  <c r="J3097" i="1"/>
  <c r="K3097" i="1" s="1"/>
  <c r="I3097" i="1"/>
  <c r="L3097" i="1" s="1"/>
  <c r="M3096" i="1"/>
  <c r="J3096" i="1"/>
  <c r="K3096" i="1" s="1"/>
  <c r="I3096" i="1"/>
  <c r="L3096" i="1" s="1"/>
  <c r="M3095" i="1"/>
  <c r="L3095" i="1"/>
  <c r="J3095" i="1"/>
  <c r="K3095" i="1" s="1"/>
  <c r="I3095" i="1"/>
  <c r="M3094" i="1"/>
  <c r="L3094" i="1"/>
  <c r="K3094" i="1"/>
  <c r="J3094" i="1"/>
  <c r="I3094" i="1"/>
  <c r="M3093" i="1"/>
  <c r="L3093" i="1"/>
  <c r="J3093" i="1"/>
  <c r="K3093" i="1" s="1"/>
  <c r="I3093" i="1"/>
  <c r="M3092" i="1"/>
  <c r="K3092" i="1"/>
  <c r="J3092" i="1"/>
  <c r="I3092" i="1"/>
  <c r="L3092" i="1" s="1"/>
  <c r="M3091" i="1"/>
  <c r="L3091" i="1"/>
  <c r="J3091" i="1"/>
  <c r="K3091" i="1" s="1"/>
  <c r="I3091" i="1"/>
  <c r="M3090" i="1"/>
  <c r="K3090" i="1"/>
  <c r="J3090" i="1"/>
  <c r="I3090" i="1"/>
  <c r="L3090" i="1" s="1"/>
  <c r="M3089" i="1"/>
  <c r="J3089" i="1"/>
  <c r="K3089" i="1" s="1"/>
  <c r="I3089" i="1"/>
  <c r="L3089" i="1" s="1"/>
  <c r="M3088" i="1"/>
  <c r="J3088" i="1"/>
  <c r="K3088" i="1" s="1"/>
  <c r="I3088" i="1"/>
  <c r="L3088" i="1" s="1"/>
  <c r="M3087" i="1"/>
  <c r="L3087" i="1"/>
  <c r="J3087" i="1"/>
  <c r="K3087" i="1" s="1"/>
  <c r="I3087" i="1"/>
  <c r="M3086" i="1"/>
  <c r="L3086" i="1"/>
  <c r="K3086" i="1"/>
  <c r="J3086" i="1"/>
  <c r="I3086" i="1"/>
  <c r="M3085" i="1"/>
  <c r="L3085" i="1"/>
  <c r="J3085" i="1"/>
  <c r="K3085" i="1" s="1"/>
  <c r="I3085" i="1"/>
  <c r="M3084" i="1"/>
  <c r="K3084" i="1"/>
  <c r="J3084" i="1"/>
  <c r="I3084" i="1"/>
  <c r="L3084" i="1" s="1"/>
  <c r="M3083" i="1"/>
  <c r="L3083" i="1"/>
  <c r="J3083" i="1"/>
  <c r="K3083" i="1" s="1"/>
  <c r="I3083" i="1"/>
  <c r="M3082" i="1"/>
  <c r="K3082" i="1"/>
  <c r="J3082" i="1"/>
  <c r="I3082" i="1"/>
  <c r="L3082" i="1" s="1"/>
  <c r="M3081" i="1"/>
  <c r="J3081" i="1"/>
  <c r="K3081" i="1" s="1"/>
  <c r="I3081" i="1"/>
  <c r="L3081" i="1" s="1"/>
  <c r="M3080" i="1"/>
  <c r="J3080" i="1"/>
  <c r="K3080" i="1" s="1"/>
  <c r="I3080" i="1"/>
  <c r="L3080" i="1" s="1"/>
  <c r="M3079" i="1"/>
  <c r="L3079" i="1"/>
  <c r="J3079" i="1"/>
  <c r="K3079" i="1" s="1"/>
  <c r="I3079" i="1"/>
  <c r="M3078" i="1"/>
  <c r="L3078" i="1"/>
  <c r="K3078" i="1"/>
  <c r="J3078" i="1"/>
  <c r="I3078" i="1"/>
  <c r="M3077" i="1"/>
  <c r="L3077" i="1"/>
  <c r="J3077" i="1"/>
  <c r="K3077" i="1" s="1"/>
  <c r="I3077" i="1"/>
  <c r="M3076" i="1"/>
  <c r="K3076" i="1"/>
  <c r="J3076" i="1"/>
  <c r="I3076" i="1"/>
  <c r="L3076" i="1" s="1"/>
  <c r="M3075" i="1"/>
  <c r="L3075" i="1"/>
  <c r="J3075" i="1"/>
  <c r="K3075" i="1" s="1"/>
  <c r="I3075" i="1"/>
  <c r="M3074" i="1"/>
  <c r="K3074" i="1"/>
  <c r="J3074" i="1"/>
  <c r="I3074" i="1"/>
  <c r="L3074" i="1" s="1"/>
  <c r="M3073" i="1"/>
  <c r="J3073" i="1"/>
  <c r="K3073" i="1" s="1"/>
  <c r="I3073" i="1"/>
  <c r="L3073" i="1" s="1"/>
  <c r="M3072" i="1"/>
  <c r="J3072" i="1"/>
  <c r="K3072" i="1" s="1"/>
  <c r="I3072" i="1"/>
  <c r="L3072" i="1" s="1"/>
  <c r="M3071" i="1"/>
  <c r="L3071" i="1"/>
  <c r="J3071" i="1"/>
  <c r="K3071" i="1" s="1"/>
  <c r="I3071" i="1"/>
  <c r="M3070" i="1"/>
  <c r="L3070" i="1"/>
  <c r="K3070" i="1"/>
  <c r="J3070" i="1"/>
  <c r="I3070" i="1"/>
  <c r="M3069" i="1"/>
  <c r="L3069" i="1"/>
  <c r="J3069" i="1"/>
  <c r="K3069" i="1" s="1"/>
  <c r="I3069" i="1"/>
  <c r="M3068" i="1"/>
  <c r="L3068" i="1"/>
  <c r="J3068" i="1"/>
  <c r="K3068" i="1" s="1"/>
  <c r="I3068" i="1"/>
  <c r="M3067" i="1"/>
  <c r="J3067" i="1"/>
  <c r="K3067" i="1" s="1"/>
  <c r="I3067" i="1"/>
  <c r="L3067" i="1" s="1"/>
  <c r="M3066" i="1"/>
  <c r="L3066" i="1"/>
  <c r="J3066" i="1"/>
  <c r="K3066" i="1" s="1"/>
  <c r="I3066" i="1"/>
  <c r="M3065" i="1"/>
  <c r="L3065" i="1"/>
  <c r="K3065" i="1"/>
  <c r="J3065" i="1"/>
  <c r="I3065" i="1"/>
  <c r="M3064" i="1"/>
  <c r="L3064" i="1"/>
  <c r="J3064" i="1"/>
  <c r="K3064" i="1" s="1"/>
  <c r="I3064" i="1"/>
  <c r="M3063" i="1"/>
  <c r="J3063" i="1"/>
  <c r="K3063" i="1" s="1"/>
  <c r="I3063" i="1"/>
  <c r="L3063" i="1" s="1"/>
  <c r="M3062" i="1"/>
  <c r="L3062" i="1"/>
  <c r="J3062" i="1"/>
  <c r="K3062" i="1" s="1"/>
  <c r="I3062" i="1"/>
  <c r="M3061" i="1"/>
  <c r="L3061" i="1"/>
  <c r="K3061" i="1"/>
  <c r="J3061" i="1"/>
  <c r="I3061" i="1"/>
  <c r="M3060" i="1"/>
  <c r="L3060" i="1"/>
  <c r="J3060" i="1"/>
  <c r="K3060" i="1" s="1"/>
  <c r="I3060" i="1"/>
  <c r="M3059" i="1"/>
  <c r="J3059" i="1"/>
  <c r="K3059" i="1" s="1"/>
  <c r="I3059" i="1"/>
  <c r="L3059" i="1" s="1"/>
  <c r="M3058" i="1"/>
  <c r="L3058" i="1"/>
  <c r="J3058" i="1"/>
  <c r="K3058" i="1" s="1"/>
  <c r="I3058" i="1"/>
  <c r="M3057" i="1"/>
  <c r="L3057" i="1"/>
  <c r="K3057" i="1"/>
  <c r="J3057" i="1"/>
  <c r="I3057" i="1"/>
  <c r="M3056" i="1"/>
  <c r="L3056" i="1"/>
  <c r="J3056" i="1"/>
  <c r="K3056" i="1" s="1"/>
  <c r="I3056" i="1"/>
  <c r="M3055" i="1"/>
  <c r="J3055" i="1"/>
  <c r="K3055" i="1" s="1"/>
  <c r="I3055" i="1"/>
  <c r="L3055" i="1" s="1"/>
  <c r="M3054" i="1"/>
  <c r="L3054" i="1"/>
  <c r="J3054" i="1"/>
  <c r="K3054" i="1" s="1"/>
  <c r="I3054" i="1"/>
  <c r="M3053" i="1"/>
  <c r="L3053" i="1"/>
  <c r="K3053" i="1"/>
  <c r="J3053" i="1"/>
  <c r="I3053" i="1"/>
  <c r="M3052" i="1"/>
  <c r="L3052" i="1"/>
  <c r="J3052" i="1"/>
  <c r="K3052" i="1" s="1"/>
  <c r="I3052" i="1"/>
  <c r="M3051" i="1"/>
  <c r="J3051" i="1"/>
  <c r="K3051" i="1" s="1"/>
  <c r="I3051" i="1"/>
  <c r="L3051" i="1" s="1"/>
  <c r="M3050" i="1"/>
  <c r="L3050" i="1"/>
  <c r="J3050" i="1"/>
  <c r="K3050" i="1" s="1"/>
  <c r="I3050" i="1"/>
  <c r="M3049" i="1"/>
  <c r="L3049" i="1"/>
  <c r="K3049" i="1"/>
  <c r="J3049" i="1"/>
  <c r="I3049" i="1"/>
  <c r="M3048" i="1"/>
  <c r="L3048" i="1"/>
  <c r="J3048" i="1"/>
  <c r="K3048" i="1" s="1"/>
  <c r="I3048" i="1"/>
  <c r="M3047" i="1"/>
  <c r="J3047" i="1"/>
  <c r="K3047" i="1" s="1"/>
  <c r="I3047" i="1"/>
  <c r="L3047" i="1" s="1"/>
  <c r="M3046" i="1"/>
  <c r="L3046" i="1"/>
  <c r="J3046" i="1"/>
  <c r="K3046" i="1" s="1"/>
  <c r="I3046" i="1"/>
  <c r="M3045" i="1"/>
  <c r="L3045" i="1"/>
  <c r="K3045" i="1"/>
  <c r="J3045" i="1"/>
  <c r="I3045" i="1"/>
  <c r="M3044" i="1"/>
  <c r="L3044" i="1"/>
  <c r="J3044" i="1"/>
  <c r="K3044" i="1" s="1"/>
  <c r="I3044" i="1"/>
  <c r="M3043" i="1"/>
  <c r="J3043" i="1"/>
  <c r="K3043" i="1" s="1"/>
  <c r="I3043" i="1"/>
  <c r="L3043" i="1" s="1"/>
  <c r="M3042" i="1"/>
  <c r="L3042" i="1"/>
  <c r="J3042" i="1"/>
  <c r="K3042" i="1" s="1"/>
  <c r="I3042" i="1"/>
  <c r="M3041" i="1"/>
  <c r="L3041" i="1"/>
  <c r="K3041" i="1"/>
  <c r="J3041" i="1"/>
  <c r="I3041" i="1"/>
  <c r="M3040" i="1"/>
  <c r="L3040" i="1"/>
  <c r="J3040" i="1"/>
  <c r="K3040" i="1" s="1"/>
  <c r="I3040" i="1"/>
  <c r="M3039" i="1"/>
  <c r="J3039" i="1"/>
  <c r="K3039" i="1" s="1"/>
  <c r="I3039" i="1"/>
  <c r="L3039" i="1" s="1"/>
  <c r="M3038" i="1"/>
  <c r="L3038" i="1"/>
  <c r="J3038" i="1"/>
  <c r="K3038" i="1" s="1"/>
  <c r="I3038" i="1"/>
  <c r="M3037" i="1"/>
  <c r="L3037" i="1"/>
  <c r="K3037" i="1"/>
  <c r="J3037" i="1"/>
  <c r="I3037" i="1"/>
  <c r="M3036" i="1"/>
  <c r="L3036" i="1"/>
  <c r="J3036" i="1"/>
  <c r="K3036" i="1" s="1"/>
  <c r="I3036" i="1"/>
  <c r="M3035" i="1"/>
  <c r="J3035" i="1"/>
  <c r="K3035" i="1" s="1"/>
  <c r="I3035" i="1"/>
  <c r="L3035" i="1" s="1"/>
  <c r="M3034" i="1"/>
  <c r="L3034" i="1"/>
  <c r="J3034" i="1"/>
  <c r="K3034" i="1" s="1"/>
  <c r="I3034" i="1"/>
  <c r="M3033" i="1"/>
  <c r="L3033" i="1"/>
  <c r="K3033" i="1"/>
  <c r="J3033" i="1"/>
  <c r="I3033" i="1"/>
  <c r="M3032" i="1"/>
  <c r="L3032" i="1"/>
  <c r="J3032" i="1"/>
  <c r="K3032" i="1" s="1"/>
  <c r="I3032" i="1"/>
  <c r="M3031" i="1"/>
  <c r="J3031" i="1"/>
  <c r="K3031" i="1" s="1"/>
  <c r="I3031" i="1"/>
  <c r="L3031" i="1" s="1"/>
  <c r="M3030" i="1"/>
  <c r="L3030" i="1"/>
  <c r="J3030" i="1"/>
  <c r="K3030" i="1" s="1"/>
  <c r="I3030" i="1"/>
  <c r="M3029" i="1"/>
  <c r="L3029" i="1"/>
  <c r="K3029" i="1"/>
  <c r="J3029" i="1"/>
  <c r="I3029" i="1"/>
  <c r="M3028" i="1"/>
  <c r="L3028" i="1"/>
  <c r="J3028" i="1"/>
  <c r="K3028" i="1" s="1"/>
  <c r="I3028" i="1"/>
  <c r="M3027" i="1"/>
  <c r="J3027" i="1"/>
  <c r="K3027" i="1" s="1"/>
  <c r="I3027" i="1"/>
  <c r="L3027" i="1" s="1"/>
  <c r="M3026" i="1"/>
  <c r="L3026" i="1"/>
  <c r="J3026" i="1"/>
  <c r="K3026" i="1" s="1"/>
  <c r="I3026" i="1"/>
  <c r="M3025" i="1"/>
  <c r="L3025" i="1"/>
  <c r="K3025" i="1"/>
  <c r="J3025" i="1"/>
  <c r="I3025" i="1"/>
  <c r="M3024" i="1"/>
  <c r="L3024" i="1"/>
  <c r="J3024" i="1"/>
  <c r="K3024" i="1" s="1"/>
  <c r="I3024" i="1"/>
  <c r="M3023" i="1"/>
  <c r="J3023" i="1"/>
  <c r="K3023" i="1" s="1"/>
  <c r="I3023" i="1"/>
  <c r="L3023" i="1" s="1"/>
  <c r="M3022" i="1"/>
  <c r="L3022" i="1"/>
  <c r="J3022" i="1"/>
  <c r="K3022" i="1" s="1"/>
  <c r="I3022" i="1"/>
  <c r="M3021" i="1"/>
  <c r="L3021" i="1"/>
  <c r="K3021" i="1"/>
  <c r="J3021" i="1"/>
  <c r="I3021" i="1"/>
  <c r="M3020" i="1"/>
  <c r="L3020" i="1"/>
  <c r="J3020" i="1"/>
  <c r="K3020" i="1" s="1"/>
  <c r="I3020" i="1"/>
  <c r="M3019" i="1"/>
  <c r="J3019" i="1"/>
  <c r="K3019" i="1" s="1"/>
  <c r="I3019" i="1"/>
  <c r="L3019" i="1" s="1"/>
  <c r="M3018" i="1"/>
  <c r="L3018" i="1"/>
  <c r="J3018" i="1"/>
  <c r="K3018" i="1" s="1"/>
  <c r="I3018" i="1"/>
  <c r="M3017" i="1"/>
  <c r="L3017" i="1"/>
  <c r="K3017" i="1"/>
  <c r="J3017" i="1"/>
  <c r="I3017" i="1"/>
  <c r="M3016" i="1"/>
  <c r="L3016" i="1"/>
  <c r="J3016" i="1"/>
  <c r="K3016" i="1" s="1"/>
  <c r="I3016" i="1"/>
  <c r="M3015" i="1"/>
  <c r="J3015" i="1"/>
  <c r="K3015" i="1" s="1"/>
  <c r="I3015" i="1"/>
  <c r="L3015" i="1" s="1"/>
  <c r="M3014" i="1"/>
  <c r="L3014" i="1"/>
  <c r="J3014" i="1"/>
  <c r="K3014" i="1" s="1"/>
  <c r="I3014" i="1"/>
  <c r="M3013" i="1"/>
  <c r="L3013" i="1"/>
  <c r="K3013" i="1"/>
  <c r="J3013" i="1"/>
  <c r="I3013" i="1"/>
  <c r="M3012" i="1"/>
  <c r="L3012" i="1"/>
  <c r="J3012" i="1"/>
  <c r="K3012" i="1" s="1"/>
  <c r="I3012" i="1"/>
  <c r="M3011" i="1"/>
  <c r="J3011" i="1"/>
  <c r="K3011" i="1" s="1"/>
  <c r="I3011" i="1"/>
  <c r="L3011" i="1" s="1"/>
  <c r="M3010" i="1"/>
  <c r="L3010" i="1"/>
  <c r="J3010" i="1"/>
  <c r="K3010" i="1" s="1"/>
  <c r="I3010" i="1"/>
  <c r="M3009" i="1"/>
  <c r="L3009" i="1"/>
  <c r="K3009" i="1"/>
  <c r="J3009" i="1"/>
  <c r="I3009" i="1"/>
  <c r="M3008" i="1"/>
  <c r="L3008" i="1"/>
  <c r="J3008" i="1"/>
  <c r="K3008" i="1" s="1"/>
  <c r="I3008" i="1"/>
  <c r="M3007" i="1"/>
  <c r="J3007" i="1"/>
  <c r="K3007" i="1" s="1"/>
  <c r="I3007" i="1"/>
  <c r="L3007" i="1" s="1"/>
  <c r="M3006" i="1"/>
  <c r="L3006" i="1"/>
  <c r="J3006" i="1"/>
  <c r="K3006" i="1" s="1"/>
  <c r="I3006" i="1"/>
  <c r="M3005" i="1"/>
  <c r="L3005" i="1"/>
  <c r="K3005" i="1"/>
  <c r="J3005" i="1"/>
  <c r="I3005" i="1"/>
  <c r="M3004" i="1"/>
  <c r="L3004" i="1"/>
  <c r="J3004" i="1"/>
  <c r="K3004" i="1" s="1"/>
  <c r="I3004" i="1"/>
  <c r="M3003" i="1"/>
  <c r="J3003" i="1"/>
  <c r="K3003" i="1" s="1"/>
  <c r="I3003" i="1"/>
  <c r="L3003" i="1" s="1"/>
  <c r="M3002" i="1"/>
  <c r="L3002" i="1"/>
  <c r="J3002" i="1"/>
  <c r="K3002" i="1" s="1"/>
  <c r="I3002" i="1"/>
  <c r="M3001" i="1"/>
  <c r="L3001" i="1"/>
  <c r="K3001" i="1"/>
  <c r="J3001" i="1"/>
  <c r="I3001" i="1"/>
  <c r="M3000" i="1"/>
  <c r="L3000" i="1"/>
  <c r="J3000" i="1"/>
  <c r="K3000" i="1" s="1"/>
  <c r="I3000" i="1"/>
  <c r="M2999" i="1"/>
  <c r="J2999" i="1"/>
  <c r="K2999" i="1" s="1"/>
  <c r="I2999" i="1"/>
  <c r="L2999" i="1" s="1"/>
  <c r="M2998" i="1"/>
  <c r="L2998" i="1"/>
  <c r="J2998" i="1"/>
  <c r="K2998" i="1" s="1"/>
  <c r="I2998" i="1"/>
  <c r="M2997" i="1"/>
  <c r="L2997" i="1"/>
  <c r="K2997" i="1"/>
  <c r="J2997" i="1"/>
  <c r="I2997" i="1"/>
  <c r="M2996" i="1"/>
  <c r="L2996" i="1"/>
  <c r="J2996" i="1"/>
  <c r="K2996" i="1" s="1"/>
  <c r="I2996" i="1"/>
  <c r="M2995" i="1"/>
  <c r="J2995" i="1"/>
  <c r="K2995" i="1" s="1"/>
  <c r="I2995" i="1"/>
  <c r="L2995" i="1" s="1"/>
  <c r="M2994" i="1"/>
  <c r="L2994" i="1"/>
  <c r="J2994" i="1"/>
  <c r="K2994" i="1" s="1"/>
  <c r="I2994" i="1"/>
  <c r="M2993" i="1"/>
  <c r="L2993" i="1"/>
  <c r="K2993" i="1"/>
  <c r="J2993" i="1"/>
  <c r="I2993" i="1"/>
  <c r="M2992" i="1"/>
  <c r="L2992" i="1"/>
  <c r="J2992" i="1"/>
  <c r="K2992" i="1" s="1"/>
  <c r="I2992" i="1"/>
  <c r="M2991" i="1"/>
  <c r="J2991" i="1"/>
  <c r="K2991" i="1" s="1"/>
  <c r="I2991" i="1"/>
  <c r="L2991" i="1" s="1"/>
  <c r="M2990" i="1"/>
  <c r="L2990" i="1"/>
  <c r="J2990" i="1"/>
  <c r="K2990" i="1" s="1"/>
  <c r="I2990" i="1"/>
  <c r="M2989" i="1"/>
  <c r="L2989" i="1"/>
  <c r="K2989" i="1"/>
  <c r="J2989" i="1"/>
  <c r="I2989" i="1"/>
  <c r="M2988" i="1"/>
  <c r="L2988" i="1"/>
  <c r="J2988" i="1"/>
  <c r="K2988" i="1" s="1"/>
  <c r="I2988" i="1"/>
  <c r="M2987" i="1"/>
  <c r="J2987" i="1"/>
  <c r="K2987" i="1" s="1"/>
  <c r="I2987" i="1"/>
  <c r="L2987" i="1" s="1"/>
  <c r="M2986" i="1"/>
  <c r="L2986" i="1"/>
  <c r="J2986" i="1"/>
  <c r="K2986" i="1" s="1"/>
  <c r="I2986" i="1"/>
  <c r="M2985" i="1"/>
  <c r="L2985" i="1"/>
  <c r="K2985" i="1"/>
  <c r="J2985" i="1"/>
  <c r="I2985" i="1"/>
  <c r="M2984" i="1"/>
  <c r="L2984" i="1"/>
  <c r="J2984" i="1"/>
  <c r="K2984" i="1" s="1"/>
  <c r="I2984" i="1"/>
  <c r="M2983" i="1"/>
  <c r="J2983" i="1"/>
  <c r="K2983" i="1" s="1"/>
  <c r="I2983" i="1"/>
  <c r="L2983" i="1" s="1"/>
  <c r="M2982" i="1"/>
  <c r="L2982" i="1"/>
  <c r="J2982" i="1"/>
  <c r="K2982" i="1" s="1"/>
  <c r="I2982" i="1"/>
  <c r="M2981" i="1"/>
  <c r="L2981" i="1"/>
  <c r="K2981" i="1"/>
  <c r="J2981" i="1"/>
  <c r="I2981" i="1"/>
  <c r="M2980" i="1"/>
  <c r="J2980" i="1"/>
  <c r="K2980" i="1" s="1"/>
  <c r="I2980" i="1"/>
  <c r="L2980" i="1" s="1"/>
  <c r="M2979" i="1"/>
  <c r="J2979" i="1"/>
  <c r="K2979" i="1" s="1"/>
  <c r="I2979" i="1"/>
  <c r="L2979" i="1" s="1"/>
  <c r="M2978" i="1"/>
  <c r="L2978" i="1"/>
  <c r="J2978" i="1"/>
  <c r="K2978" i="1" s="1"/>
  <c r="I2978" i="1"/>
  <c r="M2977" i="1"/>
  <c r="L2977" i="1"/>
  <c r="K2977" i="1"/>
  <c r="J2977" i="1"/>
  <c r="I2977" i="1"/>
  <c r="M2976" i="1"/>
  <c r="L2976" i="1"/>
  <c r="J2976" i="1"/>
  <c r="K2976" i="1" s="1"/>
  <c r="I2976" i="1"/>
  <c r="M2975" i="1"/>
  <c r="J2975" i="1"/>
  <c r="K2975" i="1" s="1"/>
  <c r="I2975" i="1"/>
  <c r="L2975" i="1" s="1"/>
  <c r="M2974" i="1"/>
  <c r="L2974" i="1"/>
  <c r="K2974" i="1"/>
  <c r="J2974" i="1"/>
  <c r="I2974" i="1"/>
  <c r="M2973" i="1"/>
  <c r="L2973" i="1"/>
  <c r="K2973" i="1"/>
  <c r="J2973" i="1"/>
  <c r="I2973" i="1"/>
  <c r="M2972" i="1"/>
  <c r="L2972" i="1"/>
  <c r="J2972" i="1"/>
  <c r="K2972" i="1" s="1"/>
  <c r="I2972" i="1"/>
  <c r="M2971" i="1"/>
  <c r="J2971" i="1"/>
  <c r="K2971" i="1" s="1"/>
  <c r="I2971" i="1"/>
  <c r="L2971" i="1" s="1"/>
  <c r="M2970" i="1"/>
  <c r="L2970" i="1"/>
  <c r="K2970" i="1"/>
  <c r="J2970" i="1"/>
  <c r="I2970" i="1"/>
  <c r="M2969" i="1"/>
  <c r="L2969" i="1"/>
  <c r="K2969" i="1"/>
  <c r="J2969" i="1"/>
  <c r="I2969" i="1"/>
  <c r="M2968" i="1"/>
  <c r="J2968" i="1"/>
  <c r="K2968" i="1" s="1"/>
  <c r="I2968" i="1"/>
  <c r="L2968" i="1" s="1"/>
  <c r="M2967" i="1"/>
  <c r="J2967" i="1"/>
  <c r="K2967" i="1" s="1"/>
  <c r="I2967" i="1"/>
  <c r="L2967" i="1" s="1"/>
  <c r="M2966" i="1"/>
  <c r="L2966" i="1"/>
  <c r="J2966" i="1"/>
  <c r="K2966" i="1" s="1"/>
  <c r="I2966" i="1"/>
  <c r="M2965" i="1"/>
  <c r="L2965" i="1"/>
  <c r="K2965" i="1"/>
  <c r="J2965" i="1"/>
  <c r="I2965" i="1"/>
  <c r="M2964" i="1"/>
  <c r="J2964" i="1"/>
  <c r="K2964" i="1" s="1"/>
  <c r="I2964" i="1"/>
  <c r="L2964" i="1" s="1"/>
  <c r="M2963" i="1"/>
  <c r="J2963" i="1"/>
  <c r="K2963" i="1" s="1"/>
  <c r="I2963" i="1"/>
  <c r="L2963" i="1" s="1"/>
  <c r="M2962" i="1"/>
  <c r="L2962" i="1"/>
  <c r="J2962" i="1"/>
  <c r="K2962" i="1" s="1"/>
  <c r="I2962" i="1"/>
  <c r="M2961" i="1"/>
  <c r="L2961" i="1"/>
  <c r="K2961" i="1"/>
  <c r="J2961" i="1"/>
  <c r="I2961" i="1"/>
  <c r="M2960" i="1"/>
  <c r="L2960" i="1"/>
  <c r="J2960" i="1"/>
  <c r="K2960" i="1" s="1"/>
  <c r="I2960" i="1"/>
  <c r="M2959" i="1"/>
  <c r="J2959" i="1"/>
  <c r="K2959" i="1" s="1"/>
  <c r="I2959" i="1"/>
  <c r="L2959" i="1" s="1"/>
  <c r="M2958" i="1"/>
  <c r="L2958" i="1"/>
  <c r="K2958" i="1"/>
  <c r="J2958" i="1"/>
  <c r="I2958" i="1"/>
  <c r="M2957" i="1"/>
  <c r="L2957" i="1"/>
  <c r="K2957" i="1"/>
  <c r="J2957" i="1"/>
  <c r="I2957" i="1"/>
  <c r="M2956" i="1"/>
  <c r="L2956" i="1"/>
  <c r="J2956" i="1"/>
  <c r="K2956" i="1" s="1"/>
  <c r="I2956" i="1"/>
  <c r="M2955" i="1"/>
  <c r="J2955" i="1"/>
  <c r="K2955" i="1" s="1"/>
  <c r="I2955" i="1"/>
  <c r="L2955" i="1" s="1"/>
  <c r="M2954" i="1"/>
  <c r="L2954" i="1"/>
  <c r="K2954" i="1"/>
  <c r="J2954" i="1"/>
  <c r="I2954" i="1"/>
  <c r="M2953" i="1"/>
  <c r="L2953" i="1"/>
  <c r="K2953" i="1"/>
  <c r="J2953" i="1"/>
  <c r="I2953" i="1"/>
  <c r="M2952" i="1"/>
  <c r="J2952" i="1"/>
  <c r="K2952" i="1" s="1"/>
  <c r="I2952" i="1"/>
  <c r="L2952" i="1" s="1"/>
  <c r="M2951" i="1"/>
  <c r="J2951" i="1"/>
  <c r="K2951" i="1" s="1"/>
  <c r="I2951" i="1"/>
  <c r="L2951" i="1" s="1"/>
  <c r="M2950" i="1"/>
  <c r="L2950" i="1"/>
  <c r="J2950" i="1"/>
  <c r="K2950" i="1" s="1"/>
  <c r="I2950" i="1"/>
  <c r="M2949" i="1"/>
  <c r="L2949" i="1"/>
  <c r="K2949" i="1"/>
  <c r="J2949" i="1"/>
  <c r="I2949" i="1"/>
  <c r="M2948" i="1"/>
  <c r="J2948" i="1"/>
  <c r="K2948" i="1" s="1"/>
  <c r="I2948" i="1"/>
  <c r="L2948" i="1" s="1"/>
  <c r="M2947" i="1"/>
  <c r="J2947" i="1"/>
  <c r="K2947" i="1" s="1"/>
  <c r="I2947" i="1"/>
  <c r="L2947" i="1" s="1"/>
  <c r="M2946" i="1"/>
  <c r="L2946" i="1"/>
  <c r="J2946" i="1"/>
  <c r="K2946" i="1" s="1"/>
  <c r="I2946" i="1"/>
  <c r="M2945" i="1"/>
  <c r="L2945" i="1"/>
  <c r="K2945" i="1"/>
  <c r="J2945" i="1"/>
  <c r="I2945" i="1"/>
  <c r="M2944" i="1"/>
  <c r="L2944" i="1"/>
  <c r="J2944" i="1"/>
  <c r="K2944" i="1" s="1"/>
  <c r="I2944" i="1"/>
  <c r="M2943" i="1"/>
  <c r="J2943" i="1"/>
  <c r="K2943" i="1" s="1"/>
  <c r="I2943" i="1"/>
  <c r="L2943" i="1" s="1"/>
  <c r="M2942" i="1"/>
  <c r="L2942" i="1"/>
  <c r="K2942" i="1"/>
  <c r="J2942" i="1"/>
  <c r="I2942" i="1"/>
  <c r="M2941" i="1"/>
  <c r="L2941" i="1"/>
  <c r="K2941" i="1"/>
  <c r="J2941" i="1"/>
  <c r="I2941" i="1"/>
  <c r="M2940" i="1"/>
  <c r="L2940" i="1"/>
  <c r="J2940" i="1"/>
  <c r="K2940" i="1" s="1"/>
  <c r="I2940" i="1"/>
  <c r="M2939" i="1"/>
  <c r="J2939" i="1"/>
  <c r="K2939" i="1" s="1"/>
  <c r="I2939" i="1"/>
  <c r="L2939" i="1" s="1"/>
  <c r="M2938" i="1"/>
  <c r="L2938" i="1"/>
  <c r="K2938" i="1"/>
  <c r="J2938" i="1"/>
  <c r="I2938" i="1"/>
  <c r="M2937" i="1"/>
  <c r="L2937" i="1"/>
  <c r="K2937" i="1"/>
  <c r="J2937" i="1"/>
  <c r="I2937" i="1"/>
  <c r="M2936" i="1"/>
  <c r="J2936" i="1"/>
  <c r="K2936" i="1" s="1"/>
  <c r="I2936" i="1"/>
  <c r="L2936" i="1" s="1"/>
  <c r="M2935" i="1"/>
  <c r="J2935" i="1"/>
  <c r="K2935" i="1" s="1"/>
  <c r="I2935" i="1"/>
  <c r="L2935" i="1" s="1"/>
  <c r="M2934" i="1"/>
  <c r="L2934" i="1"/>
  <c r="J2934" i="1"/>
  <c r="K2934" i="1" s="1"/>
  <c r="I2934" i="1"/>
  <c r="M2933" i="1"/>
  <c r="L2933" i="1"/>
  <c r="K2933" i="1"/>
  <c r="J2933" i="1"/>
  <c r="I2933" i="1"/>
  <c r="M2932" i="1"/>
  <c r="J2932" i="1"/>
  <c r="K2932" i="1" s="1"/>
  <c r="I2932" i="1"/>
  <c r="L2932" i="1" s="1"/>
  <c r="M2931" i="1"/>
  <c r="J2931" i="1"/>
  <c r="K2931" i="1" s="1"/>
  <c r="I2931" i="1"/>
  <c r="L2931" i="1" s="1"/>
  <c r="M2930" i="1"/>
  <c r="L2930" i="1"/>
  <c r="J2930" i="1"/>
  <c r="K2930" i="1" s="1"/>
  <c r="I2930" i="1"/>
  <c r="M2929" i="1"/>
  <c r="L2929" i="1"/>
  <c r="K2929" i="1"/>
  <c r="J2929" i="1"/>
  <c r="I2929" i="1"/>
  <c r="M2928" i="1"/>
  <c r="L2928" i="1"/>
  <c r="J2928" i="1"/>
  <c r="K2928" i="1" s="1"/>
  <c r="I2928" i="1"/>
  <c r="M2927" i="1"/>
  <c r="J2927" i="1"/>
  <c r="K2927" i="1" s="1"/>
  <c r="I2927" i="1"/>
  <c r="L2927" i="1" s="1"/>
  <c r="M2926" i="1"/>
  <c r="L2926" i="1"/>
  <c r="K2926" i="1"/>
  <c r="J2926" i="1"/>
  <c r="I2926" i="1"/>
  <c r="M2925" i="1"/>
  <c r="L2925" i="1"/>
  <c r="K2925" i="1"/>
  <c r="J2925" i="1"/>
  <c r="I2925" i="1"/>
  <c r="M2924" i="1"/>
  <c r="L2924" i="1"/>
  <c r="J2924" i="1"/>
  <c r="K2924" i="1" s="1"/>
  <c r="I2924" i="1"/>
  <c r="M2923" i="1"/>
  <c r="J2923" i="1"/>
  <c r="K2923" i="1" s="1"/>
  <c r="I2923" i="1"/>
  <c r="L2923" i="1" s="1"/>
  <c r="M2922" i="1"/>
  <c r="L2922" i="1"/>
  <c r="K2922" i="1"/>
  <c r="J2922" i="1"/>
  <c r="I2922" i="1"/>
  <c r="M2921" i="1"/>
  <c r="L2921" i="1"/>
  <c r="K2921" i="1"/>
  <c r="J2921" i="1"/>
  <c r="I2921" i="1"/>
  <c r="M2920" i="1"/>
  <c r="J2920" i="1"/>
  <c r="K2920" i="1" s="1"/>
  <c r="I2920" i="1"/>
  <c r="L2920" i="1" s="1"/>
  <c r="M2919" i="1"/>
  <c r="J2919" i="1"/>
  <c r="K2919" i="1" s="1"/>
  <c r="I2919" i="1"/>
  <c r="L2919" i="1" s="1"/>
  <c r="M2918" i="1"/>
  <c r="L2918" i="1"/>
  <c r="J2918" i="1"/>
  <c r="K2918" i="1" s="1"/>
  <c r="I2918" i="1"/>
  <c r="M2917" i="1"/>
  <c r="L2917" i="1"/>
  <c r="K2917" i="1"/>
  <c r="J2917" i="1"/>
  <c r="I2917" i="1"/>
  <c r="M2916" i="1"/>
  <c r="J2916" i="1"/>
  <c r="K2916" i="1" s="1"/>
  <c r="I2916" i="1"/>
  <c r="L2916" i="1" s="1"/>
  <c r="M2915" i="1"/>
  <c r="J2915" i="1"/>
  <c r="K2915" i="1" s="1"/>
  <c r="I2915" i="1"/>
  <c r="L2915" i="1" s="1"/>
  <c r="M2914" i="1"/>
  <c r="L2914" i="1"/>
  <c r="J2914" i="1"/>
  <c r="K2914" i="1" s="1"/>
  <c r="I2914" i="1"/>
  <c r="M2913" i="1"/>
  <c r="L2913" i="1"/>
  <c r="K2913" i="1"/>
  <c r="J2913" i="1"/>
  <c r="I2913" i="1"/>
  <c r="M2912" i="1"/>
  <c r="L2912" i="1"/>
  <c r="J2912" i="1"/>
  <c r="K2912" i="1" s="1"/>
  <c r="I2912" i="1"/>
  <c r="M2911" i="1"/>
  <c r="J2911" i="1"/>
  <c r="K2911" i="1" s="1"/>
  <c r="I2911" i="1"/>
  <c r="L2911" i="1" s="1"/>
  <c r="M2910" i="1"/>
  <c r="L2910" i="1"/>
  <c r="K2910" i="1"/>
  <c r="J2910" i="1"/>
  <c r="I2910" i="1"/>
  <c r="M2909" i="1"/>
  <c r="L2909" i="1"/>
  <c r="K2909" i="1"/>
  <c r="J2909" i="1"/>
  <c r="I2909" i="1"/>
  <c r="M2908" i="1"/>
  <c r="L2908" i="1"/>
  <c r="J2908" i="1"/>
  <c r="K2908" i="1" s="1"/>
  <c r="I2908" i="1"/>
  <c r="M2907" i="1"/>
  <c r="J2907" i="1"/>
  <c r="K2907" i="1" s="1"/>
  <c r="I2907" i="1"/>
  <c r="L2907" i="1" s="1"/>
  <c r="M2906" i="1"/>
  <c r="L2906" i="1"/>
  <c r="K2906" i="1"/>
  <c r="J2906" i="1"/>
  <c r="I2906" i="1"/>
  <c r="M2905" i="1"/>
  <c r="K2905" i="1"/>
  <c r="J2905" i="1"/>
  <c r="I2905" i="1"/>
  <c r="L2905" i="1" s="1"/>
  <c r="M2904" i="1"/>
  <c r="J2904" i="1"/>
  <c r="K2904" i="1" s="1"/>
  <c r="I2904" i="1"/>
  <c r="L2904" i="1" s="1"/>
  <c r="M2903" i="1"/>
  <c r="J2903" i="1"/>
  <c r="K2903" i="1" s="1"/>
  <c r="I2903" i="1"/>
  <c r="L2903" i="1" s="1"/>
  <c r="M2902" i="1"/>
  <c r="L2902" i="1"/>
  <c r="J2902" i="1"/>
  <c r="K2902" i="1" s="1"/>
  <c r="I2902" i="1"/>
  <c r="M2901" i="1"/>
  <c r="L2901" i="1"/>
  <c r="K2901" i="1"/>
  <c r="J2901" i="1"/>
  <c r="I2901" i="1"/>
  <c r="M2900" i="1"/>
  <c r="L2900" i="1"/>
  <c r="J2900" i="1"/>
  <c r="K2900" i="1" s="1"/>
  <c r="I2900" i="1"/>
  <c r="M2899" i="1"/>
  <c r="K2899" i="1"/>
  <c r="J2899" i="1"/>
  <c r="I2899" i="1"/>
  <c r="L2899" i="1" s="1"/>
  <c r="M2898" i="1"/>
  <c r="L2898" i="1"/>
  <c r="K2898" i="1"/>
  <c r="J2898" i="1"/>
  <c r="I2898" i="1"/>
  <c r="M2897" i="1"/>
  <c r="K2897" i="1"/>
  <c r="J2897" i="1"/>
  <c r="I2897" i="1"/>
  <c r="L2897" i="1" s="1"/>
  <c r="M2896" i="1"/>
  <c r="J2896" i="1"/>
  <c r="K2896" i="1" s="1"/>
  <c r="I2896" i="1"/>
  <c r="L2896" i="1" s="1"/>
  <c r="M2895" i="1"/>
  <c r="J2895" i="1"/>
  <c r="K2895" i="1" s="1"/>
  <c r="I2895" i="1"/>
  <c r="L2895" i="1" s="1"/>
  <c r="M2894" i="1"/>
  <c r="L2894" i="1"/>
  <c r="J2894" i="1"/>
  <c r="K2894" i="1" s="1"/>
  <c r="I2894" i="1"/>
  <c r="M2893" i="1"/>
  <c r="L2893" i="1"/>
  <c r="K2893" i="1"/>
  <c r="J2893" i="1"/>
  <c r="I2893" i="1"/>
  <c r="M2892" i="1"/>
  <c r="L2892" i="1"/>
  <c r="J2892" i="1"/>
  <c r="K2892" i="1" s="1"/>
  <c r="I2892" i="1"/>
  <c r="M2891" i="1"/>
  <c r="K2891" i="1"/>
  <c r="J2891" i="1"/>
  <c r="I2891" i="1"/>
  <c r="L2891" i="1" s="1"/>
  <c r="M2890" i="1"/>
  <c r="L2890" i="1"/>
  <c r="K2890" i="1"/>
  <c r="J2890" i="1"/>
  <c r="I2890" i="1"/>
  <c r="M2889" i="1"/>
  <c r="K2889" i="1"/>
  <c r="J2889" i="1"/>
  <c r="I2889" i="1"/>
  <c r="L2889" i="1" s="1"/>
  <c r="M2888" i="1"/>
  <c r="J2888" i="1"/>
  <c r="K2888" i="1" s="1"/>
  <c r="I2888" i="1"/>
  <c r="L2888" i="1" s="1"/>
  <c r="M2887" i="1"/>
  <c r="J2887" i="1"/>
  <c r="K2887" i="1" s="1"/>
  <c r="I2887" i="1"/>
  <c r="L2887" i="1" s="1"/>
  <c r="M2886" i="1"/>
  <c r="L2886" i="1"/>
  <c r="J2886" i="1"/>
  <c r="K2886" i="1" s="1"/>
  <c r="I2886" i="1"/>
  <c r="M2885" i="1"/>
  <c r="L2885" i="1"/>
  <c r="K2885" i="1"/>
  <c r="J2885" i="1"/>
  <c r="I2885" i="1"/>
  <c r="M2884" i="1"/>
  <c r="L2884" i="1"/>
  <c r="J2884" i="1"/>
  <c r="K2884" i="1" s="1"/>
  <c r="I2884" i="1"/>
  <c r="M2883" i="1"/>
  <c r="K2883" i="1"/>
  <c r="J2883" i="1"/>
  <c r="I2883" i="1"/>
  <c r="L2883" i="1" s="1"/>
  <c r="M2882" i="1"/>
  <c r="L2882" i="1"/>
  <c r="K2882" i="1"/>
  <c r="J2882" i="1"/>
  <c r="I2882" i="1"/>
  <c r="M2881" i="1"/>
  <c r="K2881" i="1"/>
  <c r="J2881" i="1"/>
  <c r="I2881" i="1"/>
  <c r="L2881" i="1" s="1"/>
  <c r="M2880" i="1"/>
  <c r="J2880" i="1"/>
  <c r="K2880" i="1" s="1"/>
  <c r="I2880" i="1"/>
  <c r="L2880" i="1" s="1"/>
  <c r="M2879" i="1"/>
  <c r="J2879" i="1"/>
  <c r="K2879" i="1" s="1"/>
  <c r="I2879" i="1"/>
  <c r="L2879" i="1" s="1"/>
  <c r="M2878" i="1"/>
  <c r="L2878" i="1"/>
  <c r="J2878" i="1"/>
  <c r="K2878" i="1" s="1"/>
  <c r="I2878" i="1"/>
  <c r="M2877" i="1"/>
  <c r="L2877" i="1"/>
  <c r="K2877" i="1"/>
  <c r="J2877" i="1"/>
  <c r="I2877" i="1"/>
  <c r="M2876" i="1"/>
  <c r="L2876" i="1"/>
  <c r="J2876" i="1"/>
  <c r="K2876" i="1" s="1"/>
  <c r="I2876" i="1"/>
  <c r="M2875" i="1"/>
  <c r="K2875" i="1"/>
  <c r="J2875" i="1"/>
  <c r="I2875" i="1"/>
  <c r="L2875" i="1" s="1"/>
  <c r="M2874" i="1"/>
  <c r="L2874" i="1"/>
  <c r="K2874" i="1"/>
  <c r="J2874" i="1"/>
  <c r="I2874" i="1"/>
  <c r="M2873" i="1"/>
  <c r="K2873" i="1"/>
  <c r="J2873" i="1"/>
  <c r="I2873" i="1"/>
  <c r="L2873" i="1" s="1"/>
  <c r="M2872" i="1"/>
  <c r="J2872" i="1"/>
  <c r="K2872" i="1" s="1"/>
  <c r="I2872" i="1"/>
  <c r="L2872" i="1" s="1"/>
  <c r="M2871" i="1"/>
  <c r="J2871" i="1"/>
  <c r="K2871" i="1" s="1"/>
  <c r="I2871" i="1"/>
  <c r="L2871" i="1" s="1"/>
  <c r="M2870" i="1"/>
  <c r="L2870" i="1"/>
  <c r="J2870" i="1"/>
  <c r="K2870" i="1" s="1"/>
  <c r="I2870" i="1"/>
  <c r="M2869" i="1"/>
  <c r="L2869" i="1"/>
  <c r="K2869" i="1"/>
  <c r="J2869" i="1"/>
  <c r="I2869" i="1"/>
  <c r="M2868" i="1"/>
  <c r="L2868" i="1"/>
  <c r="J2868" i="1"/>
  <c r="K2868" i="1" s="1"/>
  <c r="I2868" i="1"/>
  <c r="M2867" i="1"/>
  <c r="K2867" i="1"/>
  <c r="J2867" i="1"/>
  <c r="I2867" i="1"/>
  <c r="L2867" i="1" s="1"/>
  <c r="M2866" i="1"/>
  <c r="L2866" i="1"/>
  <c r="K2866" i="1"/>
  <c r="J2866" i="1"/>
  <c r="I2866" i="1"/>
  <c r="M2865" i="1"/>
  <c r="K2865" i="1"/>
  <c r="J2865" i="1"/>
  <c r="I2865" i="1"/>
  <c r="L2865" i="1" s="1"/>
  <c r="M2864" i="1"/>
  <c r="J2864" i="1"/>
  <c r="K2864" i="1" s="1"/>
  <c r="I2864" i="1"/>
  <c r="L2864" i="1" s="1"/>
  <c r="M2863" i="1"/>
  <c r="J2863" i="1"/>
  <c r="K2863" i="1" s="1"/>
  <c r="I2863" i="1"/>
  <c r="L2863" i="1" s="1"/>
  <c r="M2862" i="1"/>
  <c r="L2862" i="1"/>
  <c r="J2862" i="1"/>
  <c r="K2862" i="1" s="1"/>
  <c r="I2862" i="1"/>
  <c r="M2861" i="1"/>
  <c r="L2861" i="1"/>
  <c r="K2861" i="1"/>
  <c r="J2861" i="1"/>
  <c r="I2861" i="1"/>
  <c r="M2860" i="1"/>
  <c r="L2860" i="1"/>
  <c r="J2860" i="1"/>
  <c r="K2860" i="1" s="1"/>
  <c r="I2860" i="1"/>
  <c r="M2859" i="1"/>
  <c r="K2859" i="1"/>
  <c r="J2859" i="1"/>
  <c r="I2859" i="1"/>
  <c r="L2859" i="1" s="1"/>
  <c r="M2858" i="1"/>
  <c r="L2858" i="1"/>
  <c r="K2858" i="1"/>
  <c r="J2858" i="1"/>
  <c r="I2858" i="1"/>
  <c r="M2857" i="1"/>
  <c r="K2857" i="1"/>
  <c r="J2857" i="1"/>
  <c r="I2857" i="1"/>
  <c r="L2857" i="1" s="1"/>
  <c r="M2856" i="1"/>
  <c r="J2856" i="1"/>
  <c r="K2856" i="1" s="1"/>
  <c r="I2856" i="1"/>
  <c r="L2856" i="1" s="1"/>
  <c r="M2855" i="1"/>
  <c r="J2855" i="1"/>
  <c r="K2855" i="1" s="1"/>
  <c r="I2855" i="1"/>
  <c r="L2855" i="1" s="1"/>
  <c r="M2854" i="1"/>
  <c r="L2854" i="1"/>
  <c r="J2854" i="1"/>
  <c r="K2854" i="1" s="1"/>
  <c r="I2854" i="1"/>
  <c r="M2853" i="1"/>
  <c r="L2853" i="1"/>
  <c r="K2853" i="1"/>
  <c r="J2853" i="1"/>
  <c r="I2853" i="1"/>
  <c r="M2852" i="1"/>
  <c r="L2852" i="1"/>
  <c r="J2852" i="1"/>
  <c r="K2852" i="1" s="1"/>
  <c r="I2852" i="1"/>
  <c r="M2851" i="1"/>
  <c r="K2851" i="1"/>
  <c r="J2851" i="1"/>
  <c r="I2851" i="1"/>
  <c r="L2851" i="1" s="1"/>
  <c r="M2850" i="1"/>
  <c r="L2850" i="1"/>
  <c r="K2850" i="1"/>
  <c r="J2850" i="1"/>
  <c r="I2850" i="1"/>
  <c r="M2849" i="1"/>
  <c r="K2849" i="1"/>
  <c r="J2849" i="1"/>
  <c r="I2849" i="1"/>
  <c r="L2849" i="1" s="1"/>
  <c r="M2848" i="1"/>
  <c r="J2848" i="1"/>
  <c r="K2848" i="1" s="1"/>
  <c r="I2848" i="1"/>
  <c r="L2848" i="1" s="1"/>
  <c r="M2847" i="1"/>
  <c r="J2847" i="1"/>
  <c r="K2847" i="1" s="1"/>
  <c r="I2847" i="1"/>
  <c r="L2847" i="1" s="1"/>
  <c r="M2846" i="1"/>
  <c r="L2846" i="1"/>
  <c r="J2846" i="1"/>
  <c r="K2846" i="1" s="1"/>
  <c r="I2846" i="1"/>
  <c r="M2845" i="1"/>
  <c r="L2845" i="1"/>
  <c r="K2845" i="1"/>
  <c r="J2845" i="1"/>
  <c r="I2845" i="1"/>
  <c r="M2844" i="1"/>
  <c r="L2844" i="1"/>
  <c r="J2844" i="1"/>
  <c r="K2844" i="1" s="1"/>
  <c r="I2844" i="1"/>
  <c r="M2843" i="1"/>
  <c r="K2843" i="1"/>
  <c r="J2843" i="1"/>
  <c r="I2843" i="1"/>
  <c r="L2843" i="1" s="1"/>
  <c r="M2842" i="1"/>
  <c r="L2842" i="1"/>
  <c r="K2842" i="1"/>
  <c r="J2842" i="1"/>
  <c r="I2842" i="1"/>
  <c r="M2841" i="1"/>
  <c r="K2841" i="1"/>
  <c r="J2841" i="1"/>
  <c r="I2841" i="1"/>
  <c r="L2841" i="1" s="1"/>
  <c r="M2840" i="1"/>
  <c r="J2840" i="1"/>
  <c r="K2840" i="1" s="1"/>
  <c r="I2840" i="1"/>
  <c r="L2840" i="1" s="1"/>
  <c r="M2839" i="1"/>
  <c r="J2839" i="1"/>
  <c r="K2839" i="1" s="1"/>
  <c r="I2839" i="1"/>
  <c r="L2839" i="1" s="1"/>
  <c r="M2838" i="1"/>
  <c r="L2838" i="1"/>
  <c r="J2838" i="1"/>
  <c r="K2838" i="1" s="1"/>
  <c r="I2838" i="1"/>
  <c r="M2837" i="1"/>
  <c r="L2837" i="1"/>
  <c r="K2837" i="1"/>
  <c r="J2837" i="1"/>
  <c r="I2837" i="1"/>
  <c r="M2836" i="1"/>
  <c r="L2836" i="1"/>
  <c r="J2836" i="1"/>
  <c r="K2836" i="1" s="1"/>
  <c r="I2836" i="1"/>
  <c r="M2835" i="1"/>
  <c r="K2835" i="1"/>
  <c r="J2835" i="1"/>
  <c r="I2835" i="1"/>
  <c r="L2835" i="1" s="1"/>
  <c r="M2834" i="1"/>
  <c r="L2834" i="1"/>
  <c r="K2834" i="1"/>
  <c r="J2834" i="1"/>
  <c r="I2834" i="1"/>
  <c r="M2833" i="1"/>
  <c r="K2833" i="1"/>
  <c r="J2833" i="1"/>
  <c r="I2833" i="1"/>
  <c r="L2833" i="1" s="1"/>
  <c r="M2832" i="1"/>
  <c r="J2832" i="1"/>
  <c r="K2832" i="1" s="1"/>
  <c r="I2832" i="1"/>
  <c r="L2832" i="1" s="1"/>
  <c r="M2831" i="1"/>
  <c r="J2831" i="1"/>
  <c r="K2831" i="1" s="1"/>
  <c r="I2831" i="1"/>
  <c r="L2831" i="1" s="1"/>
  <c r="M2830" i="1"/>
  <c r="L2830" i="1"/>
  <c r="J2830" i="1"/>
  <c r="K2830" i="1" s="1"/>
  <c r="I2830" i="1"/>
  <c r="M2829" i="1"/>
  <c r="L2829" i="1"/>
  <c r="K2829" i="1"/>
  <c r="J2829" i="1"/>
  <c r="I2829" i="1"/>
  <c r="M2828" i="1"/>
  <c r="L2828" i="1"/>
  <c r="J2828" i="1"/>
  <c r="K2828" i="1" s="1"/>
  <c r="I2828" i="1"/>
  <c r="M2827" i="1"/>
  <c r="K2827" i="1"/>
  <c r="J2827" i="1"/>
  <c r="I2827" i="1"/>
  <c r="L2827" i="1" s="1"/>
  <c r="M2826" i="1"/>
  <c r="L2826" i="1"/>
  <c r="K2826" i="1"/>
  <c r="J2826" i="1"/>
  <c r="I2826" i="1"/>
  <c r="M2825" i="1"/>
  <c r="K2825" i="1"/>
  <c r="J2825" i="1"/>
  <c r="I2825" i="1"/>
  <c r="L2825" i="1" s="1"/>
  <c r="M2824" i="1"/>
  <c r="J2824" i="1"/>
  <c r="K2824" i="1" s="1"/>
  <c r="I2824" i="1"/>
  <c r="L2824" i="1" s="1"/>
  <c r="M2823" i="1"/>
  <c r="J2823" i="1"/>
  <c r="K2823" i="1" s="1"/>
  <c r="I2823" i="1"/>
  <c r="L2823" i="1" s="1"/>
  <c r="M2822" i="1"/>
  <c r="L2822" i="1"/>
  <c r="J2822" i="1"/>
  <c r="K2822" i="1" s="1"/>
  <c r="I2822" i="1"/>
  <c r="M2821" i="1"/>
  <c r="L2821" i="1"/>
  <c r="K2821" i="1"/>
  <c r="J2821" i="1"/>
  <c r="I2821" i="1"/>
  <c r="M2820" i="1"/>
  <c r="L2820" i="1"/>
  <c r="J2820" i="1"/>
  <c r="K2820" i="1" s="1"/>
  <c r="I2820" i="1"/>
  <c r="M2819" i="1"/>
  <c r="K2819" i="1"/>
  <c r="J2819" i="1"/>
  <c r="I2819" i="1"/>
  <c r="L2819" i="1" s="1"/>
  <c r="M2818" i="1"/>
  <c r="L2818" i="1"/>
  <c r="K2818" i="1"/>
  <c r="J2818" i="1"/>
  <c r="I2818" i="1"/>
  <c r="M2817" i="1"/>
  <c r="K2817" i="1"/>
  <c r="J2817" i="1"/>
  <c r="I2817" i="1"/>
  <c r="L2817" i="1" s="1"/>
  <c r="M2816" i="1"/>
  <c r="J2816" i="1"/>
  <c r="K2816" i="1" s="1"/>
  <c r="I2816" i="1"/>
  <c r="L2816" i="1" s="1"/>
  <c r="M2815" i="1"/>
  <c r="J2815" i="1"/>
  <c r="K2815" i="1" s="1"/>
  <c r="I2815" i="1"/>
  <c r="L2815" i="1" s="1"/>
  <c r="M2814" i="1"/>
  <c r="L2814" i="1"/>
  <c r="J2814" i="1"/>
  <c r="K2814" i="1" s="1"/>
  <c r="I2814" i="1"/>
  <c r="M2813" i="1"/>
  <c r="L2813" i="1"/>
  <c r="K2813" i="1"/>
  <c r="J2813" i="1"/>
  <c r="I2813" i="1"/>
  <c r="M2812" i="1"/>
  <c r="L2812" i="1"/>
  <c r="J2812" i="1"/>
  <c r="K2812" i="1" s="1"/>
  <c r="I2812" i="1"/>
  <c r="M2811" i="1"/>
  <c r="K2811" i="1"/>
  <c r="J2811" i="1"/>
  <c r="I2811" i="1"/>
  <c r="L2811" i="1" s="1"/>
  <c r="M2810" i="1"/>
  <c r="L2810" i="1"/>
  <c r="K2810" i="1"/>
  <c r="J2810" i="1"/>
  <c r="I2810" i="1"/>
  <c r="M2809" i="1"/>
  <c r="K2809" i="1"/>
  <c r="J2809" i="1"/>
  <c r="I2809" i="1"/>
  <c r="L2809" i="1" s="1"/>
  <c r="M2808" i="1"/>
  <c r="J2808" i="1"/>
  <c r="K2808" i="1" s="1"/>
  <c r="I2808" i="1"/>
  <c r="L2808" i="1" s="1"/>
  <c r="M2807" i="1"/>
  <c r="J2807" i="1"/>
  <c r="K2807" i="1" s="1"/>
  <c r="I2807" i="1"/>
  <c r="L2807" i="1" s="1"/>
  <c r="M2806" i="1"/>
  <c r="L2806" i="1"/>
  <c r="J2806" i="1"/>
  <c r="K2806" i="1" s="1"/>
  <c r="I2806" i="1"/>
  <c r="M2805" i="1"/>
  <c r="L2805" i="1"/>
  <c r="K2805" i="1"/>
  <c r="J2805" i="1"/>
  <c r="I2805" i="1"/>
  <c r="M2804" i="1"/>
  <c r="L2804" i="1"/>
  <c r="J2804" i="1"/>
  <c r="K2804" i="1" s="1"/>
  <c r="I2804" i="1"/>
  <c r="M2803" i="1"/>
  <c r="K2803" i="1"/>
  <c r="J2803" i="1"/>
  <c r="I2803" i="1"/>
  <c r="L2803" i="1" s="1"/>
  <c r="M2802" i="1"/>
  <c r="L2802" i="1"/>
  <c r="K2802" i="1"/>
  <c r="J2802" i="1"/>
  <c r="I2802" i="1"/>
  <c r="M2801" i="1"/>
  <c r="K2801" i="1"/>
  <c r="J2801" i="1"/>
  <c r="I2801" i="1"/>
  <c r="L2801" i="1" s="1"/>
  <c r="M2800" i="1"/>
  <c r="J2800" i="1"/>
  <c r="K2800" i="1" s="1"/>
  <c r="I2800" i="1"/>
  <c r="L2800" i="1" s="1"/>
  <c r="M2799" i="1"/>
  <c r="J2799" i="1"/>
  <c r="K2799" i="1" s="1"/>
  <c r="I2799" i="1"/>
  <c r="L2799" i="1" s="1"/>
  <c r="M2798" i="1"/>
  <c r="L2798" i="1"/>
  <c r="J2798" i="1"/>
  <c r="K2798" i="1" s="1"/>
  <c r="I2798" i="1"/>
  <c r="M2797" i="1"/>
  <c r="L2797" i="1"/>
  <c r="K2797" i="1"/>
  <c r="J2797" i="1"/>
  <c r="I2797" i="1"/>
  <c r="M2796" i="1"/>
  <c r="L2796" i="1"/>
  <c r="J2796" i="1"/>
  <c r="K2796" i="1" s="1"/>
  <c r="I2796" i="1"/>
  <c r="M2795" i="1"/>
  <c r="K2795" i="1"/>
  <c r="J2795" i="1"/>
  <c r="I2795" i="1"/>
  <c r="L2795" i="1" s="1"/>
  <c r="M2794" i="1"/>
  <c r="L2794" i="1"/>
  <c r="K2794" i="1"/>
  <c r="J2794" i="1"/>
  <c r="I2794" i="1"/>
  <c r="M2793" i="1"/>
  <c r="K2793" i="1"/>
  <c r="J2793" i="1"/>
  <c r="I2793" i="1"/>
  <c r="L2793" i="1" s="1"/>
  <c r="M2792" i="1"/>
  <c r="J2792" i="1"/>
  <c r="K2792" i="1" s="1"/>
  <c r="I2792" i="1"/>
  <c r="L2792" i="1" s="1"/>
  <c r="M2791" i="1"/>
  <c r="J2791" i="1"/>
  <c r="K2791" i="1" s="1"/>
  <c r="I2791" i="1"/>
  <c r="L2791" i="1" s="1"/>
  <c r="M2790" i="1"/>
  <c r="L2790" i="1"/>
  <c r="J2790" i="1"/>
  <c r="K2790" i="1" s="1"/>
  <c r="I2790" i="1"/>
  <c r="M2789" i="1"/>
  <c r="L2789" i="1"/>
  <c r="K2789" i="1"/>
  <c r="J2789" i="1"/>
  <c r="I2789" i="1"/>
  <c r="M2788" i="1"/>
  <c r="L2788" i="1"/>
  <c r="J2788" i="1"/>
  <c r="K2788" i="1" s="1"/>
  <c r="I2788" i="1"/>
  <c r="M2787" i="1"/>
  <c r="K2787" i="1"/>
  <c r="J2787" i="1"/>
  <c r="I2787" i="1"/>
  <c r="L2787" i="1" s="1"/>
  <c r="M2786" i="1"/>
  <c r="L2786" i="1"/>
  <c r="K2786" i="1"/>
  <c r="J2786" i="1"/>
  <c r="I2786" i="1"/>
  <c r="M2785" i="1"/>
  <c r="K2785" i="1"/>
  <c r="J2785" i="1"/>
  <c r="I2785" i="1"/>
  <c r="L2785" i="1" s="1"/>
  <c r="M2784" i="1"/>
  <c r="J2784" i="1"/>
  <c r="K2784" i="1" s="1"/>
  <c r="I2784" i="1"/>
  <c r="L2784" i="1" s="1"/>
  <c r="M2783" i="1"/>
  <c r="J2783" i="1"/>
  <c r="K2783" i="1" s="1"/>
  <c r="I2783" i="1"/>
  <c r="L2783" i="1" s="1"/>
  <c r="M2782" i="1"/>
  <c r="L2782" i="1"/>
  <c r="J2782" i="1"/>
  <c r="K2782" i="1" s="1"/>
  <c r="I2782" i="1"/>
  <c r="M2781" i="1"/>
  <c r="L2781" i="1"/>
  <c r="K2781" i="1"/>
  <c r="J2781" i="1"/>
  <c r="I2781" i="1"/>
  <c r="M2780" i="1"/>
  <c r="L2780" i="1"/>
  <c r="J2780" i="1"/>
  <c r="K2780" i="1" s="1"/>
  <c r="I2780" i="1"/>
  <c r="M2779" i="1"/>
  <c r="K2779" i="1"/>
  <c r="J2779" i="1"/>
  <c r="I2779" i="1"/>
  <c r="L2779" i="1" s="1"/>
  <c r="M2778" i="1"/>
  <c r="L2778" i="1"/>
  <c r="K2778" i="1"/>
  <c r="J2778" i="1"/>
  <c r="I2778" i="1"/>
  <c r="M2777" i="1"/>
  <c r="K2777" i="1"/>
  <c r="J2777" i="1"/>
  <c r="I2777" i="1"/>
  <c r="L2777" i="1" s="1"/>
  <c r="M2776" i="1"/>
  <c r="J2776" i="1"/>
  <c r="K2776" i="1" s="1"/>
  <c r="I2776" i="1"/>
  <c r="L2776" i="1" s="1"/>
  <c r="M2775" i="1"/>
  <c r="J2775" i="1"/>
  <c r="K2775" i="1" s="1"/>
  <c r="I2775" i="1"/>
  <c r="L2775" i="1" s="1"/>
  <c r="M2774" i="1"/>
  <c r="L2774" i="1"/>
  <c r="J2774" i="1"/>
  <c r="K2774" i="1" s="1"/>
  <c r="I2774" i="1"/>
  <c r="M2773" i="1"/>
  <c r="L2773" i="1"/>
  <c r="K2773" i="1"/>
  <c r="J2773" i="1"/>
  <c r="I2773" i="1"/>
  <c r="M2772" i="1"/>
  <c r="L2772" i="1"/>
  <c r="J2772" i="1"/>
  <c r="K2772" i="1" s="1"/>
  <c r="I2772" i="1"/>
  <c r="M2771" i="1"/>
  <c r="K2771" i="1"/>
  <c r="J2771" i="1"/>
  <c r="I2771" i="1"/>
  <c r="L2771" i="1" s="1"/>
  <c r="M2770" i="1"/>
  <c r="L2770" i="1"/>
  <c r="K2770" i="1"/>
  <c r="J2770" i="1"/>
  <c r="I2770" i="1"/>
  <c r="M2769" i="1"/>
  <c r="K2769" i="1"/>
  <c r="J2769" i="1"/>
  <c r="I2769" i="1"/>
  <c r="L2769" i="1" s="1"/>
  <c r="M2768" i="1"/>
  <c r="J2768" i="1"/>
  <c r="K2768" i="1" s="1"/>
  <c r="I2768" i="1"/>
  <c r="L2768" i="1" s="1"/>
  <c r="M2767" i="1"/>
  <c r="J2767" i="1"/>
  <c r="K2767" i="1" s="1"/>
  <c r="I2767" i="1"/>
  <c r="L2767" i="1" s="1"/>
  <c r="M2766" i="1"/>
  <c r="L2766" i="1"/>
  <c r="J2766" i="1"/>
  <c r="K2766" i="1" s="1"/>
  <c r="I2766" i="1"/>
  <c r="M2765" i="1"/>
  <c r="L2765" i="1"/>
  <c r="K2765" i="1"/>
  <c r="J2765" i="1"/>
  <c r="I2765" i="1"/>
  <c r="M2764" i="1"/>
  <c r="L2764" i="1"/>
  <c r="J2764" i="1"/>
  <c r="K2764" i="1" s="1"/>
  <c r="I2764" i="1"/>
  <c r="M2763" i="1"/>
  <c r="K2763" i="1"/>
  <c r="J2763" i="1"/>
  <c r="I2763" i="1"/>
  <c r="L2763" i="1" s="1"/>
  <c r="M2762" i="1"/>
  <c r="L2762" i="1"/>
  <c r="K2762" i="1"/>
  <c r="J2762" i="1"/>
  <c r="I2762" i="1"/>
  <c r="M2761" i="1"/>
  <c r="K2761" i="1"/>
  <c r="J2761" i="1"/>
  <c r="I2761" i="1"/>
  <c r="L2761" i="1" s="1"/>
  <c r="M2760" i="1"/>
  <c r="J2760" i="1"/>
  <c r="K2760" i="1" s="1"/>
  <c r="I2760" i="1"/>
  <c r="L2760" i="1" s="1"/>
  <c r="M2759" i="1"/>
  <c r="J2759" i="1"/>
  <c r="K2759" i="1" s="1"/>
  <c r="I2759" i="1"/>
  <c r="L2759" i="1" s="1"/>
  <c r="M2758" i="1"/>
  <c r="L2758" i="1"/>
  <c r="J2758" i="1"/>
  <c r="K2758" i="1" s="1"/>
  <c r="I2758" i="1"/>
  <c r="M2757" i="1"/>
  <c r="L2757" i="1"/>
  <c r="K2757" i="1"/>
  <c r="J2757" i="1"/>
  <c r="I2757" i="1"/>
  <c r="M2756" i="1"/>
  <c r="L2756" i="1"/>
  <c r="J2756" i="1"/>
  <c r="K2756" i="1" s="1"/>
  <c r="I2756" i="1"/>
  <c r="M2755" i="1"/>
  <c r="K2755" i="1"/>
  <c r="J2755" i="1"/>
  <c r="I2755" i="1"/>
  <c r="L2755" i="1" s="1"/>
  <c r="M2754" i="1"/>
  <c r="L2754" i="1"/>
  <c r="K2754" i="1"/>
  <c r="J2754" i="1"/>
  <c r="I2754" i="1"/>
  <c r="M2753" i="1"/>
  <c r="K2753" i="1"/>
  <c r="J2753" i="1"/>
  <c r="I2753" i="1"/>
  <c r="L2753" i="1" s="1"/>
  <c r="M2752" i="1"/>
  <c r="J2752" i="1"/>
  <c r="K2752" i="1" s="1"/>
  <c r="I2752" i="1"/>
  <c r="L2752" i="1" s="1"/>
  <c r="M2751" i="1"/>
  <c r="J2751" i="1"/>
  <c r="K2751" i="1" s="1"/>
  <c r="I2751" i="1"/>
  <c r="L2751" i="1" s="1"/>
  <c r="M2750" i="1"/>
  <c r="J2750" i="1"/>
  <c r="K2750" i="1" s="1"/>
  <c r="I2750" i="1"/>
  <c r="L2750" i="1" s="1"/>
  <c r="M2749" i="1"/>
  <c r="L2749" i="1"/>
  <c r="K2749" i="1"/>
  <c r="J2749" i="1"/>
  <c r="I2749" i="1"/>
  <c r="M2748" i="1"/>
  <c r="L2748" i="1"/>
  <c r="K2748" i="1"/>
  <c r="J2748" i="1"/>
  <c r="I2748" i="1"/>
  <c r="M2747" i="1"/>
  <c r="J2747" i="1"/>
  <c r="K2747" i="1" s="1"/>
  <c r="I2747" i="1"/>
  <c r="L2747" i="1" s="1"/>
  <c r="M2746" i="1"/>
  <c r="J2746" i="1"/>
  <c r="K2746" i="1" s="1"/>
  <c r="I2746" i="1"/>
  <c r="L2746" i="1" s="1"/>
  <c r="M2745" i="1"/>
  <c r="L2745" i="1"/>
  <c r="K2745" i="1"/>
  <c r="J2745" i="1"/>
  <c r="I2745" i="1"/>
  <c r="M2744" i="1"/>
  <c r="L2744" i="1"/>
  <c r="K2744" i="1"/>
  <c r="J2744" i="1"/>
  <c r="I2744" i="1"/>
  <c r="M2743" i="1"/>
  <c r="J2743" i="1"/>
  <c r="K2743" i="1" s="1"/>
  <c r="I2743" i="1"/>
  <c r="L2743" i="1" s="1"/>
  <c r="M2742" i="1"/>
  <c r="J2742" i="1"/>
  <c r="K2742" i="1" s="1"/>
  <c r="I2742" i="1"/>
  <c r="L2742" i="1" s="1"/>
  <c r="M2741" i="1"/>
  <c r="L2741" i="1"/>
  <c r="K2741" i="1"/>
  <c r="J2741" i="1"/>
  <c r="I2741" i="1"/>
  <c r="M2740" i="1"/>
  <c r="L2740" i="1"/>
  <c r="K2740" i="1"/>
  <c r="J2740" i="1"/>
  <c r="I2740" i="1"/>
  <c r="M2739" i="1"/>
  <c r="J2739" i="1"/>
  <c r="K2739" i="1" s="1"/>
  <c r="I2739" i="1"/>
  <c r="L2739" i="1" s="1"/>
  <c r="M2738" i="1"/>
  <c r="J2738" i="1"/>
  <c r="K2738" i="1" s="1"/>
  <c r="I2738" i="1"/>
  <c r="L2738" i="1" s="1"/>
  <c r="M2737" i="1"/>
  <c r="L2737" i="1"/>
  <c r="K2737" i="1"/>
  <c r="J2737" i="1"/>
  <c r="I2737" i="1"/>
  <c r="M2736" i="1"/>
  <c r="L2736" i="1"/>
  <c r="K2736" i="1"/>
  <c r="J2736" i="1"/>
  <c r="I2736" i="1"/>
  <c r="M2735" i="1"/>
  <c r="J2735" i="1"/>
  <c r="K2735" i="1" s="1"/>
  <c r="I2735" i="1"/>
  <c r="L2735" i="1" s="1"/>
  <c r="M2734" i="1"/>
  <c r="J2734" i="1"/>
  <c r="K2734" i="1" s="1"/>
  <c r="I2734" i="1"/>
  <c r="L2734" i="1" s="1"/>
  <c r="M2733" i="1"/>
  <c r="L2733" i="1"/>
  <c r="K2733" i="1"/>
  <c r="J2733" i="1"/>
  <c r="I2733" i="1"/>
  <c r="M2732" i="1"/>
  <c r="L2732" i="1"/>
  <c r="K2732" i="1"/>
  <c r="J2732" i="1"/>
  <c r="I2732" i="1"/>
  <c r="M2731" i="1"/>
  <c r="J2731" i="1"/>
  <c r="K2731" i="1" s="1"/>
  <c r="I2731" i="1"/>
  <c r="L2731" i="1" s="1"/>
  <c r="M2730" i="1"/>
  <c r="J2730" i="1"/>
  <c r="K2730" i="1" s="1"/>
  <c r="I2730" i="1"/>
  <c r="L2730" i="1" s="1"/>
  <c r="M2729" i="1"/>
  <c r="L2729" i="1"/>
  <c r="K2729" i="1"/>
  <c r="J2729" i="1"/>
  <c r="I2729" i="1"/>
  <c r="M2728" i="1"/>
  <c r="L2728" i="1"/>
  <c r="K2728" i="1"/>
  <c r="J2728" i="1"/>
  <c r="I2728" i="1"/>
  <c r="M2727" i="1"/>
  <c r="J2727" i="1"/>
  <c r="K2727" i="1" s="1"/>
  <c r="I2727" i="1"/>
  <c r="L2727" i="1" s="1"/>
  <c r="M2726" i="1"/>
  <c r="J2726" i="1"/>
  <c r="K2726" i="1" s="1"/>
  <c r="I2726" i="1"/>
  <c r="L2726" i="1" s="1"/>
  <c r="M2725" i="1"/>
  <c r="L2725" i="1"/>
  <c r="K2725" i="1"/>
  <c r="J2725" i="1"/>
  <c r="I2725" i="1"/>
  <c r="M2724" i="1"/>
  <c r="L2724" i="1"/>
  <c r="K2724" i="1"/>
  <c r="J2724" i="1"/>
  <c r="I2724" i="1"/>
  <c r="M2723" i="1"/>
  <c r="J2723" i="1"/>
  <c r="K2723" i="1" s="1"/>
  <c r="I2723" i="1"/>
  <c r="L2723" i="1" s="1"/>
  <c r="M2722" i="1"/>
  <c r="J2722" i="1"/>
  <c r="K2722" i="1" s="1"/>
  <c r="I2722" i="1"/>
  <c r="L2722" i="1" s="1"/>
  <c r="M2721" i="1"/>
  <c r="L2721" i="1"/>
  <c r="K2721" i="1"/>
  <c r="J2721" i="1"/>
  <c r="I2721" i="1"/>
  <c r="M2720" i="1"/>
  <c r="L2720" i="1"/>
  <c r="K2720" i="1"/>
  <c r="J2720" i="1"/>
  <c r="I2720" i="1"/>
  <c r="M2719" i="1"/>
  <c r="J2719" i="1"/>
  <c r="K2719" i="1" s="1"/>
  <c r="I2719" i="1"/>
  <c r="L2719" i="1" s="1"/>
  <c r="M2718" i="1"/>
  <c r="J2718" i="1"/>
  <c r="K2718" i="1" s="1"/>
  <c r="I2718" i="1"/>
  <c r="L2718" i="1" s="1"/>
  <c r="M2717" i="1"/>
  <c r="L2717" i="1"/>
  <c r="K2717" i="1"/>
  <c r="J2717" i="1"/>
  <c r="I2717" i="1"/>
  <c r="M2716" i="1"/>
  <c r="L2716" i="1"/>
  <c r="K2716" i="1"/>
  <c r="J2716" i="1"/>
  <c r="I2716" i="1"/>
  <c r="M2715" i="1"/>
  <c r="J2715" i="1"/>
  <c r="K2715" i="1" s="1"/>
  <c r="I2715" i="1"/>
  <c r="L2715" i="1" s="1"/>
  <c r="M2714" i="1"/>
  <c r="J2714" i="1"/>
  <c r="K2714" i="1" s="1"/>
  <c r="I2714" i="1"/>
  <c r="L2714" i="1" s="1"/>
  <c r="M2713" i="1"/>
  <c r="L2713" i="1"/>
  <c r="K2713" i="1"/>
  <c r="J2713" i="1"/>
  <c r="I2713" i="1"/>
  <c r="M2712" i="1"/>
  <c r="L2712" i="1"/>
  <c r="K2712" i="1"/>
  <c r="J2712" i="1"/>
  <c r="I2712" i="1"/>
  <c r="M2711" i="1"/>
  <c r="J2711" i="1"/>
  <c r="K2711" i="1" s="1"/>
  <c r="I2711" i="1"/>
  <c r="L2711" i="1" s="1"/>
  <c r="M2710" i="1"/>
  <c r="J2710" i="1"/>
  <c r="K2710" i="1" s="1"/>
  <c r="I2710" i="1"/>
  <c r="L2710" i="1" s="1"/>
  <c r="M2709" i="1"/>
  <c r="L2709" i="1"/>
  <c r="K2709" i="1"/>
  <c r="J2709" i="1"/>
  <c r="I2709" i="1"/>
  <c r="M2708" i="1"/>
  <c r="L2708" i="1"/>
  <c r="K2708" i="1"/>
  <c r="J2708" i="1"/>
  <c r="I2708" i="1"/>
  <c r="M2707" i="1"/>
  <c r="J2707" i="1"/>
  <c r="K2707" i="1" s="1"/>
  <c r="I2707" i="1"/>
  <c r="L2707" i="1" s="1"/>
  <c r="M2706" i="1"/>
  <c r="J2706" i="1"/>
  <c r="K2706" i="1" s="1"/>
  <c r="I2706" i="1"/>
  <c r="L2706" i="1" s="1"/>
  <c r="M2705" i="1"/>
  <c r="L2705" i="1"/>
  <c r="K2705" i="1"/>
  <c r="J2705" i="1"/>
  <c r="I2705" i="1"/>
  <c r="M2704" i="1"/>
  <c r="L2704" i="1"/>
  <c r="K2704" i="1"/>
  <c r="J2704" i="1"/>
  <c r="I2704" i="1"/>
  <c r="M2703" i="1"/>
  <c r="J2703" i="1"/>
  <c r="K2703" i="1" s="1"/>
  <c r="I2703" i="1"/>
  <c r="L2703" i="1" s="1"/>
  <c r="M2702" i="1"/>
  <c r="J2702" i="1"/>
  <c r="K2702" i="1" s="1"/>
  <c r="I2702" i="1"/>
  <c r="L2702" i="1" s="1"/>
  <c r="M2701" i="1"/>
  <c r="L2701" i="1"/>
  <c r="K2701" i="1"/>
  <c r="J2701" i="1"/>
  <c r="I2701" i="1"/>
  <c r="M2700" i="1"/>
  <c r="L2700" i="1"/>
  <c r="K2700" i="1"/>
  <c r="J2700" i="1"/>
  <c r="I2700" i="1"/>
  <c r="M2699" i="1"/>
  <c r="J2699" i="1"/>
  <c r="K2699" i="1" s="1"/>
  <c r="I2699" i="1"/>
  <c r="L2699" i="1" s="1"/>
  <c r="M2698" i="1"/>
  <c r="J2698" i="1"/>
  <c r="K2698" i="1" s="1"/>
  <c r="I2698" i="1"/>
  <c r="L2698" i="1" s="1"/>
  <c r="M2697" i="1"/>
  <c r="L2697" i="1"/>
  <c r="K2697" i="1"/>
  <c r="J2697" i="1"/>
  <c r="I2697" i="1"/>
  <c r="M2696" i="1"/>
  <c r="L2696" i="1"/>
  <c r="K2696" i="1"/>
  <c r="J2696" i="1"/>
  <c r="I2696" i="1"/>
  <c r="M2695" i="1"/>
  <c r="J2695" i="1"/>
  <c r="K2695" i="1" s="1"/>
  <c r="I2695" i="1"/>
  <c r="L2695" i="1" s="1"/>
  <c r="M2694" i="1"/>
  <c r="J2694" i="1"/>
  <c r="K2694" i="1" s="1"/>
  <c r="I2694" i="1"/>
  <c r="L2694" i="1" s="1"/>
  <c r="M2693" i="1"/>
  <c r="L2693" i="1"/>
  <c r="K2693" i="1"/>
  <c r="J2693" i="1"/>
  <c r="I2693" i="1"/>
  <c r="M2692" i="1"/>
  <c r="L2692" i="1"/>
  <c r="K2692" i="1"/>
  <c r="J2692" i="1"/>
  <c r="I2692" i="1"/>
  <c r="M2691" i="1"/>
  <c r="J2691" i="1"/>
  <c r="K2691" i="1" s="1"/>
  <c r="I2691" i="1"/>
  <c r="L2691" i="1" s="1"/>
  <c r="M2690" i="1"/>
  <c r="J2690" i="1"/>
  <c r="K2690" i="1" s="1"/>
  <c r="I2690" i="1"/>
  <c r="L2690" i="1" s="1"/>
  <c r="M2689" i="1"/>
  <c r="L2689" i="1"/>
  <c r="K2689" i="1"/>
  <c r="J2689" i="1"/>
  <c r="I2689" i="1"/>
  <c r="M2688" i="1"/>
  <c r="L2688" i="1"/>
  <c r="K2688" i="1"/>
  <c r="J2688" i="1"/>
  <c r="I2688" i="1"/>
  <c r="M2687" i="1"/>
  <c r="J2687" i="1"/>
  <c r="K2687" i="1" s="1"/>
  <c r="I2687" i="1"/>
  <c r="L2687" i="1" s="1"/>
  <c r="M2686" i="1"/>
  <c r="J2686" i="1"/>
  <c r="K2686" i="1" s="1"/>
  <c r="I2686" i="1"/>
  <c r="L2686" i="1" s="1"/>
  <c r="M2685" i="1"/>
  <c r="L2685" i="1"/>
  <c r="K2685" i="1"/>
  <c r="J2685" i="1"/>
  <c r="I2685" i="1"/>
  <c r="M2684" i="1"/>
  <c r="L2684" i="1"/>
  <c r="K2684" i="1"/>
  <c r="J2684" i="1"/>
  <c r="I2684" i="1"/>
  <c r="M2683" i="1"/>
  <c r="J2683" i="1"/>
  <c r="K2683" i="1" s="1"/>
  <c r="I2683" i="1"/>
  <c r="L2683" i="1" s="1"/>
  <c r="M2682" i="1"/>
  <c r="J2682" i="1"/>
  <c r="K2682" i="1" s="1"/>
  <c r="I2682" i="1"/>
  <c r="L2682" i="1" s="1"/>
  <c r="M2681" i="1"/>
  <c r="L2681" i="1"/>
  <c r="K2681" i="1"/>
  <c r="J2681" i="1"/>
  <c r="I2681" i="1"/>
  <c r="M2680" i="1"/>
  <c r="L2680" i="1"/>
  <c r="K2680" i="1"/>
  <c r="J2680" i="1"/>
  <c r="I2680" i="1"/>
  <c r="M2679" i="1"/>
  <c r="J2679" i="1"/>
  <c r="K2679" i="1" s="1"/>
  <c r="I2679" i="1"/>
  <c r="L2679" i="1" s="1"/>
  <c r="M2678" i="1"/>
  <c r="J2678" i="1"/>
  <c r="K2678" i="1" s="1"/>
  <c r="I2678" i="1"/>
  <c r="L2678" i="1" s="1"/>
  <c r="M2677" i="1"/>
  <c r="L2677" i="1"/>
  <c r="K2677" i="1"/>
  <c r="J2677" i="1"/>
  <c r="I2677" i="1"/>
  <c r="M2676" i="1"/>
  <c r="L2676" i="1"/>
  <c r="K2676" i="1"/>
  <c r="J2676" i="1"/>
  <c r="I2676" i="1"/>
  <c r="M2675" i="1"/>
  <c r="J2675" i="1"/>
  <c r="K2675" i="1" s="1"/>
  <c r="I2675" i="1"/>
  <c r="L2675" i="1" s="1"/>
  <c r="M2674" i="1"/>
  <c r="J2674" i="1"/>
  <c r="K2674" i="1" s="1"/>
  <c r="I2674" i="1"/>
  <c r="L2674" i="1" s="1"/>
  <c r="M2673" i="1"/>
  <c r="L2673" i="1"/>
  <c r="K2673" i="1"/>
  <c r="J2673" i="1"/>
  <c r="I2673" i="1"/>
  <c r="M2672" i="1"/>
  <c r="L2672" i="1"/>
  <c r="K2672" i="1"/>
  <c r="J2672" i="1"/>
  <c r="I2672" i="1"/>
  <c r="M2671" i="1"/>
  <c r="J2671" i="1"/>
  <c r="K2671" i="1" s="1"/>
  <c r="I2671" i="1"/>
  <c r="L2671" i="1" s="1"/>
  <c r="M2670" i="1"/>
  <c r="J2670" i="1"/>
  <c r="K2670" i="1" s="1"/>
  <c r="I2670" i="1"/>
  <c r="L2670" i="1" s="1"/>
  <c r="M2669" i="1"/>
  <c r="L2669" i="1"/>
  <c r="K2669" i="1"/>
  <c r="J2669" i="1"/>
  <c r="I2669" i="1"/>
  <c r="M2668" i="1"/>
  <c r="L2668" i="1"/>
  <c r="K2668" i="1"/>
  <c r="J2668" i="1"/>
  <c r="I2668" i="1"/>
  <c r="M2667" i="1"/>
  <c r="J2667" i="1"/>
  <c r="K2667" i="1" s="1"/>
  <c r="I2667" i="1"/>
  <c r="L2667" i="1" s="1"/>
  <c r="M2666" i="1"/>
  <c r="J2666" i="1"/>
  <c r="K2666" i="1" s="1"/>
  <c r="I2666" i="1"/>
  <c r="L2666" i="1" s="1"/>
  <c r="M2665" i="1"/>
  <c r="L2665" i="1"/>
  <c r="K2665" i="1"/>
  <c r="J2665" i="1"/>
  <c r="I2665" i="1"/>
  <c r="M2664" i="1"/>
  <c r="L2664" i="1"/>
  <c r="K2664" i="1"/>
  <c r="J2664" i="1"/>
  <c r="I2664" i="1"/>
  <c r="M2663" i="1"/>
  <c r="J2663" i="1"/>
  <c r="K2663" i="1" s="1"/>
  <c r="I2663" i="1"/>
  <c r="L2663" i="1" s="1"/>
  <c r="M2662" i="1"/>
  <c r="J2662" i="1"/>
  <c r="K2662" i="1" s="1"/>
  <c r="I2662" i="1"/>
  <c r="L2662" i="1" s="1"/>
  <c r="M2661" i="1"/>
  <c r="L2661" i="1"/>
  <c r="K2661" i="1"/>
  <c r="J2661" i="1"/>
  <c r="I2661" i="1"/>
  <c r="M2660" i="1"/>
  <c r="L2660" i="1"/>
  <c r="K2660" i="1"/>
  <c r="J2660" i="1"/>
  <c r="I2660" i="1"/>
  <c r="M2659" i="1"/>
  <c r="J2659" i="1"/>
  <c r="K2659" i="1" s="1"/>
  <c r="I2659" i="1"/>
  <c r="L2659" i="1" s="1"/>
  <c r="M2658" i="1"/>
  <c r="J2658" i="1"/>
  <c r="K2658" i="1" s="1"/>
  <c r="I2658" i="1"/>
  <c r="L2658" i="1" s="1"/>
  <c r="M2657" i="1"/>
  <c r="L2657" i="1"/>
  <c r="K2657" i="1"/>
  <c r="J2657" i="1"/>
  <c r="I2657" i="1"/>
  <c r="M2656" i="1"/>
  <c r="L2656" i="1"/>
  <c r="K2656" i="1"/>
  <c r="J2656" i="1"/>
  <c r="I2656" i="1"/>
  <c r="M2655" i="1"/>
  <c r="J2655" i="1"/>
  <c r="K2655" i="1" s="1"/>
  <c r="I2655" i="1"/>
  <c r="L2655" i="1" s="1"/>
  <c r="M2654" i="1"/>
  <c r="J2654" i="1"/>
  <c r="K2654" i="1" s="1"/>
  <c r="I2654" i="1"/>
  <c r="L2654" i="1" s="1"/>
  <c r="M2653" i="1"/>
  <c r="L2653" i="1"/>
  <c r="K2653" i="1"/>
  <c r="J2653" i="1"/>
  <c r="I2653" i="1"/>
  <c r="M2652" i="1"/>
  <c r="L2652" i="1"/>
  <c r="K2652" i="1"/>
  <c r="J2652" i="1"/>
  <c r="I2652" i="1"/>
  <c r="M2651" i="1"/>
  <c r="J2651" i="1"/>
  <c r="K2651" i="1" s="1"/>
  <c r="I2651" i="1"/>
  <c r="L2651" i="1" s="1"/>
  <c r="M2650" i="1"/>
  <c r="J2650" i="1"/>
  <c r="K2650" i="1" s="1"/>
  <c r="I2650" i="1"/>
  <c r="L2650" i="1" s="1"/>
  <c r="M2649" i="1"/>
  <c r="L2649" i="1"/>
  <c r="K2649" i="1"/>
  <c r="J2649" i="1"/>
  <c r="I2649" i="1"/>
  <c r="M2648" i="1"/>
  <c r="L2648" i="1"/>
  <c r="K2648" i="1"/>
  <c r="J2648" i="1"/>
  <c r="I2648" i="1"/>
  <c r="M2647" i="1"/>
  <c r="J2647" i="1"/>
  <c r="K2647" i="1" s="1"/>
  <c r="I2647" i="1"/>
  <c r="L2647" i="1" s="1"/>
  <c r="M2646" i="1"/>
  <c r="J2646" i="1"/>
  <c r="K2646" i="1" s="1"/>
  <c r="I2646" i="1"/>
  <c r="L2646" i="1" s="1"/>
  <c r="M2645" i="1"/>
  <c r="L2645" i="1"/>
  <c r="K2645" i="1"/>
  <c r="J2645" i="1"/>
  <c r="I2645" i="1"/>
  <c r="M2644" i="1"/>
  <c r="L2644" i="1"/>
  <c r="K2644" i="1"/>
  <c r="J2644" i="1"/>
  <c r="I2644" i="1"/>
  <c r="M2643" i="1"/>
  <c r="J2643" i="1"/>
  <c r="K2643" i="1" s="1"/>
  <c r="I2643" i="1"/>
  <c r="L2643" i="1" s="1"/>
  <c r="M2642" i="1"/>
  <c r="J2642" i="1"/>
  <c r="K2642" i="1" s="1"/>
  <c r="I2642" i="1"/>
  <c r="L2642" i="1" s="1"/>
  <c r="M2641" i="1"/>
  <c r="L2641" i="1"/>
  <c r="K2641" i="1"/>
  <c r="J2641" i="1"/>
  <c r="I2641" i="1"/>
  <c r="M2640" i="1"/>
  <c r="L2640" i="1"/>
  <c r="K2640" i="1"/>
  <c r="J2640" i="1"/>
  <c r="I2640" i="1"/>
  <c r="M2639" i="1"/>
  <c r="J2639" i="1"/>
  <c r="K2639" i="1" s="1"/>
  <c r="I2639" i="1"/>
  <c r="L2639" i="1" s="1"/>
  <c r="M2638" i="1"/>
  <c r="J2638" i="1"/>
  <c r="K2638" i="1" s="1"/>
  <c r="I2638" i="1"/>
  <c r="L2638" i="1" s="1"/>
  <c r="M2637" i="1"/>
  <c r="L2637" i="1"/>
  <c r="K2637" i="1"/>
  <c r="J2637" i="1"/>
  <c r="I2637" i="1"/>
  <c r="M2636" i="1"/>
  <c r="L2636" i="1"/>
  <c r="K2636" i="1"/>
  <c r="J2636" i="1"/>
  <c r="I2636" i="1"/>
  <c r="M2635" i="1"/>
  <c r="J2635" i="1"/>
  <c r="K2635" i="1" s="1"/>
  <c r="I2635" i="1"/>
  <c r="L2635" i="1" s="1"/>
  <c r="M2634" i="1"/>
  <c r="J2634" i="1"/>
  <c r="K2634" i="1" s="1"/>
  <c r="I2634" i="1"/>
  <c r="L2634" i="1" s="1"/>
  <c r="M2633" i="1"/>
  <c r="L2633" i="1"/>
  <c r="K2633" i="1"/>
  <c r="J2633" i="1"/>
  <c r="I2633" i="1"/>
  <c r="M2632" i="1"/>
  <c r="L2632" i="1"/>
  <c r="K2632" i="1"/>
  <c r="J2632" i="1"/>
  <c r="I2632" i="1"/>
  <c r="M2631" i="1"/>
  <c r="J2631" i="1"/>
  <c r="K2631" i="1" s="1"/>
  <c r="I2631" i="1"/>
  <c r="L2631" i="1" s="1"/>
  <c r="M2630" i="1"/>
  <c r="J2630" i="1"/>
  <c r="K2630" i="1" s="1"/>
  <c r="I2630" i="1"/>
  <c r="L2630" i="1" s="1"/>
  <c r="M2629" i="1"/>
  <c r="L2629" i="1"/>
  <c r="K2629" i="1"/>
  <c r="J2629" i="1"/>
  <c r="I2629" i="1"/>
  <c r="M2628" i="1"/>
  <c r="L2628" i="1"/>
  <c r="K2628" i="1"/>
  <c r="J2628" i="1"/>
  <c r="I2628" i="1"/>
  <c r="M2627" i="1"/>
  <c r="J2627" i="1"/>
  <c r="K2627" i="1" s="1"/>
  <c r="I2627" i="1"/>
  <c r="L2627" i="1" s="1"/>
  <c r="M2626" i="1"/>
  <c r="J2626" i="1"/>
  <c r="K2626" i="1" s="1"/>
  <c r="I2626" i="1"/>
  <c r="L2626" i="1" s="1"/>
  <c r="M2625" i="1"/>
  <c r="L2625" i="1"/>
  <c r="K2625" i="1"/>
  <c r="J2625" i="1"/>
  <c r="I2625" i="1"/>
  <c r="M2624" i="1"/>
  <c r="L2624" i="1"/>
  <c r="K2624" i="1"/>
  <c r="J2624" i="1"/>
  <c r="I2624" i="1"/>
  <c r="M2623" i="1"/>
  <c r="J2623" i="1"/>
  <c r="K2623" i="1" s="1"/>
  <c r="I2623" i="1"/>
  <c r="L2623" i="1" s="1"/>
  <c r="M2622" i="1"/>
  <c r="J2622" i="1"/>
  <c r="K2622" i="1" s="1"/>
  <c r="I2622" i="1"/>
  <c r="L2622" i="1" s="1"/>
  <c r="M2621" i="1"/>
  <c r="L2621" i="1"/>
  <c r="K2621" i="1"/>
  <c r="J2621" i="1"/>
  <c r="I2621" i="1"/>
  <c r="M2620" i="1"/>
  <c r="L2620" i="1"/>
  <c r="K2620" i="1"/>
  <c r="J2620" i="1"/>
  <c r="I2620" i="1"/>
  <c r="M2619" i="1"/>
  <c r="J2619" i="1"/>
  <c r="K2619" i="1" s="1"/>
  <c r="I2619" i="1"/>
  <c r="L2619" i="1" s="1"/>
  <c r="M2618" i="1"/>
  <c r="J2618" i="1"/>
  <c r="K2618" i="1" s="1"/>
  <c r="I2618" i="1"/>
  <c r="L2618" i="1" s="1"/>
  <c r="M2617" i="1"/>
  <c r="L2617" i="1"/>
  <c r="K2617" i="1"/>
  <c r="J2617" i="1"/>
  <c r="I2617" i="1"/>
  <c r="M2616" i="1"/>
  <c r="L2616" i="1"/>
  <c r="K2616" i="1"/>
  <c r="J2616" i="1"/>
  <c r="I2616" i="1"/>
  <c r="M2615" i="1"/>
  <c r="J2615" i="1"/>
  <c r="K2615" i="1" s="1"/>
  <c r="I2615" i="1"/>
  <c r="L2615" i="1" s="1"/>
  <c r="M2614" i="1"/>
  <c r="J2614" i="1"/>
  <c r="K2614" i="1" s="1"/>
  <c r="I2614" i="1"/>
  <c r="L2614" i="1" s="1"/>
  <c r="M2613" i="1"/>
  <c r="L2613" i="1"/>
  <c r="K2613" i="1"/>
  <c r="J2613" i="1"/>
  <c r="I2613" i="1"/>
  <c r="M2612" i="1"/>
  <c r="L2612" i="1"/>
  <c r="K2612" i="1"/>
  <c r="J2612" i="1"/>
  <c r="I2612" i="1"/>
  <c r="M2611" i="1"/>
  <c r="J2611" i="1"/>
  <c r="K2611" i="1" s="1"/>
  <c r="I2611" i="1"/>
  <c r="L2611" i="1" s="1"/>
  <c r="M2610" i="1"/>
  <c r="J2610" i="1"/>
  <c r="K2610" i="1" s="1"/>
  <c r="I2610" i="1"/>
  <c r="L2610" i="1" s="1"/>
  <c r="M2609" i="1"/>
  <c r="L2609" i="1"/>
  <c r="K2609" i="1"/>
  <c r="J2609" i="1"/>
  <c r="I2609" i="1"/>
  <c r="M2608" i="1"/>
  <c r="L2608" i="1"/>
  <c r="K2608" i="1"/>
  <c r="J2608" i="1"/>
  <c r="I2608" i="1"/>
  <c r="M2607" i="1"/>
  <c r="J2607" i="1"/>
  <c r="K2607" i="1" s="1"/>
  <c r="I2607" i="1"/>
  <c r="L2607" i="1" s="1"/>
  <c r="M2606" i="1"/>
  <c r="J2606" i="1"/>
  <c r="K2606" i="1" s="1"/>
  <c r="I2606" i="1"/>
  <c r="L2606" i="1" s="1"/>
  <c r="M2605" i="1"/>
  <c r="L2605" i="1"/>
  <c r="K2605" i="1"/>
  <c r="J2605" i="1"/>
  <c r="I2605" i="1"/>
  <c r="M2604" i="1"/>
  <c r="L2604" i="1"/>
  <c r="K2604" i="1"/>
  <c r="J2604" i="1"/>
  <c r="I2604" i="1"/>
  <c r="M2603" i="1"/>
  <c r="J2603" i="1"/>
  <c r="K2603" i="1" s="1"/>
  <c r="I2603" i="1"/>
  <c r="L2603" i="1" s="1"/>
  <c r="M2602" i="1"/>
  <c r="J2602" i="1"/>
  <c r="K2602" i="1" s="1"/>
  <c r="I2602" i="1"/>
  <c r="L2602" i="1" s="1"/>
  <c r="M2601" i="1"/>
  <c r="L2601" i="1"/>
  <c r="K2601" i="1"/>
  <c r="J2601" i="1"/>
  <c r="I2601" i="1"/>
  <c r="M2600" i="1"/>
  <c r="L2600" i="1"/>
  <c r="K2600" i="1"/>
  <c r="J2600" i="1"/>
  <c r="I2600" i="1"/>
  <c r="M2599" i="1"/>
  <c r="J2599" i="1"/>
  <c r="K2599" i="1" s="1"/>
  <c r="I2599" i="1"/>
  <c r="L2599" i="1" s="1"/>
  <c r="M2598" i="1"/>
  <c r="J2598" i="1"/>
  <c r="K2598" i="1" s="1"/>
  <c r="I2598" i="1"/>
  <c r="L2598" i="1" s="1"/>
  <c r="M2597" i="1"/>
  <c r="L2597" i="1"/>
  <c r="K2597" i="1"/>
  <c r="J2597" i="1"/>
  <c r="I2597" i="1"/>
  <c r="M2596" i="1"/>
  <c r="L2596" i="1"/>
  <c r="K2596" i="1"/>
  <c r="J2596" i="1"/>
  <c r="I2596" i="1"/>
  <c r="M2595" i="1"/>
  <c r="J2595" i="1"/>
  <c r="K2595" i="1" s="1"/>
  <c r="I2595" i="1"/>
  <c r="L2595" i="1" s="1"/>
  <c r="M2594" i="1"/>
  <c r="J2594" i="1"/>
  <c r="K2594" i="1" s="1"/>
  <c r="I2594" i="1"/>
  <c r="L2594" i="1" s="1"/>
  <c r="M2593" i="1"/>
  <c r="L2593" i="1"/>
  <c r="K2593" i="1"/>
  <c r="J2593" i="1"/>
  <c r="I2593" i="1"/>
  <c r="M2592" i="1"/>
  <c r="L2592" i="1"/>
  <c r="K2592" i="1"/>
  <c r="J2592" i="1"/>
  <c r="I2592" i="1"/>
  <c r="M2591" i="1"/>
  <c r="J2591" i="1"/>
  <c r="K2591" i="1" s="1"/>
  <c r="I2591" i="1"/>
  <c r="L2591" i="1" s="1"/>
  <c r="M2590" i="1"/>
  <c r="J2590" i="1"/>
  <c r="K2590" i="1" s="1"/>
  <c r="I2590" i="1"/>
  <c r="L2590" i="1" s="1"/>
  <c r="M2589" i="1"/>
  <c r="L2589" i="1"/>
  <c r="K2589" i="1"/>
  <c r="J2589" i="1"/>
  <c r="I2589" i="1"/>
  <c r="M2588" i="1"/>
  <c r="L2588" i="1"/>
  <c r="K2588" i="1"/>
  <c r="J2588" i="1"/>
  <c r="I2588" i="1"/>
  <c r="M2587" i="1"/>
  <c r="J2587" i="1"/>
  <c r="K2587" i="1" s="1"/>
  <c r="I2587" i="1"/>
  <c r="L2587" i="1" s="1"/>
  <c r="M2586" i="1"/>
  <c r="J2586" i="1"/>
  <c r="K2586" i="1" s="1"/>
  <c r="I2586" i="1"/>
  <c r="L2586" i="1" s="1"/>
  <c r="M2585" i="1"/>
  <c r="L2585" i="1"/>
  <c r="K2585" i="1"/>
  <c r="J2585" i="1"/>
  <c r="I2585" i="1"/>
  <c r="M2584" i="1"/>
  <c r="L2584" i="1"/>
  <c r="K2584" i="1"/>
  <c r="J2584" i="1"/>
  <c r="I2584" i="1"/>
  <c r="M2583" i="1"/>
  <c r="J2583" i="1"/>
  <c r="K2583" i="1" s="1"/>
  <c r="I2583" i="1"/>
  <c r="L2583" i="1" s="1"/>
  <c r="M2582" i="1"/>
  <c r="J2582" i="1"/>
  <c r="K2582" i="1" s="1"/>
  <c r="I2582" i="1"/>
  <c r="L2582" i="1" s="1"/>
  <c r="M2581" i="1"/>
  <c r="L2581" i="1"/>
  <c r="K2581" i="1"/>
  <c r="J2581" i="1"/>
  <c r="I2581" i="1"/>
  <c r="M2580" i="1"/>
  <c r="L2580" i="1"/>
  <c r="K2580" i="1"/>
  <c r="J2580" i="1"/>
  <c r="I2580" i="1"/>
  <c r="M2579" i="1"/>
  <c r="J2579" i="1"/>
  <c r="K2579" i="1" s="1"/>
  <c r="I2579" i="1"/>
  <c r="L2579" i="1" s="1"/>
  <c r="M2578" i="1"/>
  <c r="J2578" i="1"/>
  <c r="K2578" i="1" s="1"/>
  <c r="I2578" i="1"/>
  <c r="L2578" i="1" s="1"/>
  <c r="M2577" i="1"/>
  <c r="L2577" i="1"/>
  <c r="K2577" i="1"/>
  <c r="J2577" i="1"/>
  <c r="I2577" i="1"/>
  <c r="M2576" i="1"/>
  <c r="L2576" i="1"/>
  <c r="K2576" i="1"/>
  <c r="J2576" i="1"/>
  <c r="I2576" i="1"/>
  <c r="M2575" i="1"/>
  <c r="J2575" i="1"/>
  <c r="K2575" i="1" s="1"/>
  <c r="I2575" i="1"/>
  <c r="L2575" i="1" s="1"/>
  <c r="M2574" i="1"/>
  <c r="J2574" i="1"/>
  <c r="K2574" i="1" s="1"/>
  <c r="I2574" i="1"/>
  <c r="L2574" i="1" s="1"/>
  <c r="M2573" i="1"/>
  <c r="L2573" i="1"/>
  <c r="K2573" i="1"/>
  <c r="J2573" i="1"/>
  <c r="I2573" i="1"/>
  <c r="M2572" i="1"/>
  <c r="L2572" i="1"/>
  <c r="K2572" i="1"/>
  <c r="J2572" i="1"/>
  <c r="I2572" i="1"/>
  <c r="M2571" i="1"/>
  <c r="J2571" i="1"/>
  <c r="K2571" i="1" s="1"/>
  <c r="I2571" i="1"/>
  <c r="L2571" i="1" s="1"/>
  <c r="M2570" i="1"/>
  <c r="J2570" i="1"/>
  <c r="K2570" i="1" s="1"/>
  <c r="I2570" i="1"/>
  <c r="L2570" i="1" s="1"/>
  <c r="M2569" i="1"/>
  <c r="L2569" i="1"/>
  <c r="K2569" i="1"/>
  <c r="J2569" i="1"/>
  <c r="I2569" i="1"/>
  <c r="M2568" i="1"/>
  <c r="L2568" i="1"/>
  <c r="K2568" i="1"/>
  <c r="J2568" i="1"/>
  <c r="I2568" i="1"/>
  <c r="M2567" i="1"/>
  <c r="J2567" i="1"/>
  <c r="K2567" i="1" s="1"/>
  <c r="I2567" i="1"/>
  <c r="L2567" i="1" s="1"/>
  <c r="M2566" i="1"/>
  <c r="J2566" i="1"/>
  <c r="K2566" i="1" s="1"/>
  <c r="I2566" i="1"/>
  <c r="L2566" i="1" s="1"/>
  <c r="M2565" i="1"/>
  <c r="L2565" i="1"/>
  <c r="K2565" i="1"/>
  <c r="J2565" i="1"/>
  <c r="I2565" i="1"/>
  <c r="M2564" i="1"/>
  <c r="L2564" i="1"/>
  <c r="K2564" i="1"/>
  <c r="J2564" i="1"/>
  <c r="I2564" i="1"/>
  <c r="M2563" i="1"/>
  <c r="J2563" i="1"/>
  <c r="K2563" i="1" s="1"/>
  <c r="I2563" i="1"/>
  <c r="L2563" i="1" s="1"/>
  <c r="M2562" i="1"/>
  <c r="J2562" i="1"/>
  <c r="K2562" i="1" s="1"/>
  <c r="I2562" i="1"/>
  <c r="L2562" i="1" s="1"/>
  <c r="M2561" i="1"/>
  <c r="L2561" i="1"/>
  <c r="K2561" i="1"/>
  <c r="J2561" i="1"/>
  <c r="I2561" i="1"/>
  <c r="M2560" i="1"/>
  <c r="L2560" i="1"/>
  <c r="K2560" i="1"/>
  <c r="J2560" i="1"/>
  <c r="I2560" i="1"/>
  <c r="M2559" i="1"/>
  <c r="J2559" i="1"/>
  <c r="K2559" i="1" s="1"/>
  <c r="I2559" i="1"/>
  <c r="L2559" i="1" s="1"/>
  <c r="M2558" i="1"/>
  <c r="J2558" i="1"/>
  <c r="K2558" i="1" s="1"/>
  <c r="I2558" i="1"/>
  <c r="L2558" i="1" s="1"/>
  <c r="M2557" i="1"/>
  <c r="L2557" i="1"/>
  <c r="K2557" i="1"/>
  <c r="J2557" i="1"/>
  <c r="I2557" i="1"/>
  <c r="M2556" i="1"/>
  <c r="L2556" i="1"/>
  <c r="K2556" i="1"/>
  <c r="J2556" i="1"/>
  <c r="I2556" i="1"/>
  <c r="M2555" i="1"/>
  <c r="J2555" i="1"/>
  <c r="K2555" i="1" s="1"/>
  <c r="I2555" i="1"/>
  <c r="L2555" i="1" s="1"/>
  <c r="M2554" i="1"/>
  <c r="J2554" i="1"/>
  <c r="K2554" i="1" s="1"/>
  <c r="I2554" i="1"/>
  <c r="L2554" i="1" s="1"/>
  <c r="M2553" i="1"/>
  <c r="L2553" i="1"/>
  <c r="K2553" i="1"/>
  <c r="J2553" i="1"/>
  <c r="I2553" i="1"/>
  <c r="M2552" i="1"/>
  <c r="L2552" i="1"/>
  <c r="K2552" i="1"/>
  <c r="J2552" i="1"/>
  <c r="I2552" i="1"/>
  <c r="M2551" i="1"/>
  <c r="J2551" i="1"/>
  <c r="K2551" i="1" s="1"/>
  <c r="I2551" i="1"/>
  <c r="L2551" i="1" s="1"/>
  <c r="M2550" i="1"/>
  <c r="J2550" i="1"/>
  <c r="K2550" i="1" s="1"/>
  <c r="I2550" i="1"/>
  <c r="L2550" i="1" s="1"/>
  <c r="M2549" i="1"/>
  <c r="L2549" i="1"/>
  <c r="K2549" i="1"/>
  <c r="J2549" i="1"/>
  <c r="I2549" i="1"/>
  <c r="M2548" i="1"/>
  <c r="L2548" i="1"/>
  <c r="K2548" i="1"/>
  <c r="J2548" i="1"/>
  <c r="I2548" i="1"/>
  <c r="M2547" i="1"/>
  <c r="J2547" i="1"/>
  <c r="K2547" i="1" s="1"/>
  <c r="I2547" i="1"/>
  <c r="L2547" i="1" s="1"/>
  <c r="M2546" i="1"/>
  <c r="J2546" i="1"/>
  <c r="K2546" i="1" s="1"/>
  <c r="I2546" i="1"/>
  <c r="L2546" i="1" s="1"/>
  <c r="M2545" i="1"/>
  <c r="L2545" i="1"/>
  <c r="K2545" i="1"/>
  <c r="J2545" i="1"/>
  <c r="I2545" i="1"/>
  <c r="M2544" i="1"/>
  <c r="L2544" i="1"/>
  <c r="K2544" i="1"/>
  <c r="J2544" i="1"/>
  <c r="I2544" i="1"/>
  <c r="M2543" i="1"/>
  <c r="J2543" i="1"/>
  <c r="K2543" i="1" s="1"/>
  <c r="I2543" i="1"/>
  <c r="L2543" i="1" s="1"/>
  <c r="M2542" i="1"/>
  <c r="J2542" i="1"/>
  <c r="K2542" i="1" s="1"/>
  <c r="I2542" i="1"/>
  <c r="L2542" i="1" s="1"/>
  <c r="M2541" i="1"/>
  <c r="L2541" i="1"/>
  <c r="K2541" i="1"/>
  <c r="J2541" i="1"/>
  <c r="I2541" i="1"/>
  <c r="M2540" i="1"/>
  <c r="L2540" i="1"/>
  <c r="K2540" i="1"/>
  <c r="J2540" i="1"/>
  <c r="I2540" i="1"/>
  <c r="M2539" i="1"/>
  <c r="J2539" i="1"/>
  <c r="K2539" i="1" s="1"/>
  <c r="I2539" i="1"/>
  <c r="L2539" i="1" s="1"/>
  <c r="M2538" i="1"/>
  <c r="J2538" i="1"/>
  <c r="K2538" i="1" s="1"/>
  <c r="I2538" i="1"/>
  <c r="L2538" i="1" s="1"/>
  <c r="M2537" i="1"/>
  <c r="L2537" i="1"/>
  <c r="K2537" i="1"/>
  <c r="J2537" i="1"/>
  <c r="I2537" i="1"/>
  <c r="M2536" i="1"/>
  <c r="L2536" i="1"/>
  <c r="K2536" i="1"/>
  <c r="J2536" i="1"/>
  <c r="I2536" i="1"/>
  <c r="M2535" i="1"/>
  <c r="J2535" i="1"/>
  <c r="K2535" i="1" s="1"/>
  <c r="I2535" i="1"/>
  <c r="L2535" i="1" s="1"/>
  <c r="M2534" i="1"/>
  <c r="J2534" i="1"/>
  <c r="K2534" i="1" s="1"/>
  <c r="I2534" i="1"/>
  <c r="L2534" i="1" s="1"/>
  <c r="M2533" i="1"/>
  <c r="L2533" i="1"/>
  <c r="K2533" i="1"/>
  <c r="J2533" i="1"/>
  <c r="I2533" i="1"/>
  <c r="M2532" i="1"/>
  <c r="L2532" i="1"/>
  <c r="K2532" i="1"/>
  <c r="J2532" i="1"/>
  <c r="I2532" i="1"/>
  <c r="M2531" i="1"/>
  <c r="J2531" i="1"/>
  <c r="K2531" i="1" s="1"/>
  <c r="I2531" i="1"/>
  <c r="L2531" i="1" s="1"/>
  <c r="M2530" i="1"/>
  <c r="J2530" i="1"/>
  <c r="K2530" i="1" s="1"/>
  <c r="I2530" i="1"/>
  <c r="L2530" i="1" s="1"/>
  <c r="M2529" i="1"/>
  <c r="L2529" i="1"/>
  <c r="K2529" i="1"/>
  <c r="J2529" i="1"/>
  <c r="I2529" i="1"/>
  <c r="M2528" i="1"/>
  <c r="L2528" i="1"/>
  <c r="K2528" i="1"/>
  <c r="J2528" i="1"/>
  <c r="I2528" i="1"/>
  <c r="M2527" i="1"/>
  <c r="J2527" i="1"/>
  <c r="K2527" i="1" s="1"/>
  <c r="I2527" i="1"/>
  <c r="L2527" i="1" s="1"/>
  <c r="M2526" i="1"/>
  <c r="J2526" i="1"/>
  <c r="K2526" i="1" s="1"/>
  <c r="I2526" i="1"/>
  <c r="L2526" i="1" s="1"/>
  <c r="M2525" i="1"/>
  <c r="L2525" i="1"/>
  <c r="K2525" i="1"/>
  <c r="J2525" i="1"/>
  <c r="I2525" i="1"/>
  <c r="M2524" i="1"/>
  <c r="L2524" i="1"/>
  <c r="K2524" i="1"/>
  <c r="J2524" i="1"/>
  <c r="I2524" i="1"/>
  <c r="M2523" i="1"/>
  <c r="J2523" i="1"/>
  <c r="K2523" i="1" s="1"/>
  <c r="I2523" i="1"/>
  <c r="L2523" i="1" s="1"/>
  <c r="M2522" i="1"/>
  <c r="J2522" i="1"/>
  <c r="K2522" i="1" s="1"/>
  <c r="I2522" i="1"/>
  <c r="L2522" i="1" s="1"/>
  <c r="M2521" i="1"/>
  <c r="L2521" i="1"/>
  <c r="K2521" i="1"/>
  <c r="J2521" i="1"/>
  <c r="I2521" i="1"/>
  <c r="M2520" i="1"/>
  <c r="L2520" i="1"/>
  <c r="K2520" i="1"/>
  <c r="J2520" i="1"/>
  <c r="I2520" i="1"/>
  <c r="M2519" i="1"/>
  <c r="J2519" i="1"/>
  <c r="K2519" i="1" s="1"/>
  <c r="I2519" i="1"/>
  <c r="L2519" i="1" s="1"/>
  <c r="M2518" i="1"/>
  <c r="J2518" i="1"/>
  <c r="K2518" i="1" s="1"/>
  <c r="I2518" i="1"/>
  <c r="L2518" i="1" s="1"/>
  <c r="M2517" i="1"/>
  <c r="L2517" i="1"/>
  <c r="K2517" i="1"/>
  <c r="J2517" i="1"/>
  <c r="I2517" i="1"/>
  <c r="M2516" i="1"/>
  <c r="L2516" i="1"/>
  <c r="K2516" i="1"/>
  <c r="J2516" i="1"/>
  <c r="I2516" i="1"/>
  <c r="M2515" i="1"/>
  <c r="J2515" i="1"/>
  <c r="K2515" i="1" s="1"/>
  <c r="I2515" i="1"/>
  <c r="L2515" i="1" s="1"/>
  <c r="M2514" i="1"/>
  <c r="J2514" i="1"/>
  <c r="K2514" i="1" s="1"/>
  <c r="I2514" i="1"/>
  <c r="L2514" i="1" s="1"/>
  <c r="M2513" i="1"/>
  <c r="L2513" i="1"/>
  <c r="K2513" i="1"/>
  <c r="J2513" i="1"/>
  <c r="I2513" i="1"/>
  <c r="M2512" i="1"/>
  <c r="L2512" i="1"/>
  <c r="K2512" i="1"/>
  <c r="J2512" i="1"/>
  <c r="I2512" i="1"/>
  <c r="M2511" i="1"/>
  <c r="J2511" i="1"/>
  <c r="K2511" i="1" s="1"/>
  <c r="I2511" i="1"/>
  <c r="L2511" i="1" s="1"/>
  <c r="M2510" i="1"/>
  <c r="J2510" i="1"/>
  <c r="K2510" i="1" s="1"/>
  <c r="I2510" i="1"/>
  <c r="L2510" i="1" s="1"/>
  <c r="M2509" i="1"/>
  <c r="L2509" i="1"/>
  <c r="K2509" i="1"/>
  <c r="J2509" i="1"/>
  <c r="I2509" i="1"/>
  <c r="M2508" i="1"/>
  <c r="L2508" i="1"/>
  <c r="K2508" i="1"/>
  <c r="J2508" i="1"/>
  <c r="I2508" i="1"/>
  <c r="M2507" i="1"/>
  <c r="J2507" i="1"/>
  <c r="K2507" i="1" s="1"/>
  <c r="I2507" i="1"/>
  <c r="L2507" i="1" s="1"/>
  <c r="M2506" i="1"/>
  <c r="J2506" i="1"/>
  <c r="K2506" i="1" s="1"/>
  <c r="I2506" i="1"/>
  <c r="L2506" i="1" s="1"/>
  <c r="M2505" i="1"/>
  <c r="L2505" i="1"/>
  <c r="K2505" i="1"/>
  <c r="J2505" i="1"/>
  <c r="I2505" i="1"/>
  <c r="M2504" i="1"/>
  <c r="L2504" i="1"/>
  <c r="K2504" i="1"/>
  <c r="J2504" i="1"/>
  <c r="I2504" i="1"/>
  <c r="M2503" i="1"/>
  <c r="J2503" i="1"/>
  <c r="K2503" i="1" s="1"/>
  <c r="I2503" i="1"/>
  <c r="L2503" i="1" s="1"/>
  <c r="M2502" i="1"/>
  <c r="J2502" i="1"/>
  <c r="K2502" i="1" s="1"/>
  <c r="I2502" i="1"/>
  <c r="L2502" i="1" s="1"/>
  <c r="M2501" i="1"/>
  <c r="L2501" i="1"/>
  <c r="K2501" i="1"/>
  <c r="J2501" i="1"/>
  <c r="I2501" i="1"/>
  <c r="M2500" i="1"/>
  <c r="L2500" i="1"/>
  <c r="K2500" i="1"/>
  <c r="J2500" i="1"/>
  <c r="I2500" i="1"/>
  <c r="M2499" i="1"/>
  <c r="J2499" i="1"/>
  <c r="K2499" i="1" s="1"/>
  <c r="I2499" i="1"/>
  <c r="L2499" i="1" s="1"/>
  <c r="M2498" i="1"/>
  <c r="J2498" i="1"/>
  <c r="K2498" i="1" s="1"/>
  <c r="I2498" i="1"/>
  <c r="L2498" i="1" s="1"/>
  <c r="M2497" i="1"/>
  <c r="L2497" i="1"/>
  <c r="K2497" i="1"/>
  <c r="J2497" i="1"/>
  <c r="I2497" i="1"/>
  <c r="M2496" i="1"/>
  <c r="L2496" i="1"/>
  <c r="K2496" i="1"/>
  <c r="J2496" i="1"/>
  <c r="I2496" i="1"/>
  <c r="M2495" i="1"/>
  <c r="J2495" i="1"/>
  <c r="K2495" i="1" s="1"/>
  <c r="I2495" i="1"/>
  <c r="L2495" i="1" s="1"/>
  <c r="M2494" i="1"/>
  <c r="J2494" i="1"/>
  <c r="K2494" i="1" s="1"/>
  <c r="I2494" i="1"/>
  <c r="L2494" i="1" s="1"/>
  <c r="M2493" i="1"/>
  <c r="L2493" i="1"/>
  <c r="K2493" i="1"/>
  <c r="J2493" i="1"/>
  <c r="I2493" i="1"/>
  <c r="M2492" i="1"/>
  <c r="L2492" i="1"/>
  <c r="K2492" i="1"/>
  <c r="J2492" i="1"/>
  <c r="I2492" i="1"/>
  <c r="M2491" i="1"/>
  <c r="J2491" i="1"/>
  <c r="K2491" i="1" s="1"/>
  <c r="I2491" i="1"/>
  <c r="L2491" i="1" s="1"/>
  <c r="M2490" i="1"/>
  <c r="J2490" i="1"/>
  <c r="K2490" i="1" s="1"/>
  <c r="I2490" i="1"/>
  <c r="L2490" i="1" s="1"/>
  <c r="M2489" i="1"/>
  <c r="L2489" i="1"/>
  <c r="K2489" i="1"/>
  <c r="J2489" i="1"/>
  <c r="I2489" i="1"/>
  <c r="M2488" i="1"/>
  <c r="L2488" i="1"/>
  <c r="K2488" i="1"/>
  <c r="J2488" i="1"/>
  <c r="I2488" i="1"/>
  <c r="M2487" i="1"/>
  <c r="L2487" i="1"/>
  <c r="J2487" i="1"/>
  <c r="K2487" i="1" s="1"/>
  <c r="I2487" i="1"/>
  <c r="M2486" i="1"/>
  <c r="J2486" i="1"/>
  <c r="K2486" i="1" s="1"/>
  <c r="I2486" i="1"/>
  <c r="L2486" i="1" s="1"/>
  <c r="M2485" i="1"/>
  <c r="L2485" i="1"/>
  <c r="K2485" i="1"/>
  <c r="J2485" i="1"/>
  <c r="I2485" i="1"/>
  <c r="M2484" i="1"/>
  <c r="L2484" i="1"/>
  <c r="K2484" i="1"/>
  <c r="J2484" i="1"/>
  <c r="I2484" i="1"/>
  <c r="M2483" i="1"/>
  <c r="J2483" i="1"/>
  <c r="K2483" i="1" s="1"/>
  <c r="I2483" i="1"/>
  <c r="L2483" i="1" s="1"/>
  <c r="M2482" i="1"/>
  <c r="J2482" i="1"/>
  <c r="K2482" i="1" s="1"/>
  <c r="I2482" i="1"/>
  <c r="L2482" i="1" s="1"/>
  <c r="M2481" i="1"/>
  <c r="L2481" i="1"/>
  <c r="J2481" i="1"/>
  <c r="K2481" i="1" s="1"/>
  <c r="I2481" i="1"/>
  <c r="M2480" i="1"/>
  <c r="L2480" i="1"/>
  <c r="K2480" i="1"/>
  <c r="J2480" i="1"/>
  <c r="I2480" i="1"/>
  <c r="M2479" i="1"/>
  <c r="J2479" i="1"/>
  <c r="K2479" i="1" s="1"/>
  <c r="I2479" i="1"/>
  <c r="L2479" i="1" s="1"/>
  <c r="M2478" i="1"/>
  <c r="J2478" i="1"/>
  <c r="K2478" i="1" s="1"/>
  <c r="I2478" i="1"/>
  <c r="L2478" i="1" s="1"/>
  <c r="M2477" i="1"/>
  <c r="L2477" i="1"/>
  <c r="J2477" i="1"/>
  <c r="K2477" i="1" s="1"/>
  <c r="I2477" i="1"/>
  <c r="M2476" i="1"/>
  <c r="L2476" i="1"/>
  <c r="K2476" i="1"/>
  <c r="J2476" i="1"/>
  <c r="I2476" i="1"/>
  <c r="M2475" i="1"/>
  <c r="L2475" i="1"/>
  <c r="J2475" i="1"/>
  <c r="K2475" i="1" s="1"/>
  <c r="I2475" i="1"/>
  <c r="M2474" i="1"/>
  <c r="J2474" i="1"/>
  <c r="K2474" i="1" s="1"/>
  <c r="I2474" i="1"/>
  <c r="L2474" i="1" s="1"/>
  <c r="M2473" i="1"/>
  <c r="L2473" i="1"/>
  <c r="K2473" i="1"/>
  <c r="J2473" i="1"/>
  <c r="I2473" i="1"/>
  <c r="M2472" i="1"/>
  <c r="L2472" i="1"/>
  <c r="K2472" i="1"/>
  <c r="J2472" i="1"/>
  <c r="I2472" i="1"/>
  <c r="M2471" i="1"/>
  <c r="L2471" i="1"/>
  <c r="J2471" i="1"/>
  <c r="K2471" i="1" s="1"/>
  <c r="I2471" i="1"/>
  <c r="M2470" i="1"/>
  <c r="J2470" i="1"/>
  <c r="K2470" i="1" s="1"/>
  <c r="I2470" i="1"/>
  <c r="L2470" i="1" s="1"/>
  <c r="M2469" i="1"/>
  <c r="L2469" i="1"/>
  <c r="K2469" i="1"/>
  <c r="J2469" i="1"/>
  <c r="I2469" i="1"/>
  <c r="M2468" i="1"/>
  <c r="L2468" i="1"/>
  <c r="K2468" i="1"/>
  <c r="J2468" i="1"/>
  <c r="I2468" i="1"/>
  <c r="M2467" i="1"/>
  <c r="J2467" i="1"/>
  <c r="K2467" i="1" s="1"/>
  <c r="I2467" i="1"/>
  <c r="L2467" i="1" s="1"/>
  <c r="M2466" i="1"/>
  <c r="J2466" i="1"/>
  <c r="K2466" i="1" s="1"/>
  <c r="I2466" i="1"/>
  <c r="L2466" i="1" s="1"/>
  <c r="M2465" i="1"/>
  <c r="L2465" i="1"/>
  <c r="J2465" i="1"/>
  <c r="K2465" i="1" s="1"/>
  <c r="I2465" i="1"/>
  <c r="M2464" i="1"/>
  <c r="L2464" i="1"/>
  <c r="K2464" i="1"/>
  <c r="J2464" i="1"/>
  <c r="I2464" i="1"/>
  <c r="M2463" i="1"/>
  <c r="J2463" i="1"/>
  <c r="K2463" i="1" s="1"/>
  <c r="I2463" i="1"/>
  <c r="L2463" i="1" s="1"/>
  <c r="M2462" i="1"/>
  <c r="J2462" i="1"/>
  <c r="K2462" i="1" s="1"/>
  <c r="I2462" i="1"/>
  <c r="L2462" i="1" s="1"/>
  <c r="M2461" i="1"/>
  <c r="L2461" i="1"/>
  <c r="J2461" i="1"/>
  <c r="K2461" i="1" s="1"/>
  <c r="I2461" i="1"/>
  <c r="M2460" i="1"/>
  <c r="L2460" i="1"/>
  <c r="K2460" i="1"/>
  <c r="J2460" i="1"/>
  <c r="I2460" i="1"/>
  <c r="M2459" i="1"/>
  <c r="L2459" i="1"/>
  <c r="J2459" i="1"/>
  <c r="K2459" i="1" s="1"/>
  <c r="I2459" i="1"/>
  <c r="M2458" i="1"/>
  <c r="J2458" i="1"/>
  <c r="K2458" i="1" s="1"/>
  <c r="I2458" i="1"/>
  <c r="L2458" i="1" s="1"/>
  <c r="M2457" i="1"/>
  <c r="L2457" i="1"/>
  <c r="K2457" i="1"/>
  <c r="J2457" i="1"/>
  <c r="I2457" i="1"/>
  <c r="M2456" i="1"/>
  <c r="L2456" i="1"/>
  <c r="K2456" i="1"/>
  <c r="J2456" i="1"/>
  <c r="I2456" i="1"/>
  <c r="M2455" i="1"/>
  <c r="L2455" i="1"/>
  <c r="J2455" i="1"/>
  <c r="K2455" i="1" s="1"/>
  <c r="I2455" i="1"/>
  <c r="M2454" i="1"/>
  <c r="J2454" i="1"/>
  <c r="K2454" i="1" s="1"/>
  <c r="I2454" i="1"/>
  <c r="L2454" i="1" s="1"/>
  <c r="M2453" i="1"/>
  <c r="L2453" i="1"/>
  <c r="K2453" i="1"/>
  <c r="J2453" i="1"/>
  <c r="I2453" i="1"/>
  <c r="M2452" i="1"/>
  <c r="L2452" i="1"/>
  <c r="K2452" i="1"/>
  <c r="J2452" i="1"/>
  <c r="I2452" i="1"/>
  <c r="M2451" i="1"/>
  <c r="J2451" i="1"/>
  <c r="K2451" i="1" s="1"/>
  <c r="I2451" i="1"/>
  <c r="L2451" i="1" s="1"/>
  <c r="M2450" i="1"/>
  <c r="J2450" i="1"/>
  <c r="K2450" i="1" s="1"/>
  <c r="I2450" i="1"/>
  <c r="L2450" i="1" s="1"/>
  <c r="M2449" i="1"/>
  <c r="L2449" i="1"/>
  <c r="J2449" i="1"/>
  <c r="K2449" i="1" s="1"/>
  <c r="I2449" i="1"/>
  <c r="M2448" i="1"/>
  <c r="L2448" i="1"/>
  <c r="K2448" i="1"/>
  <c r="J2448" i="1"/>
  <c r="I2448" i="1"/>
  <c r="M2447" i="1"/>
  <c r="J2447" i="1"/>
  <c r="K2447" i="1" s="1"/>
  <c r="I2447" i="1"/>
  <c r="L2447" i="1" s="1"/>
  <c r="M2446" i="1"/>
  <c r="J2446" i="1"/>
  <c r="K2446" i="1" s="1"/>
  <c r="I2446" i="1"/>
  <c r="L2446" i="1" s="1"/>
  <c r="M2445" i="1"/>
  <c r="L2445" i="1"/>
  <c r="J2445" i="1"/>
  <c r="K2445" i="1" s="1"/>
  <c r="I2445" i="1"/>
  <c r="M2444" i="1"/>
  <c r="L2444" i="1"/>
  <c r="K2444" i="1"/>
  <c r="J2444" i="1"/>
  <c r="I2444" i="1"/>
  <c r="M2443" i="1"/>
  <c r="L2443" i="1"/>
  <c r="J2443" i="1"/>
  <c r="K2443" i="1" s="1"/>
  <c r="I2443" i="1"/>
  <c r="M2442" i="1"/>
  <c r="J2442" i="1"/>
  <c r="K2442" i="1" s="1"/>
  <c r="I2442" i="1"/>
  <c r="L2442" i="1" s="1"/>
  <c r="M2441" i="1"/>
  <c r="L2441" i="1"/>
  <c r="K2441" i="1"/>
  <c r="J2441" i="1"/>
  <c r="I2441" i="1"/>
  <c r="M2440" i="1"/>
  <c r="L2440" i="1"/>
  <c r="K2440" i="1"/>
  <c r="J2440" i="1"/>
  <c r="I2440" i="1"/>
  <c r="M2439" i="1"/>
  <c r="L2439" i="1"/>
  <c r="J2439" i="1"/>
  <c r="K2439" i="1" s="1"/>
  <c r="I2439" i="1"/>
  <c r="M2438" i="1"/>
  <c r="J2438" i="1"/>
  <c r="K2438" i="1" s="1"/>
  <c r="I2438" i="1"/>
  <c r="L2438" i="1" s="1"/>
  <c r="M2437" i="1"/>
  <c r="L2437" i="1"/>
  <c r="K2437" i="1"/>
  <c r="J2437" i="1"/>
  <c r="I2437" i="1"/>
  <c r="M2436" i="1"/>
  <c r="L2436" i="1"/>
  <c r="K2436" i="1"/>
  <c r="J2436" i="1"/>
  <c r="I2436" i="1"/>
  <c r="M2435" i="1"/>
  <c r="J2435" i="1"/>
  <c r="K2435" i="1" s="1"/>
  <c r="I2435" i="1"/>
  <c r="L2435" i="1" s="1"/>
  <c r="M2434" i="1"/>
  <c r="J2434" i="1"/>
  <c r="K2434" i="1" s="1"/>
  <c r="I2434" i="1"/>
  <c r="L2434" i="1" s="1"/>
  <c r="M2433" i="1"/>
  <c r="L2433" i="1"/>
  <c r="J2433" i="1"/>
  <c r="K2433" i="1" s="1"/>
  <c r="I2433" i="1"/>
  <c r="M2432" i="1"/>
  <c r="L2432" i="1"/>
  <c r="K2432" i="1"/>
  <c r="J2432" i="1"/>
  <c r="I2432" i="1"/>
  <c r="M2431" i="1"/>
  <c r="J2431" i="1"/>
  <c r="K2431" i="1" s="1"/>
  <c r="I2431" i="1"/>
  <c r="L2431" i="1" s="1"/>
  <c r="M2430" i="1"/>
  <c r="J2430" i="1"/>
  <c r="K2430" i="1" s="1"/>
  <c r="I2430" i="1"/>
  <c r="L2430" i="1" s="1"/>
  <c r="M2429" i="1"/>
  <c r="L2429" i="1"/>
  <c r="J2429" i="1"/>
  <c r="K2429" i="1" s="1"/>
  <c r="I2429" i="1"/>
  <c r="M2428" i="1"/>
  <c r="L2428" i="1"/>
  <c r="K2428" i="1"/>
  <c r="J2428" i="1"/>
  <c r="I2428" i="1"/>
  <c r="M2427" i="1"/>
  <c r="L2427" i="1"/>
  <c r="J2427" i="1"/>
  <c r="K2427" i="1" s="1"/>
  <c r="I2427" i="1"/>
  <c r="M2426" i="1"/>
  <c r="J2426" i="1"/>
  <c r="K2426" i="1" s="1"/>
  <c r="I2426" i="1"/>
  <c r="L2426" i="1" s="1"/>
  <c r="M2425" i="1"/>
  <c r="L2425" i="1"/>
  <c r="K2425" i="1"/>
  <c r="J2425" i="1"/>
  <c r="I2425" i="1"/>
  <c r="M2424" i="1"/>
  <c r="L2424" i="1"/>
  <c r="K2424" i="1"/>
  <c r="J2424" i="1"/>
  <c r="I2424" i="1"/>
  <c r="M2423" i="1"/>
  <c r="L2423" i="1"/>
  <c r="J2423" i="1"/>
  <c r="K2423" i="1" s="1"/>
  <c r="I2423" i="1"/>
  <c r="M2422" i="1"/>
  <c r="J2422" i="1"/>
  <c r="K2422" i="1" s="1"/>
  <c r="I2422" i="1"/>
  <c r="L2422" i="1" s="1"/>
  <c r="M2421" i="1"/>
  <c r="L2421" i="1"/>
  <c r="K2421" i="1"/>
  <c r="J2421" i="1"/>
  <c r="I2421" i="1"/>
  <c r="M2420" i="1"/>
  <c r="L2420" i="1"/>
  <c r="K2420" i="1"/>
  <c r="J2420" i="1"/>
  <c r="I2420" i="1"/>
  <c r="M2419" i="1"/>
  <c r="J2419" i="1"/>
  <c r="K2419" i="1" s="1"/>
  <c r="I2419" i="1"/>
  <c r="L2419" i="1" s="1"/>
  <c r="M2418" i="1"/>
  <c r="J2418" i="1"/>
  <c r="K2418" i="1" s="1"/>
  <c r="I2418" i="1"/>
  <c r="L2418" i="1" s="1"/>
  <c r="M2417" i="1"/>
  <c r="L2417" i="1"/>
  <c r="J2417" i="1"/>
  <c r="K2417" i="1" s="1"/>
  <c r="I2417" i="1"/>
  <c r="M2416" i="1"/>
  <c r="L2416" i="1"/>
  <c r="K2416" i="1"/>
  <c r="J2416" i="1"/>
  <c r="I2416" i="1"/>
  <c r="M2415" i="1"/>
  <c r="J2415" i="1"/>
  <c r="K2415" i="1" s="1"/>
  <c r="I2415" i="1"/>
  <c r="L2415" i="1" s="1"/>
  <c r="M2414" i="1"/>
  <c r="J2414" i="1"/>
  <c r="K2414" i="1" s="1"/>
  <c r="I2414" i="1"/>
  <c r="L2414" i="1" s="1"/>
  <c r="M2413" i="1"/>
  <c r="L2413" i="1"/>
  <c r="J2413" i="1"/>
  <c r="K2413" i="1" s="1"/>
  <c r="I2413" i="1"/>
  <c r="M2412" i="1"/>
  <c r="L2412" i="1"/>
  <c r="K2412" i="1"/>
  <c r="J2412" i="1"/>
  <c r="I2412" i="1"/>
  <c r="M2411" i="1"/>
  <c r="L2411" i="1"/>
  <c r="J2411" i="1"/>
  <c r="K2411" i="1" s="1"/>
  <c r="I2411" i="1"/>
  <c r="M2410" i="1"/>
  <c r="K2410" i="1"/>
  <c r="J2410" i="1"/>
  <c r="I2410" i="1"/>
  <c r="L2410" i="1" s="1"/>
  <c r="M2409" i="1"/>
  <c r="L2409" i="1"/>
  <c r="K2409" i="1"/>
  <c r="J2409" i="1"/>
  <c r="I2409" i="1"/>
  <c r="M2408" i="1"/>
  <c r="K2408" i="1"/>
  <c r="J2408" i="1"/>
  <c r="I2408" i="1"/>
  <c r="L2408" i="1" s="1"/>
  <c r="M2407" i="1"/>
  <c r="J2407" i="1"/>
  <c r="K2407" i="1" s="1"/>
  <c r="I2407" i="1"/>
  <c r="L2407" i="1" s="1"/>
  <c r="M2406" i="1"/>
  <c r="J2406" i="1"/>
  <c r="K2406" i="1" s="1"/>
  <c r="I2406" i="1"/>
  <c r="L2406" i="1" s="1"/>
  <c r="M2405" i="1"/>
  <c r="L2405" i="1"/>
  <c r="J2405" i="1"/>
  <c r="K2405" i="1" s="1"/>
  <c r="I2405" i="1"/>
  <c r="M2404" i="1"/>
  <c r="L2404" i="1"/>
  <c r="K2404" i="1"/>
  <c r="J2404" i="1"/>
  <c r="I2404" i="1"/>
  <c r="M2403" i="1"/>
  <c r="L2403" i="1"/>
  <c r="J2403" i="1"/>
  <c r="K2403" i="1" s="1"/>
  <c r="I2403" i="1"/>
  <c r="M2402" i="1"/>
  <c r="K2402" i="1"/>
  <c r="J2402" i="1"/>
  <c r="I2402" i="1"/>
  <c r="L2402" i="1" s="1"/>
  <c r="M2401" i="1"/>
  <c r="L2401" i="1"/>
  <c r="K2401" i="1"/>
  <c r="J2401" i="1"/>
  <c r="I2401" i="1"/>
  <c r="M2400" i="1"/>
  <c r="K2400" i="1"/>
  <c r="J2400" i="1"/>
  <c r="I2400" i="1"/>
  <c r="L2400" i="1" s="1"/>
  <c r="M2399" i="1"/>
  <c r="J2399" i="1"/>
  <c r="K2399" i="1" s="1"/>
  <c r="I2399" i="1"/>
  <c r="L2399" i="1" s="1"/>
  <c r="M2398" i="1"/>
  <c r="J2398" i="1"/>
  <c r="K2398" i="1" s="1"/>
  <c r="I2398" i="1"/>
  <c r="L2398" i="1" s="1"/>
  <c r="M2397" i="1"/>
  <c r="L2397" i="1"/>
  <c r="J2397" i="1"/>
  <c r="K2397" i="1" s="1"/>
  <c r="I2397" i="1"/>
  <c r="M2396" i="1"/>
  <c r="L2396" i="1"/>
  <c r="K2396" i="1"/>
  <c r="J2396" i="1"/>
  <c r="I2396" i="1"/>
  <c r="M2395" i="1"/>
  <c r="L2395" i="1"/>
  <c r="J2395" i="1"/>
  <c r="K2395" i="1" s="1"/>
  <c r="I2395" i="1"/>
  <c r="M2394" i="1"/>
  <c r="K2394" i="1"/>
  <c r="J2394" i="1"/>
  <c r="I2394" i="1"/>
  <c r="L2394" i="1" s="1"/>
  <c r="M2393" i="1"/>
  <c r="L2393" i="1"/>
  <c r="K2393" i="1"/>
  <c r="J2393" i="1"/>
  <c r="I2393" i="1"/>
  <c r="M2392" i="1"/>
  <c r="K2392" i="1"/>
  <c r="J2392" i="1"/>
  <c r="I2392" i="1"/>
  <c r="L2392" i="1" s="1"/>
  <c r="M2391" i="1"/>
  <c r="J2391" i="1"/>
  <c r="K2391" i="1" s="1"/>
  <c r="I2391" i="1"/>
  <c r="L2391" i="1" s="1"/>
  <c r="M2390" i="1"/>
  <c r="J2390" i="1"/>
  <c r="K2390" i="1" s="1"/>
  <c r="I2390" i="1"/>
  <c r="L2390" i="1" s="1"/>
  <c r="M2389" i="1"/>
  <c r="L2389" i="1"/>
  <c r="J2389" i="1"/>
  <c r="K2389" i="1" s="1"/>
  <c r="I2389" i="1"/>
  <c r="M2388" i="1"/>
  <c r="L2388" i="1"/>
  <c r="K2388" i="1"/>
  <c r="J2388" i="1"/>
  <c r="I2388" i="1"/>
  <c r="M2387" i="1"/>
  <c r="L2387" i="1"/>
  <c r="J2387" i="1"/>
  <c r="K2387" i="1" s="1"/>
  <c r="I2387" i="1"/>
  <c r="M2386" i="1"/>
  <c r="K2386" i="1"/>
  <c r="J2386" i="1"/>
  <c r="I2386" i="1"/>
  <c r="L2386" i="1" s="1"/>
  <c r="M2385" i="1"/>
  <c r="L2385" i="1"/>
  <c r="K2385" i="1"/>
  <c r="J2385" i="1"/>
  <c r="I2385" i="1"/>
  <c r="M2384" i="1"/>
  <c r="K2384" i="1"/>
  <c r="J2384" i="1"/>
  <c r="I2384" i="1"/>
  <c r="L2384" i="1" s="1"/>
  <c r="M2383" i="1"/>
  <c r="J2383" i="1"/>
  <c r="K2383" i="1" s="1"/>
  <c r="I2383" i="1"/>
  <c r="L2383" i="1" s="1"/>
  <c r="M2382" i="1"/>
  <c r="J2382" i="1"/>
  <c r="K2382" i="1" s="1"/>
  <c r="I2382" i="1"/>
  <c r="L2382" i="1" s="1"/>
  <c r="M2381" i="1"/>
  <c r="L2381" i="1"/>
  <c r="J2381" i="1"/>
  <c r="K2381" i="1" s="1"/>
  <c r="I2381" i="1"/>
  <c r="M2380" i="1"/>
  <c r="L2380" i="1"/>
  <c r="K2380" i="1"/>
  <c r="J2380" i="1"/>
  <c r="I2380" i="1"/>
  <c r="M2379" i="1"/>
  <c r="L2379" i="1"/>
  <c r="J2379" i="1"/>
  <c r="K2379" i="1" s="1"/>
  <c r="I2379" i="1"/>
  <c r="M2378" i="1"/>
  <c r="K2378" i="1"/>
  <c r="J2378" i="1"/>
  <c r="I2378" i="1"/>
  <c r="L2378" i="1" s="1"/>
  <c r="M2377" i="1"/>
  <c r="L2377" i="1"/>
  <c r="K2377" i="1"/>
  <c r="J2377" i="1"/>
  <c r="I2377" i="1"/>
  <c r="M2376" i="1"/>
  <c r="K2376" i="1"/>
  <c r="J2376" i="1"/>
  <c r="I2376" i="1"/>
  <c r="L2376" i="1" s="1"/>
  <c r="M2375" i="1"/>
  <c r="J2375" i="1"/>
  <c r="K2375" i="1" s="1"/>
  <c r="I2375" i="1"/>
  <c r="L2375" i="1" s="1"/>
  <c r="M2374" i="1"/>
  <c r="J2374" i="1"/>
  <c r="K2374" i="1" s="1"/>
  <c r="I2374" i="1"/>
  <c r="L2374" i="1" s="1"/>
  <c r="M2373" i="1"/>
  <c r="L2373" i="1"/>
  <c r="J2373" i="1"/>
  <c r="K2373" i="1" s="1"/>
  <c r="I2373" i="1"/>
  <c r="M2372" i="1"/>
  <c r="L2372" i="1"/>
  <c r="K2372" i="1"/>
  <c r="J2372" i="1"/>
  <c r="I2372" i="1"/>
  <c r="M2371" i="1"/>
  <c r="L2371" i="1"/>
  <c r="J2371" i="1"/>
  <c r="K2371" i="1" s="1"/>
  <c r="I2371" i="1"/>
  <c r="M2370" i="1"/>
  <c r="K2370" i="1"/>
  <c r="J2370" i="1"/>
  <c r="I2370" i="1"/>
  <c r="L2370" i="1" s="1"/>
  <c r="M2369" i="1"/>
  <c r="L2369" i="1"/>
  <c r="K2369" i="1"/>
  <c r="J2369" i="1"/>
  <c r="I2369" i="1"/>
  <c r="M2368" i="1"/>
  <c r="K2368" i="1"/>
  <c r="J2368" i="1"/>
  <c r="I2368" i="1"/>
  <c r="L2368" i="1" s="1"/>
  <c r="M2367" i="1"/>
  <c r="J2367" i="1"/>
  <c r="K2367" i="1" s="1"/>
  <c r="I2367" i="1"/>
  <c r="L2367" i="1" s="1"/>
  <c r="M2366" i="1"/>
  <c r="J2366" i="1"/>
  <c r="K2366" i="1" s="1"/>
  <c r="I2366" i="1"/>
  <c r="L2366" i="1" s="1"/>
  <c r="M2365" i="1"/>
  <c r="L2365" i="1"/>
  <c r="J2365" i="1"/>
  <c r="K2365" i="1" s="1"/>
  <c r="I2365" i="1"/>
  <c r="M2364" i="1"/>
  <c r="L2364" i="1"/>
  <c r="K2364" i="1"/>
  <c r="J2364" i="1"/>
  <c r="I2364" i="1"/>
  <c r="M2363" i="1"/>
  <c r="L2363" i="1"/>
  <c r="J2363" i="1"/>
  <c r="K2363" i="1" s="1"/>
  <c r="I2363" i="1"/>
  <c r="M2362" i="1"/>
  <c r="K2362" i="1"/>
  <c r="J2362" i="1"/>
  <c r="I2362" i="1"/>
  <c r="L2362" i="1" s="1"/>
  <c r="M2361" i="1"/>
  <c r="L2361" i="1"/>
  <c r="K2361" i="1"/>
  <c r="J2361" i="1"/>
  <c r="I2361" i="1"/>
  <c r="M2360" i="1"/>
  <c r="K2360" i="1"/>
  <c r="J2360" i="1"/>
  <c r="I2360" i="1"/>
  <c r="L2360" i="1" s="1"/>
  <c r="M2359" i="1"/>
  <c r="J2359" i="1"/>
  <c r="K2359" i="1" s="1"/>
  <c r="I2359" i="1"/>
  <c r="L2359" i="1" s="1"/>
  <c r="M2358" i="1"/>
  <c r="J2358" i="1"/>
  <c r="K2358" i="1" s="1"/>
  <c r="I2358" i="1"/>
  <c r="L2358" i="1" s="1"/>
  <c r="M2357" i="1"/>
  <c r="L2357" i="1"/>
  <c r="J2357" i="1"/>
  <c r="K2357" i="1" s="1"/>
  <c r="I2357" i="1"/>
  <c r="M2356" i="1"/>
  <c r="L2356" i="1"/>
  <c r="K2356" i="1"/>
  <c r="J2356" i="1"/>
  <c r="I2356" i="1"/>
  <c r="M2355" i="1"/>
  <c r="L2355" i="1"/>
  <c r="J2355" i="1"/>
  <c r="K2355" i="1" s="1"/>
  <c r="I2355" i="1"/>
  <c r="M2354" i="1"/>
  <c r="K2354" i="1"/>
  <c r="J2354" i="1"/>
  <c r="I2354" i="1"/>
  <c r="L2354" i="1" s="1"/>
  <c r="M2353" i="1"/>
  <c r="L2353" i="1"/>
  <c r="K2353" i="1"/>
  <c r="J2353" i="1"/>
  <c r="I2353" i="1"/>
  <c r="M2352" i="1"/>
  <c r="K2352" i="1"/>
  <c r="J2352" i="1"/>
  <c r="I2352" i="1"/>
  <c r="L2352" i="1" s="1"/>
  <c r="M2351" i="1"/>
  <c r="J2351" i="1"/>
  <c r="K2351" i="1" s="1"/>
  <c r="I2351" i="1"/>
  <c r="L2351" i="1" s="1"/>
  <c r="M2350" i="1"/>
  <c r="J2350" i="1"/>
  <c r="K2350" i="1" s="1"/>
  <c r="I2350" i="1"/>
  <c r="L2350" i="1" s="1"/>
  <c r="M2349" i="1"/>
  <c r="L2349" i="1"/>
  <c r="J2349" i="1"/>
  <c r="K2349" i="1" s="1"/>
  <c r="I2349" i="1"/>
  <c r="M2348" i="1"/>
  <c r="L2348" i="1"/>
  <c r="K2348" i="1"/>
  <c r="J2348" i="1"/>
  <c r="I2348" i="1"/>
  <c r="M2347" i="1"/>
  <c r="L2347" i="1"/>
  <c r="J2347" i="1"/>
  <c r="K2347" i="1" s="1"/>
  <c r="I2347" i="1"/>
  <c r="M2346" i="1"/>
  <c r="K2346" i="1"/>
  <c r="J2346" i="1"/>
  <c r="I2346" i="1"/>
  <c r="L2346" i="1" s="1"/>
  <c r="M2345" i="1"/>
  <c r="L2345" i="1"/>
  <c r="K2345" i="1"/>
  <c r="J2345" i="1"/>
  <c r="I2345" i="1"/>
  <c r="M2344" i="1"/>
  <c r="K2344" i="1"/>
  <c r="J2344" i="1"/>
  <c r="I2344" i="1"/>
  <c r="L2344" i="1" s="1"/>
  <c r="M2343" i="1"/>
  <c r="J2343" i="1"/>
  <c r="K2343" i="1" s="1"/>
  <c r="I2343" i="1"/>
  <c r="L2343" i="1" s="1"/>
  <c r="M2342" i="1"/>
  <c r="J2342" i="1"/>
  <c r="K2342" i="1" s="1"/>
  <c r="I2342" i="1"/>
  <c r="L2342" i="1" s="1"/>
  <c r="M2341" i="1"/>
  <c r="L2341" i="1"/>
  <c r="J2341" i="1"/>
  <c r="K2341" i="1" s="1"/>
  <c r="I2341" i="1"/>
  <c r="M2340" i="1"/>
  <c r="L2340" i="1"/>
  <c r="K2340" i="1"/>
  <c r="J2340" i="1"/>
  <c r="I2340" i="1"/>
  <c r="M2339" i="1"/>
  <c r="L2339" i="1"/>
  <c r="J2339" i="1"/>
  <c r="K2339" i="1" s="1"/>
  <c r="I2339" i="1"/>
  <c r="M2338" i="1"/>
  <c r="K2338" i="1"/>
  <c r="J2338" i="1"/>
  <c r="I2338" i="1"/>
  <c r="L2338" i="1" s="1"/>
  <c r="M2337" i="1"/>
  <c r="L2337" i="1"/>
  <c r="K2337" i="1"/>
  <c r="J2337" i="1"/>
  <c r="I2337" i="1"/>
  <c r="M2336" i="1"/>
  <c r="K2336" i="1"/>
  <c r="J2336" i="1"/>
  <c r="I2336" i="1"/>
  <c r="L2336" i="1" s="1"/>
  <c r="M2335" i="1"/>
  <c r="J2335" i="1"/>
  <c r="K2335" i="1" s="1"/>
  <c r="I2335" i="1"/>
  <c r="L2335" i="1" s="1"/>
  <c r="M2334" i="1"/>
  <c r="J2334" i="1"/>
  <c r="K2334" i="1" s="1"/>
  <c r="I2334" i="1"/>
  <c r="L2334" i="1" s="1"/>
  <c r="M2333" i="1"/>
  <c r="L2333" i="1"/>
  <c r="J2333" i="1"/>
  <c r="K2333" i="1" s="1"/>
  <c r="I2333" i="1"/>
  <c r="M2332" i="1"/>
  <c r="L2332" i="1"/>
  <c r="K2332" i="1"/>
  <c r="J2332" i="1"/>
  <c r="I2332" i="1"/>
  <c r="M2331" i="1"/>
  <c r="L2331" i="1"/>
  <c r="J2331" i="1"/>
  <c r="K2331" i="1" s="1"/>
  <c r="I2331" i="1"/>
  <c r="M2330" i="1"/>
  <c r="K2330" i="1"/>
  <c r="J2330" i="1"/>
  <c r="I2330" i="1"/>
  <c r="L2330" i="1" s="1"/>
  <c r="M2329" i="1"/>
  <c r="L2329" i="1"/>
  <c r="K2329" i="1"/>
  <c r="J2329" i="1"/>
  <c r="I2329" i="1"/>
  <c r="M2328" i="1"/>
  <c r="K2328" i="1"/>
  <c r="J2328" i="1"/>
  <c r="I2328" i="1"/>
  <c r="L2328" i="1" s="1"/>
  <c r="M2327" i="1"/>
  <c r="J2327" i="1"/>
  <c r="K2327" i="1" s="1"/>
  <c r="I2327" i="1"/>
  <c r="L2327" i="1" s="1"/>
  <c r="M2326" i="1"/>
  <c r="J2326" i="1"/>
  <c r="K2326" i="1" s="1"/>
  <c r="I2326" i="1"/>
  <c r="L2326" i="1" s="1"/>
  <c r="M2325" i="1"/>
  <c r="L2325" i="1"/>
  <c r="J2325" i="1"/>
  <c r="K2325" i="1" s="1"/>
  <c r="I2325" i="1"/>
  <c r="M2324" i="1"/>
  <c r="L2324" i="1"/>
  <c r="K2324" i="1"/>
  <c r="J2324" i="1"/>
  <c r="I2324" i="1"/>
  <c r="M2323" i="1"/>
  <c r="L2323" i="1"/>
  <c r="J2323" i="1"/>
  <c r="K2323" i="1" s="1"/>
  <c r="I2323" i="1"/>
  <c r="M2322" i="1"/>
  <c r="K2322" i="1"/>
  <c r="J2322" i="1"/>
  <c r="I2322" i="1"/>
  <c r="L2322" i="1" s="1"/>
  <c r="M2321" i="1"/>
  <c r="L2321" i="1"/>
  <c r="K2321" i="1"/>
  <c r="J2321" i="1"/>
  <c r="I2321" i="1"/>
  <c r="M2320" i="1"/>
  <c r="K2320" i="1"/>
  <c r="J2320" i="1"/>
  <c r="I2320" i="1"/>
  <c r="L2320" i="1" s="1"/>
  <c r="M2319" i="1"/>
  <c r="J2319" i="1"/>
  <c r="K2319" i="1" s="1"/>
  <c r="I2319" i="1"/>
  <c r="L2319" i="1" s="1"/>
  <c r="M2318" i="1"/>
  <c r="J2318" i="1"/>
  <c r="K2318" i="1" s="1"/>
  <c r="I2318" i="1"/>
  <c r="L2318" i="1" s="1"/>
  <c r="M2317" i="1"/>
  <c r="L2317" i="1"/>
  <c r="J2317" i="1"/>
  <c r="K2317" i="1" s="1"/>
  <c r="I2317" i="1"/>
  <c r="M2316" i="1"/>
  <c r="L2316" i="1"/>
  <c r="K2316" i="1"/>
  <c r="J2316" i="1"/>
  <c r="I2316" i="1"/>
  <c r="M2315" i="1"/>
  <c r="L2315" i="1"/>
  <c r="J2315" i="1"/>
  <c r="K2315" i="1" s="1"/>
  <c r="I2315" i="1"/>
  <c r="M2314" i="1"/>
  <c r="K2314" i="1"/>
  <c r="J2314" i="1"/>
  <c r="I2314" i="1"/>
  <c r="L2314" i="1" s="1"/>
  <c r="M2313" i="1"/>
  <c r="L2313" i="1"/>
  <c r="K2313" i="1"/>
  <c r="J2313" i="1"/>
  <c r="I2313" i="1"/>
  <c r="M2312" i="1"/>
  <c r="K2312" i="1"/>
  <c r="J2312" i="1"/>
  <c r="I2312" i="1"/>
  <c r="L2312" i="1" s="1"/>
  <c r="M2311" i="1"/>
  <c r="J2311" i="1"/>
  <c r="K2311" i="1" s="1"/>
  <c r="I2311" i="1"/>
  <c r="L2311" i="1" s="1"/>
  <c r="M2310" i="1"/>
  <c r="J2310" i="1"/>
  <c r="K2310" i="1" s="1"/>
  <c r="I2310" i="1"/>
  <c r="L2310" i="1" s="1"/>
  <c r="M2309" i="1"/>
  <c r="L2309" i="1"/>
  <c r="J2309" i="1"/>
  <c r="K2309" i="1" s="1"/>
  <c r="I2309" i="1"/>
  <c r="M2308" i="1"/>
  <c r="L2308" i="1"/>
  <c r="K2308" i="1"/>
  <c r="J2308" i="1"/>
  <c r="I2308" i="1"/>
  <c r="M2307" i="1"/>
  <c r="L2307" i="1"/>
  <c r="J2307" i="1"/>
  <c r="K2307" i="1" s="1"/>
  <c r="I2307" i="1"/>
  <c r="M2306" i="1"/>
  <c r="K2306" i="1"/>
  <c r="J2306" i="1"/>
  <c r="I2306" i="1"/>
  <c r="L2306" i="1" s="1"/>
  <c r="M2305" i="1"/>
  <c r="L2305" i="1"/>
  <c r="K2305" i="1"/>
  <c r="J2305" i="1"/>
  <c r="I2305" i="1"/>
  <c r="M2304" i="1"/>
  <c r="K2304" i="1"/>
  <c r="J2304" i="1"/>
  <c r="I2304" i="1"/>
  <c r="L2304" i="1" s="1"/>
  <c r="M2303" i="1"/>
  <c r="J2303" i="1"/>
  <c r="K2303" i="1" s="1"/>
  <c r="I2303" i="1"/>
  <c r="L2303" i="1" s="1"/>
  <c r="M2302" i="1"/>
  <c r="J2302" i="1"/>
  <c r="K2302" i="1" s="1"/>
  <c r="I2302" i="1"/>
  <c r="L2302" i="1" s="1"/>
  <c r="M2301" i="1"/>
  <c r="L2301" i="1"/>
  <c r="J2301" i="1"/>
  <c r="K2301" i="1" s="1"/>
  <c r="I2301" i="1"/>
  <c r="M2300" i="1"/>
  <c r="L2300" i="1"/>
  <c r="K2300" i="1"/>
  <c r="J2300" i="1"/>
  <c r="I2300" i="1"/>
  <c r="M2299" i="1"/>
  <c r="L2299" i="1"/>
  <c r="J2299" i="1"/>
  <c r="K2299" i="1" s="1"/>
  <c r="I2299" i="1"/>
  <c r="M2298" i="1"/>
  <c r="K2298" i="1"/>
  <c r="J2298" i="1"/>
  <c r="I2298" i="1"/>
  <c r="L2298" i="1" s="1"/>
  <c r="M2297" i="1"/>
  <c r="L2297" i="1"/>
  <c r="K2297" i="1"/>
  <c r="J2297" i="1"/>
  <c r="I2297" i="1"/>
  <c r="M2296" i="1"/>
  <c r="K2296" i="1"/>
  <c r="J2296" i="1"/>
  <c r="I2296" i="1"/>
  <c r="L2296" i="1" s="1"/>
  <c r="M2295" i="1"/>
  <c r="J2295" i="1"/>
  <c r="K2295" i="1" s="1"/>
  <c r="I2295" i="1"/>
  <c r="L2295" i="1" s="1"/>
  <c r="M2294" i="1"/>
  <c r="J2294" i="1"/>
  <c r="K2294" i="1" s="1"/>
  <c r="I2294" i="1"/>
  <c r="L2294" i="1" s="1"/>
  <c r="M2293" i="1"/>
  <c r="L2293" i="1"/>
  <c r="J2293" i="1"/>
  <c r="K2293" i="1" s="1"/>
  <c r="I2293" i="1"/>
  <c r="M2292" i="1"/>
  <c r="L2292" i="1"/>
  <c r="K2292" i="1"/>
  <c r="J2292" i="1"/>
  <c r="I2292" i="1"/>
  <c r="M2291" i="1"/>
  <c r="L2291" i="1"/>
  <c r="J2291" i="1"/>
  <c r="K2291" i="1" s="1"/>
  <c r="I2291" i="1"/>
  <c r="M2290" i="1"/>
  <c r="K2290" i="1"/>
  <c r="J2290" i="1"/>
  <c r="I2290" i="1"/>
  <c r="L2290" i="1" s="1"/>
  <c r="M2289" i="1"/>
  <c r="L2289" i="1"/>
  <c r="K2289" i="1"/>
  <c r="J2289" i="1"/>
  <c r="I2289" i="1"/>
  <c r="M2288" i="1"/>
  <c r="K2288" i="1"/>
  <c r="J2288" i="1"/>
  <c r="I2288" i="1"/>
  <c r="L2288" i="1" s="1"/>
  <c r="M2287" i="1"/>
  <c r="J2287" i="1"/>
  <c r="K2287" i="1" s="1"/>
  <c r="I2287" i="1"/>
  <c r="L2287" i="1" s="1"/>
  <c r="M2286" i="1"/>
  <c r="J2286" i="1"/>
  <c r="K2286" i="1" s="1"/>
  <c r="I2286" i="1"/>
  <c r="L2286" i="1" s="1"/>
  <c r="M2285" i="1"/>
  <c r="L2285" i="1"/>
  <c r="J2285" i="1"/>
  <c r="K2285" i="1" s="1"/>
  <c r="I2285" i="1"/>
  <c r="M2284" i="1"/>
  <c r="L2284" i="1"/>
  <c r="K2284" i="1"/>
  <c r="J2284" i="1"/>
  <c r="I2284" i="1"/>
  <c r="M2283" i="1"/>
  <c r="L2283" i="1"/>
  <c r="J2283" i="1"/>
  <c r="K2283" i="1" s="1"/>
  <c r="I2283" i="1"/>
  <c r="M2282" i="1"/>
  <c r="K2282" i="1"/>
  <c r="J2282" i="1"/>
  <c r="I2282" i="1"/>
  <c r="L2282" i="1" s="1"/>
  <c r="M2281" i="1"/>
  <c r="L2281" i="1"/>
  <c r="K2281" i="1"/>
  <c r="J2281" i="1"/>
  <c r="I2281" i="1"/>
  <c r="M2280" i="1"/>
  <c r="K2280" i="1"/>
  <c r="J2280" i="1"/>
  <c r="I2280" i="1"/>
  <c r="L2280" i="1" s="1"/>
  <c r="M2279" i="1"/>
  <c r="J2279" i="1"/>
  <c r="K2279" i="1" s="1"/>
  <c r="I2279" i="1"/>
  <c r="L2279" i="1" s="1"/>
  <c r="M2278" i="1"/>
  <c r="J2278" i="1"/>
  <c r="K2278" i="1" s="1"/>
  <c r="I2278" i="1"/>
  <c r="L2278" i="1" s="1"/>
  <c r="M2277" i="1"/>
  <c r="L2277" i="1"/>
  <c r="J2277" i="1"/>
  <c r="K2277" i="1" s="1"/>
  <c r="I2277" i="1"/>
  <c r="M2276" i="1"/>
  <c r="L2276" i="1"/>
  <c r="K2276" i="1"/>
  <c r="J2276" i="1"/>
  <c r="I2276" i="1"/>
  <c r="M2275" i="1"/>
  <c r="L2275" i="1"/>
  <c r="J2275" i="1"/>
  <c r="K2275" i="1" s="1"/>
  <c r="I2275" i="1"/>
  <c r="M2274" i="1"/>
  <c r="K2274" i="1"/>
  <c r="J2274" i="1"/>
  <c r="I2274" i="1"/>
  <c r="L2274" i="1" s="1"/>
  <c r="M2273" i="1"/>
  <c r="L2273" i="1"/>
  <c r="K2273" i="1"/>
  <c r="J2273" i="1"/>
  <c r="I2273" i="1"/>
  <c r="M2272" i="1"/>
  <c r="K2272" i="1"/>
  <c r="J2272" i="1"/>
  <c r="I2272" i="1"/>
  <c r="L2272" i="1" s="1"/>
  <c r="M2271" i="1"/>
  <c r="J2271" i="1"/>
  <c r="K2271" i="1" s="1"/>
  <c r="I2271" i="1"/>
  <c r="L2271" i="1" s="1"/>
  <c r="M2270" i="1"/>
  <c r="J2270" i="1"/>
  <c r="K2270" i="1" s="1"/>
  <c r="I2270" i="1"/>
  <c r="L2270" i="1" s="1"/>
  <c r="M2269" i="1"/>
  <c r="L2269" i="1"/>
  <c r="J2269" i="1"/>
  <c r="K2269" i="1" s="1"/>
  <c r="I2269" i="1"/>
  <c r="M2268" i="1"/>
  <c r="L2268" i="1"/>
  <c r="K2268" i="1"/>
  <c r="J2268" i="1"/>
  <c r="I2268" i="1"/>
  <c r="M2267" i="1"/>
  <c r="L2267" i="1"/>
  <c r="J2267" i="1"/>
  <c r="K2267" i="1" s="1"/>
  <c r="I2267" i="1"/>
  <c r="M2266" i="1"/>
  <c r="K2266" i="1"/>
  <c r="J2266" i="1"/>
  <c r="I2266" i="1"/>
  <c r="L2266" i="1" s="1"/>
  <c r="M2265" i="1"/>
  <c r="L2265" i="1"/>
  <c r="K2265" i="1"/>
  <c r="J2265" i="1"/>
  <c r="I2265" i="1"/>
  <c r="M2264" i="1"/>
  <c r="K2264" i="1"/>
  <c r="J2264" i="1"/>
  <c r="I2264" i="1"/>
  <c r="L2264" i="1" s="1"/>
  <c r="M2263" i="1"/>
  <c r="J2263" i="1"/>
  <c r="K2263" i="1" s="1"/>
  <c r="I2263" i="1"/>
  <c r="L2263" i="1" s="1"/>
  <c r="M2262" i="1"/>
  <c r="J2262" i="1"/>
  <c r="K2262" i="1" s="1"/>
  <c r="I2262" i="1"/>
  <c r="L2262" i="1" s="1"/>
  <c r="M2261" i="1"/>
  <c r="L2261" i="1"/>
  <c r="J2261" i="1"/>
  <c r="K2261" i="1" s="1"/>
  <c r="I2261" i="1"/>
  <c r="M2260" i="1"/>
  <c r="L2260" i="1"/>
  <c r="K2260" i="1"/>
  <c r="J2260" i="1"/>
  <c r="I2260" i="1"/>
  <c r="M2259" i="1"/>
  <c r="L2259" i="1"/>
  <c r="K2259" i="1"/>
  <c r="J2259" i="1"/>
  <c r="I2259" i="1"/>
  <c r="M2258" i="1"/>
  <c r="J2258" i="1"/>
  <c r="K2258" i="1" s="1"/>
  <c r="I2258" i="1"/>
  <c r="L2258" i="1" s="1"/>
  <c r="M2257" i="1"/>
  <c r="J2257" i="1"/>
  <c r="K2257" i="1" s="1"/>
  <c r="I2257" i="1"/>
  <c r="L2257" i="1" s="1"/>
  <c r="M2256" i="1"/>
  <c r="L2256" i="1"/>
  <c r="K2256" i="1"/>
  <c r="J2256" i="1"/>
  <c r="I2256" i="1"/>
  <c r="M2255" i="1"/>
  <c r="L2255" i="1"/>
  <c r="K2255" i="1"/>
  <c r="J2255" i="1"/>
  <c r="I2255" i="1"/>
  <c r="M2254" i="1"/>
  <c r="J2254" i="1"/>
  <c r="K2254" i="1" s="1"/>
  <c r="I2254" i="1"/>
  <c r="L2254" i="1" s="1"/>
  <c r="M2253" i="1"/>
  <c r="J2253" i="1"/>
  <c r="K2253" i="1" s="1"/>
  <c r="I2253" i="1"/>
  <c r="L2253" i="1" s="1"/>
  <c r="M2252" i="1"/>
  <c r="L2252" i="1"/>
  <c r="K2252" i="1"/>
  <c r="J2252" i="1"/>
  <c r="I2252" i="1"/>
  <c r="M2251" i="1"/>
  <c r="L2251" i="1"/>
  <c r="K2251" i="1"/>
  <c r="J2251" i="1"/>
  <c r="I2251" i="1"/>
  <c r="M2250" i="1"/>
  <c r="J2250" i="1"/>
  <c r="K2250" i="1" s="1"/>
  <c r="I2250" i="1"/>
  <c r="L2250" i="1" s="1"/>
  <c r="M2249" i="1"/>
  <c r="J2249" i="1"/>
  <c r="K2249" i="1" s="1"/>
  <c r="I2249" i="1"/>
  <c r="L2249" i="1" s="1"/>
  <c r="M2248" i="1"/>
  <c r="L2248" i="1"/>
  <c r="K2248" i="1"/>
  <c r="J2248" i="1"/>
  <c r="I2248" i="1"/>
  <c r="M2247" i="1"/>
  <c r="L2247" i="1"/>
  <c r="K2247" i="1"/>
  <c r="J2247" i="1"/>
  <c r="I2247" i="1"/>
  <c r="M2246" i="1"/>
  <c r="J2246" i="1"/>
  <c r="K2246" i="1" s="1"/>
  <c r="I2246" i="1"/>
  <c r="L2246" i="1" s="1"/>
  <c r="M2245" i="1"/>
  <c r="J2245" i="1"/>
  <c r="K2245" i="1" s="1"/>
  <c r="I2245" i="1"/>
  <c r="L2245" i="1" s="1"/>
  <c r="M2244" i="1"/>
  <c r="L2244" i="1"/>
  <c r="K2244" i="1"/>
  <c r="J2244" i="1"/>
  <c r="I2244" i="1"/>
  <c r="M2243" i="1"/>
  <c r="L2243" i="1"/>
  <c r="K2243" i="1"/>
  <c r="J2243" i="1"/>
  <c r="I2243" i="1"/>
  <c r="M2242" i="1"/>
  <c r="J2242" i="1"/>
  <c r="K2242" i="1" s="1"/>
  <c r="I2242" i="1"/>
  <c r="L2242" i="1" s="1"/>
  <c r="M2241" i="1"/>
  <c r="J2241" i="1"/>
  <c r="K2241" i="1" s="1"/>
  <c r="I2241" i="1"/>
  <c r="L2241" i="1" s="1"/>
  <c r="M2240" i="1"/>
  <c r="L2240" i="1"/>
  <c r="K2240" i="1"/>
  <c r="J2240" i="1"/>
  <c r="I2240" i="1"/>
  <c r="M2239" i="1"/>
  <c r="L2239" i="1"/>
  <c r="K2239" i="1"/>
  <c r="J2239" i="1"/>
  <c r="I2239" i="1"/>
  <c r="M2238" i="1"/>
  <c r="J2238" i="1"/>
  <c r="K2238" i="1" s="1"/>
  <c r="I2238" i="1"/>
  <c r="L2238" i="1" s="1"/>
  <c r="M2237" i="1"/>
  <c r="J2237" i="1"/>
  <c r="K2237" i="1" s="1"/>
  <c r="I2237" i="1"/>
  <c r="L2237" i="1" s="1"/>
  <c r="M2236" i="1"/>
  <c r="L2236" i="1"/>
  <c r="K2236" i="1"/>
  <c r="J2236" i="1"/>
  <c r="I2236" i="1"/>
  <c r="M2235" i="1"/>
  <c r="L2235" i="1"/>
  <c r="K2235" i="1"/>
  <c r="J2235" i="1"/>
  <c r="I2235" i="1"/>
  <c r="M2234" i="1"/>
  <c r="J2234" i="1"/>
  <c r="K2234" i="1" s="1"/>
  <c r="I2234" i="1"/>
  <c r="L2234" i="1" s="1"/>
  <c r="M2233" i="1"/>
  <c r="J2233" i="1"/>
  <c r="K2233" i="1" s="1"/>
  <c r="I2233" i="1"/>
  <c r="L2233" i="1" s="1"/>
  <c r="M2232" i="1"/>
  <c r="L2232" i="1"/>
  <c r="K2232" i="1"/>
  <c r="J2232" i="1"/>
  <c r="I2232" i="1"/>
  <c r="M2231" i="1"/>
  <c r="L2231" i="1"/>
  <c r="K2231" i="1"/>
  <c r="J2231" i="1"/>
  <c r="I2231" i="1"/>
  <c r="M2230" i="1"/>
  <c r="J2230" i="1"/>
  <c r="K2230" i="1" s="1"/>
  <c r="I2230" i="1"/>
  <c r="L2230" i="1" s="1"/>
  <c r="M2229" i="1"/>
  <c r="J2229" i="1"/>
  <c r="K2229" i="1" s="1"/>
  <c r="I2229" i="1"/>
  <c r="L2229" i="1" s="1"/>
  <c r="M2228" i="1"/>
  <c r="L2228" i="1"/>
  <c r="K2228" i="1"/>
  <c r="J2228" i="1"/>
  <c r="I2228" i="1"/>
  <c r="M2227" i="1"/>
  <c r="L2227" i="1"/>
  <c r="K2227" i="1"/>
  <c r="J2227" i="1"/>
  <c r="I2227" i="1"/>
  <c r="M2226" i="1"/>
  <c r="J2226" i="1"/>
  <c r="K2226" i="1" s="1"/>
  <c r="I2226" i="1"/>
  <c r="L2226" i="1" s="1"/>
  <c r="M2225" i="1"/>
  <c r="J2225" i="1"/>
  <c r="K2225" i="1" s="1"/>
  <c r="I2225" i="1"/>
  <c r="L2225" i="1" s="1"/>
  <c r="M2224" i="1"/>
  <c r="L2224" i="1"/>
  <c r="K2224" i="1"/>
  <c r="J2224" i="1"/>
  <c r="I2224" i="1"/>
  <c r="M2223" i="1"/>
  <c r="L2223" i="1"/>
  <c r="K2223" i="1"/>
  <c r="J2223" i="1"/>
  <c r="I2223" i="1"/>
  <c r="M2222" i="1"/>
  <c r="J2222" i="1"/>
  <c r="K2222" i="1" s="1"/>
  <c r="I2222" i="1"/>
  <c r="L2222" i="1" s="1"/>
  <c r="M2221" i="1"/>
  <c r="J2221" i="1"/>
  <c r="K2221" i="1" s="1"/>
  <c r="I2221" i="1"/>
  <c r="L2221" i="1" s="1"/>
  <c r="M2220" i="1"/>
  <c r="L2220" i="1"/>
  <c r="K2220" i="1"/>
  <c r="J2220" i="1"/>
  <c r="I2220" i="1"/>
  <c r="M2219" i="1"/>
  <c r="L2219" i="1"/>
  <c r="K2219" i="1"/>
  <c r="J2219" i="1"/>
  <c r="I2219" i="1"/>
  <c r="M2218" i="1"/>
  <c r="J2218" i="1"/>
  <c r="K2218" i="1" s="1"/>
  <c r="I2218" i="1"/>
  <c r="L2218" i="1" s="1"/>
  <c r="M2217" i="1"/>
  <c r="J2217" i="1"/>
  <c r="K2217" i="1" s="1"/>
  <c r="I2217" i="1"/>
  <c r="L2217" i="1" s="1"/>
  <c r="M2216" i="1"/>
  <c r="L2216" i="1"/>
  <c r="K2216" i="1"/>
  <c r="J2216" i="1"/>
  <c r="I2216" i="1"/>
  <c r="M2215" i="1"/>
  <c r="L2215" i="1"/>
  <c r="K2215" i="1"/>
  <c r="J2215" i="1"/>
  <c r="I2215" i="1"/>
  <c r="M2214" i="1"/>
  <c r="J2214" i="1"/>
  <c r="K2214" i="1" s="1"/>
  <c r="I2214" i="1"/>
  <c r="L2214" i="1" s="1"/>
  <c r="M2213" i="1"/>
  <c r="J2213" i="1"/>
  <c r="K2213" i="1" s="1"/>
  <c r="I2213" i="1"/>
  <c r="L2213" i="1" s="1"/>
  <c r="M2212" i="1"/>
  <c r="L2212" i="1"/>
  <c r="K2212" i="1"/>
  <c r="J2212" i="1"/>
  <c r="I2212" i="1"/>
  <c r="M2211" i="1"/>
  <c r="L2211" i="1"/>
  <c r="K2211" i="1"/>
  <c r="J2211" i="1"/>
  <c r="I2211" i="1"/>
  <c r="M2210" i="1"/>
  <c r="J2210" i="1"/>
  <c r="K2210" i="1" s="1"/>
  <c r="I2210" i="1"/>
  <c r="L2210" i="1" s="1"/>
  <c r="M2209" i="1"/>
  <c r="J2209" i="1"/>
  <c r="K2209" i="1" s="1"/>
  <c r="I2209" i="1"/>
  <c r="L2209" i="1" s="1"/>
  <c r="M2208" i="1"/>
  <c r="L2208" i="1"/>
  <c r="K2208" i="1"/>
  <c r="J2208" i="1"/>
  <c r="I2208" i="1"/>
  <c r="M2207" i="1"/>
  <c r="L2207" i="1"/>
  <c r="K2207" i="1"/>
  <c r="J2207" i="1"/>
  <c r="I2207" i="1"/>
  <c r="M2206" i="1"/>
  <c r="J2206" i="1"/>
  <c r="K2206" i="1" s="1"/>
  <c r="I2206" i="1"/>
  <c r="L2206" i="1" s="1"/>
  <c r="M2205" i="1"/>
  <c r="J2205" i="1"/>
  <c r="K2205" i="1" s="1"/>
  <c r="I2205" i="1"/>
  <c r="L2205" i="1" s="1"/>
  <c r="M2204" i="1"/>
  <c r="L2204" i="1"/>
  <c r="K2204" i="1"/>
  <c r="J2204" i="1"/>
  <c r="I2204" i="1"/>
  <c r="M2203" i="1"/>
  <c r="L2203" i="1"/>
  <c r="K2203" i="1"/>
  <c r="J2203" i="1"/>
  <c r="I2203" i="1"/>
  <c r="M2202" i="1"/>
  <c r="J2202" i="1"/>
  <c r="K2202" i="1" s="1"/>
  <c r="I2202" i="1"/>
  <c r="L2202" i="1" s="1"/>
  <c r="M2201" i="1"/>
  <c r="J2201" i="1"/>
  <c r="K2201" i="1" s="1"/>
  <c r="I2201" i="1"/>
  <c r="L2201" i="1" s="1"/>
  <c r="M2200" i="1"/>
  <c r="L2200" i="1"/>
  <c r="K2200" i="1"/>
  <c r="J2200" i="1"/>
  <c r="I2200" i="1"/>
  <c r="M2199" i="1"/>
  <c r="L2199" i="1"/>
  <c r="K2199" i="1"/>
  <c r="J2199" i="1"/>
  <c r="I2199" i="1"/>
  <c r="M2198" i="1"/>
  <c r="J2198" i="1"/>
  <c r="K2198" i="1" s="1"/>
  <c r="I2198" i="1"/>
  <c r="L2198" i="1" s="1"/>
  <c r="M2197" i="1"/>
  <c r="J2197" i="1"/>
  <c r="K2197" i="1" s="1"/>
  <c r="I2197" i="1"/>
  <c r="L2197" i="1" s="1"/>
  <c r="M2196" i="1"/>
  <c r="L2196" i="1"/>
  <c r="K2196" i="1"/>
  <c r="J2196" i="1"/>
  <c r="I2196" i="1"/>
  <c r="M2195" i="1"/>
  <c r="L2195" i="1"/>
  <c r="K2195" i="1"/>
  <c r="J2195" i="1"/>
  <c r="I2195" i="1"/>
  <c r="M2194" i="1"/>
  <c r="J2194" i="1"/>
  <c r="K2194" i="1" s="1"/>
  <c r="I2194" i="1"/>
  <c r="L2194" i="1" s="1"/>
  <c r="M2193" i="1"/>
  <c r="J2193" i="1"/>
  <c r="K2193" i="1" s="1"/>
  <c r="I2193" i="1"/>
  <c r="L2193" i="1" s="1"/>
  <c r="M2192" i="1"/>
  <c r="L2192" i="1"/>
  <c r="K2192" i="1"/>
  <c r="J2192" i="1"/>
  <c r="I2192" i="1"/>
  <c r="M2191" i="1"/>
  <c r="L2191" i="1"/>
  <c r="K2191" i="1"/>
  <c r="J2191" i="1"/>
  <c r="I2191" i="1"/>
  <c r="M2190" i="1"/>
  <c r="J2190" i="1"/>
  <c r="K2190" i="1" s="1"/>
  <c r="I2190" i="1"/>
  <c r="L2190" i="1" s="1"/>
  <c r="M2189" i="1"/>
  <c r="J2189" i="1"/>
  <c r="K2189" i="1" s="1"/>
  <c r="I2189" i="1"/>
  <c r="L2189" i="1" s="1"/>
  <c r="M2188" i="1"/>
  <c r="L2188" i="1"/>
  <c r="K2188" i="1"/>
  <c r="J2188" i="1"/>
  <c r="I2188" i="1"/>
  <c r="M2187" i="1"/>
  <c r="L2187" i="1"/>
  <c r="K2187" i="1"/>
  <c r="J2187" i="1"/>
  <c r="I2187" i="1"/>
  <c r="M2186" i="1"/>
  <c r="J2186" i="1"/>
  <c r="K2186" i="1" s="1"/>
  <c r="I2186" i="1"/>
  <c r="L2186" i="1" s="1"/>
  <c r="M2185" i="1"/>
  <c r="J2185" i="1"/>
  <c r="K2185" i="1" s="1"/>
  <c r="I2185" i="1"/>
  <c r="L2185" i="1" s="1"/>
  <c r="M2184" i="1"/>
  <c r="L2184" i="1"/>
  <c r="K2184" i="1"/>
  <c r="J2184" i="1"/>
  <c r="I2184" i="1"/>
  <c r="M2183" i="1"/>
  <c r="L2183" i="1"/>
  <c r="K2183" i="1"/>
  <c r="J2183" i="1"/>
  <c r="I2183" i="1"/>
  <c r="M2182" i="1"/>
  <c r="J2182" i="1"/>
  <c r="K2182" i="1" s="1"/>
  <c r="I2182" i="1"/>
  <c r="L2182" i="1" s="1"/>
  <c r="M2181" i="1"/>
  <c r="J2181" i="1"/>
  <c r="K2181" i="1" s="1"/>
  <c r="I2181" i="1"/>
  <c r="L2181" i="1" s="1"/>
  <c r="M2180" i="1"/>
  <c r="L2180" i="1"/>
  <c r="K2180" i="1"/>
  <c r="J2180" i="1"/>
  <c r="I2180" i="1"/>
  <c r="M2179" i="1"/>
  <c r="L2179" i="1"/>
  <c r="K2179" i="1"/>
  <c r="J2179" i="1"/>
  <c r="I2179" i="1"/>
  <c r="M2178" i="1"/>
  <c r="J2178" i="1"/>
  <c r="K2178" i="1" s="1"/>
  <c r="I2178" i="1"/>
  <c r="L2178" i="1" s="1"/>
  <c r="M2177" i="1"/>
  <c r="J2177" i="1"/>
  <c r="K2177" i="1" s="1"/>
  <c r="I2177" i="1"/>
  <c r="L2177" i="1" s="1"/>
  <c r="M2176" i="1"/>
  <c r="L2176" i="1"/>
  <c r="K2176" i="1"/>
  <c r="J2176" i="1"/>
  <c r="I2176" i="1"/>
  <c r="M2175" i="1"/>
  <c r="L2175" i="1"/>
  <c r="K2175" i="1"/>
  <c r="J2175" i="1"/>
  <c r="I2175" i="1"/>
  <c r="M2174" i="1"/>
  <c r="J2174" i="1"/>
  <c r="K2174" i="1" s="1"/>
  <c r="I2174" i="1"/>
  <c r="L2174" i="1" s="1"/>
  <c r="M2173" i="1"/>
  <c r="J2173" i="1"/>
  <c r="K2173" i="1" s="1"/>
  <c r="I2173" i="1"/>
  <c r="L2173" i="1" s="1"/>
  <c r="M2172" i="1"/>
  <c r="L2172" i="1"/>
  <c r="K2172" i="1"/>
  <c r="J2172" i="1"/>
  <c r="I2172" i="1"/>
  <c r="M2171" i="1"/>
  <c r="L2171" i="1"/>
  <c r="K2171" i="1"/>
  <c r="J2171" i="1"/>
  <c r="I2171" i="1"/>
  <c r="M2170" i="1"/>
  <c r="J2170" i="1"/>
  <c r="K2170" i="1" s="1"/>
  <c r="I2170" i="1"/>
  <c r="L2170" i="1" s="1"/>
  <c r="M2169" i="1"/>
  <c r="J2169" i="1"/>
  <c r="K2169" i="1" s="1"/>
  <c r="I2169" i="1"/>
  <c r="L2169" i="1" s="1"/>
  <c r="M2168" i="1"/>
  <c r="L2168" i="1"/>
  <c r="K2168" i="1"/>
  <c r="J2168" i="1"/>
  <c r="I2168" i="1"/>
  <c r="M2167" i="1"/>
  <c r="L2167" i="1"/>
  <c r="K2167" i="1"/>
  <c r="J2167" i="1"/>
  <c r="I2167" i="1"/>
  <c r="M2166" i="1"/>
  <c r="J2166" i="1"/>
  <c r="K2166" i="1" s="1"/>
  <c r="I2166" i="1"/>
  <c r="L2166" i="1" s="1"/>
  <c r="M2165" i="1"/>
  <c r="J2165" i="1"/>
  <c r="K2165" i="1" s="1"/>
  <c r="I2165" i="1"/>
  <c r="L2165" i="1" s="1"/>
  <c r="M2164" i="1"/>
  <c r="L2164" i="1"/>
  <c r="K2164" i="1"/>
  <c r="J2164" i="1"/>
  <c r="I2164" i="1"/>
  <c r="M2163" i="1"/>
  <c r="L2163" i="1"/>
  <c r="K2163" i="1"/>
  <c r="J2163" i="1"/>
  <c r="I2163" i="1"/>
  <c r="M2162" i="1"/>
  <c r="J2162" i="1"/>
  <c r="K2162" i="1" s="1"/>
  <c r="I2162" i="1"/>
  <c r="L2162" i="1" s="1"/>
  <c r="M2161" i="1"/>
  <c r="J2161" i="1"/>
  <c r="K2161" i="1" s="1"/>
  <c r="I2161" i="1"/>
  <c r="L2161" i="1" s="1"/>
  <c r="M2160" i="1"/>
  <c r="L2160" i="1"/>
  <c r="K2160" i="1"/>
  <c r="J2160" i="1"/>
  <c r="I2160" i="1"/>
  <c r="M2159" i="1"/>
  <c r="L2159" i="1"/>
  <c r="K2159" i="1"/>
  <c r="J2159" i="1"/>
  <c r="I2159" i="1"/>
  <c r="M2158" i="1"/>
  <c r="J2158" i="1"/>
  <c r="K2158" i="1" s="1"/>
  <c r="I2158" i="1"/>
  <c r="L2158" i="1" s="1"/>
  <c r="M2157" i="1"/>
  <c r="J2157" i="1"/>
  <c r="K2157" i="1" s="1"/>
  <c r="I2157" i="1"/>
  <c r="L2157" i="1" s="1"/>
  <c r="M2156" i="1"/>
  <c r="L2156" i="1"/>
  <c r="K2156" i="1"/>
  <c r="J2156" i="1"/>
  <c r="I2156" i="1"/>
  <c r="M2155" i="1"/>
  <c r="L2155" i="1"/>
  <c r="K2155" i="1"/>
  <c r="J2155" i="1"/>
  <c r="I2155" i="1"/>
  <c r="M2154" i="1"/>
  <c r="J2154" i="1"/>
  <c r="K2154" i="1" s="1"/>
  <c r="I2154" i="1"/>
  <c r="L2154" i="1" s="1"/>
  <c r="M2153" i="1"/>
  <c r="J2153" i="1"/>
  <c r="K2153" i="1" s="1"/>
  <c r="I2153" i="1"/>
  <c r="L2153" i="1" s="1"/>
  <c r="M2152" i="1"/>
  <c r="L2152" i="1"/>
  <c r="K2152" i="1"/>
  <c r="J2152" i="1"/>
  <c r="I2152" i="1"/>
  <c r="M2151" i="1"/>
  <c r="L2151" i="1"/>
  <c r="K2151" i="1"/>
  <c r="J2151" i="1"/>
  <c r="I2151" i="1"/>
  <c r="M2150" i="1"/>
  <c r="J2150" i="1"/>
  <c r="K2150" i="1" s="1"/>
  <c r="I2150" i="1"/>
  <c r="L2150" i="1" s="1"/>
  <c r="M2149" i="1"/>
  <c r="J2149" i="1"/>
  <c r="K2149" i="1" s="1"/>
  <c r="I2149" i="1"/>
  <c r="L2149" i="1" s="1"/>
  <c r="M2148" i="1"/>
  <c r="L2148" i="1"/>
  <c r="K2148" i="1"/>
  <c r="J2148" i="1"/>
  <c r="I2148" i="1"/>
  <c r="M2147" i="1"/>
  <c r="L2147" i="1"/>
  <c r="K2147" i="1"/>
  <c r="J2147" i="1"/>
  <c r="I2147" i="1"/>
  <c r="M2146" i="1"/>
  <c r="J2146" i="1"/>
  <c r="K2146" i="1" s="1"/>
  <c r="I2146" i="1"/>
  <c r="L2146" i="1" s="1"/>
  <c r="M2145" i="1"/>
  <c r="J2145" i="1"/>
  <c r="K2145" i="1" s="1"/>
  <c r="I2145" i="1"/>
  <c r="L2145" i="1" s="1"/>
  <c r="M2144" i="1"/>
  <c r="L2144" i="1"/>
  <c r="K2144" i="1"/>
  <c r="J2144" i="1"/>
  <c r="I2144" i="1"/>
  <c r="M2143" i="1"/>
  <c r="L2143" i="1"/>
  <c r="K2143" i="1"/>
  <c r="J2143" i="1"/>
  <c r="I2143" i="1"/>
  <c r="M2142" i="1"/>
  <c r="J2142" i="1"/>
  <c r="K2142" i="1" s="1"/>
  <c r="I2142" i="1"/>
  <c r="L2142" i="1" s="1"/>
  <c r="M2141" i="1"/>
  <c r="J2141" i="1"/>
  <c r="K2141" i="1" s="1"/>
  <c r="I2141" i="1"/>
  <c r="L2141" i="1" s="1"/>
  <c r="M2140" i="1"/>
  <c r="L2140" i="1"/>
  <c r="K2140" i="1"/>
  <c r="J2140" i="1"/>
  <c r="I2140" i="1"/>
  <c r="M2139" i="1"/>
  <c r="L2139" i="1"/>
  <c r="K2139" i="1"/>
  <c r="J2139" i="1"/>
  <c r="I2139" i="1"/>
  <c r="M2138" i="1"/>
  <c r="J2138" i="1"/>
  <c r="K2138" i="1" s="1"/>
  <c r="I2138" i="1"/>
  <c r="L2138" i="1" s="1"/>
  <c r="M2137" i="1"/>
  <c r="J2137" i="1"/>
  <c r="K2137" i="1" s="1"/>
  <c r="I2137" i="1"/>
  <c r="L2137" i="1" s="1"/>
  <c r="M2136" i="1"/>
  <c r="L2136" i="1"/>
  <c r="K2136" i="1"/>
  <c r="J2136" i="1"/>
  <c r="I2136" i="1"/>
  <c r="M2135" i="1"/>
  <c r="L2135" i="1"/>
  <c r="K2135" i="1"/>
  <c r="J2135" i="1"/>
  <c r="I2135" i="1"/>
  <c r="M2134" i="1"/>
  <c r="L2134" i="1"/>
  <c r="J2134" i="1"/>
  <c r="K2134" i="1" s="1"/>
  <c r="I2134" i="1"/>
  <c r="M2133" i="1"/>
  <c r="J2133" i="1"/>
  <c r="K2133" i="1" s="1"/>
  <c r="I2133" i="1"/>
  <c r="L2133" i="1" s="1"/>
  <c r="M2132" i="1"/>
  <c r="L2132" i="1"/>
  <c r="J2132" i="1"/>
  <c r="K2132" i="1" s="1"/>
  <c r="I2132" i="1"/>
  <c r="M2131" i="1"/>
  <c r="L2131" i="1"/>
  <c r="K2131" i="1"/>
  <c r="J2131" i="1"/>
  <c r="I2131" i="1"/>
  <c r="M2130" i="1"/>
  <c r="J2130" i="1"/>
  <c r="K2130" i="1" s="1"/>
  <c r="I2130" i="1"/>
  <c r="L2130" i="1" s="1"/>
  <c r="M2129" i="1"/>
  <c r="J2129" i="1"/>
  <c r="K2129" i="1" s="1"/>
  <c r="I2129" i="1"/>
  <c r="L2129" i="1" s="1"/>
  <c r="M2128" i="1"/>
  <c r="L2128" i="1"/>
  <c r="K2128" i="1"/>
  <c r="J2128" i="1"/>
  <c r="I2128" i="1"/>
  <c r="M2127" i="1"/>
  <c r="L2127" i="1"/>
  <c r="K2127" i="1"/>
  <c r="J2127" i="1"/>
  <c r="I2127" i="1"/>
  <c r="M2126" i="1"/>
  <c r="J2126" i="1"/>
  <c r="K2126" i="1" s="1"/>
  <c r="I2126" i="1"/>
  <c r="L2126" i="1" s="1"/>
  <c r="M2125" i="1"/>
  <c r="J2125" i="1"/>
  <c r="K2125" i="1" s="1"/>
  <c r="I2125" i="1"/>
  <c r="L2125" i="1" s="1"/>
  <c r="M2124" i="1"/>
  <c r="L2124" i="1"/>
  <c r="J2124" i="1"/>
  <c r="K2124" i="1" s="1"/>
  <c r="I2124" i="1"/>
  <c r="M2123" i="1"/>
  <c r="L2123" i="1"/>
  <c r="K2123" i="1"/>
  <c r="J2123" i="1"/>
  <c r="I2123" i="1"/>
  <c r="M2122" i="1"/>
  <c r="L2122" i="1"/>
  <c r="J2122" i="1"/>
  <c r="K2122" i="1" s="1"/>
  <c r="I2122" i="1"/>
  <c r="M2121" i="1"/>
  <c r="J2121" i="1"/>
  <c r="K2121" i="1" s="1"/>
  <c r="I2121" i="1"/>
  <c r="L2121" i="1" s="1"/>
  <c r="M2120" i="1"/>
  <c r="L2120" i="1"/>
  <c r="K2120" i="1"/>
  <c r="J2120" i="1"/>
  <c r="I2120" i="1"/>
  <c r="M2119" i="1"/>
  <c r="L2119" i="1"/>
  <c r="K2119" i="1"/>
  <c r="J2119" i="1"/>
  <c r="I2119" i="1"/>
  <c r="M2118" i="1"/>
  <c r="L2118" i="1"/>
  <c r="J2118" i="1"/>
  <c r="K2118" i="1" s="1"/>
  <c r="I2118" i="1"/>
  <c r="M2117" i="1"/>
  <c r="J2117" i="1"/>
  <c r="K2117" i="1" s="1"/>
  <c r="I2117" i="1"/>
  <c r="L2117" i="1" s="1"/>
  <c r="M2116" i="1"/>
  <c r="L2116" i="1"/>
  <c r="J2116" i="1"/>
  <c r="K2116" i="1" s="1"/>
  <c r="I2116" i="1"/>
  <c r="M2115" i="1"/>
  <c r="L2115" i="1"/>
  <c r="K2115" i="1"/>
  <c r="J2115" i="1"/>
  <c r="I2115" i="1"/>
  <c r="M2114" i="1"/>
  <c r="J2114" i="1"/>
  <c r="K2114" i="1" s="1"/>
  <c r="I2114" i="1"/>
  <c r="L2114" i="1" s="1"/>
  <c r="M2113" i="1"/>
  <c r="J2113" i="1"/>
  <c r="K2113" i="1" s="1"/>
  <c r="I2113" i="1"/>
  <c r="L2113" i="1" s="1"/>
  <c r="M2112" i="1"/>
  <c r="L2112" i="1"/>
  <c r="K2112" i="1"/>
  <c r="J2112" i="1"/>
  <c r="I2112" i="1"/>
  <c r="M2111" i="1"/>
  <c r="L2111" i="1"/>
  <c r="K2111" i="1"/>
  <c r="J2111" i="1"/>
  <c r="I2111" i="1"/>
  <c r="M2110" i="1"/>
  <c r="J2110" i="1"/>
  <c r="K2110" i="1" s="1"/>
  <c r="I2110" i="1"/>
  <c r="L2110" i="1" s="1"/>
  <c r="M2109" i="1"/>
  <c r="J2109" i="1"/>
  <c r="K2109" i="1" s="1"/>
  <c r="I2109" i="1"/>
  <c r="L2109" i="1" s="1"/>
  <c r="M2108" i="1"/>
  <c r="L2108" i="1"/>
  <c r="J2108" i="1"/>
  <c r="K2108" i="1" s="1"/>
  <c r="I2108" i="1"/>
  <c r="M2107" i="1"/>
  <c r="L2107" i="1"/>
  <c r="K2107" i="1"/>
  <c r="J2107" i="1"/>
  <c r="I2107" i="1"/>
  <c r="M2106" i="1"/>
  <c r="L2106" i="1"/>
  <c r="J2106" i="1"/>
  <c r="K2106" i="1" s="1"/>
  <c r="I2106" i="1"/>
  <c r="M2105" i="1"/>
  <c r="J2105" i="1"/>
  <c r="K2105" i="1" s="1"/>
  <c r="I2105" i="1"/>
  <c r="L2105" i="1" s="1"/>
  <c r="M2104" i="1"/>
  <c r="L2104" i="1"/>
  <c r="K2104" i="1"/>
  <c r="J2104" i="1"/>
  <c r="I2104" i="1"/>
  <c r="M2103" i="1"/>
  <c r="L2103" i="1"/>
  <c r="K2103" i="1"/>
  <c r="J2103" i="1"/>
  <c r="I2103" i="1"/>
  <c r="M2102" i="1"/>
  <c r="L2102" i="1"/>
  <c r="J2102" i="1"/>
  <c r="K2102" i="1" s="1"/>
  <c r="I2102" i="1"/>
  <c r="M2101" i="1"/>
  <c r="J2101" i="1"/>
  <c r="K2101" i="1" s="1"/>
  <c r="I2101" i="1"/>
  <c r="L2101" i="1" s="1"/>
  <c r="M2100" i="1"/>
  <c r="L2100" i="1"/>
  <c r="J2100" i="1"/>
  <c r="K2100" i="1" s="1"/>
  <c r="I2100" i="1"/>
  <c r="M2099" i="1"/>
  <c r="L2099" i="1"/>
  <c r="K2099" i="1"/>
  <c r="J2099" i="1"/>
  <c r="I2099" i="1"/>
  <c r="M2098" i="1"/>
  <c r="J2098" i="1"/>
  <c r="K2098" i="1" s="1"/>
  <c r="I2098" i="1"/>
  <c r="L2098" i="1" s="1"/>
  <c r="M2097" i="1"/>
  <c r="J2097" i="1"/>
  <c r="K2097" i="1" s="1"/>
  <c r="I2097" i="1"/>
  <c r="L2097" i="1" s="1"/>
  <c r="M2096" i="1"/>
  <c r="L2096" i="1"/>
  <c r="K2096" i="1"/>
  <c r="J2096" i="1"/>
  <c r="I2096" i="1"/>
  <c r="M2095" i="1"/>
  <c r="L2095" i="1"/>
  <c r="K2095" i="1"/>
  <c r="J2095" i="1"/>
  <c r="I2095" i="1"/>
  <c r="M2094" i="1"/>
  <c r="J2094" i="1"/>
  <c r="K2094" i="1" s="1"/>
  <c r="I2094" i="1"/>
  <c r="L2094" i="1" s="1"/>
  <c r="M2093" i="1"/>
  <c r="J2093" i="1"/>
  <c r="K2093" i="1" s="1"/>
  <c r="I2093" i="1"/>
  <c r="L2093" i="1" s="1"/>
  <c r="M2092" i="1"/>
  <c r="L2092" i="1"/>
  <c r="J2092" i="1"/>
  <c r="K2092" i="1" s="1"/>
  <c r="I2092" i="1"/>
  <c r="M2091" i="1"/>
  <c r="L2091" i="1"/>
  <c r="K2091" i="1"/>
  <c r="J2091" i="1"/>
  <c r="I2091" i="1"/>
  <c r="M2090" i="1"/>
  <c r="L2090" i="1"/>
  <c r="J2090" i="1"/>
  <c r="K2090" i="1" s="1"/>
  <c r="I2090" i="1"/>
  <c r="M2089" i="1"/>
  <c r="J2089" i="1"/>
  <c r="K2089" i="1" s="1"/>
  <c r="I2089" i="1"/>
  <c r="L2089" i="1" s="1"/>
  <c r="M2088" i="1"/>
  <c r="L2088" i="1"/>
  <c r="K2088" i="1"/>
  <c r="J2088" i="1"/>
  <c r="I2088" i="1"/>
  <c r="M2087" i="1"/>
  <c r="L2087" i="1"/>
  <c r="K2087" i="1"/>
  <c r="J2087" i="1"/>
  <c r="I2087" i="1"/>
  <c r="M2086" i="1"/>
  <c r="L2086" i="1"/>
  <c r="J2086" i="1"/>
  <c r="K2086" i="1" s="1"/>
  <c r="I2086" i="1"/>
  <c r="M2085" i="1"/>
  <c r="J2085" i="1"/>
  <c r="K2085" i="1" s="1"/>
  <c r="I2085" i="1"/>
  <c r="L2085" i="1" s="1"/>
  <c r="M2084" i="1"/>
  <c r="L2084" i="1"/>
  <c r="J2084" i="1"/>
  <c r="K2084" i="1" s="1"/>
  <c r="I2084" i="1"/>
  <c r="M2083" i="1"/>
  <c r="L2083" i="1"/>
  <c r="K2083" i="1"/>
  <c r="J2083" i="1"/>
  <c r="I2083" i="1"/>
  <c r="M2082" i="1"/>
  <c r="J2082" i="1"/>
  <c r="K2082" i="1" s="1"/>
  <c r="I2082" i="1"/>
  <c r="L2082" i="1" s="1"/>
  <c r="M2081" i="1"/>
  <c r="J2081" i="1"/>
  <c r="K2081" i="1" s="1"/>
  <c r="I2081" i="1"/>
  <c r="L2081" i="1" s="1"/>
  <c r="M2080" i="1"/>
  <c r="L2080" i="1"/>
  <c r="K2080" i="1"/>
  <c r="J2080" i="1"/>
  <c r="I2080" i="1"/>
  <c r="M2079" i="1"/>
  <c r="L2079" i="1"/>
  <c r="K2079" i="1"/>
  <c r="J2079" i="1"/>
  <c r="I2079" i="1"/>
  <c r="M2078" i="1"/>
  <c r="J2078" i="1"/>
  <c r="K2078" i="1" s="1"/>
  <c r="I2078" i="1"/>
  <c r="L2078" i="1" s="1"/>
  <c r="M2077" i="1"/>
  <c r="J2077" i="1"/>
  <c r="K2077" i="1" s="1"/>
  <c r="I2077" i="1"/>
  <c r="L2077" i="1" s="1"/>
  <c r="M2076" i="1"/>
  <c r="L2076" i="1"/>
  <c r="J2076" i="1"/>
  <c r="K2076" i="1" s="1"/>
  <c r="I2076" i="1"/>
  <c r="M2075" i="1"/>
  <c r="L2075" i="1"/>
  <c r="K2075" i="1"/>
  <c r="J2075" i="1"/>
  <c r="I2075" i="1"/>
  <c r="M2074" i="1"/>
  <c r="L2074" i="1"/>
  <c r="J2074" i="1"/>
  <c r="K2074" i="1" s="1"/>
  <c r="I2074" i="1"/>
  <c r="M2073" i="1"/>
  <c r="J2073" i="1"/>
  <c r="K2073" i="1" s="1"/>
  <c r="I2073" i="1"/>
  <c r="L2073" i="1" s="1"/>
  <c r="M2072" i="1"/>
  <c r="L2072" i="1"/>
  <c r="K2072" i="1"/>
  <c r="J2072" i="1"/>
  <c r="I2072" i="1"/>
  <c r="M2071" i="1"/>
  <c r="L2071" i="1"/>
  <c r="K2071" i="1"/>
  <c r="J2071" i="1"/>
  <c r="I2071" i="1"/>
  <c r="M2070" i="1"/>
  <c r="L2070" i="1"/>
  <c r="J2070" i="1"/>
  <c r="K2070" i="1" s="1"/>
  <c r="I2070" i="1"/>
  <c r="M2069" i="1"/>
  <c r="J2069" i="1"/>
  <c r="K2069" i="1" s="1"/>
  <c r="I2069" i="1"/>
  <c r="L2069" i="1" s="1"/>
  <c r="M2068" i="1"/>
  <c r="L2068" i="1"/>
  <c r="J2068" i="1"/>
  <c r="K2068" i="1" s="1"/>
  <c r="I2068" i="1"/>
  <c r="M2067" i="1"/>
  <c r="L2067" i="1"/>
  <c r="K2067" i="1"/>
  <c r="J2067" i="1"/>
  <c r="I2067" i="1"/>
  <c r="M2066" i="1"/>
  <c r="J2066" i="1"/>
  <c r="K2066" i="1" s="1"/>
  <c r="I2066" i="1"/>
  <c r="L2066" i="1" s="1"/>
  <c r="M2065" i="1"/>
  <c r="J2065" i="1"/>
  <c r="K2065" i="1" s="1"/>
  <c r="I2065" i="1"/>
  <c r="L2065" i="1" s="1"/>
  <c r="M2064" i="1"/>
  <c r="L2064" i="1"/>
  <c r="K2064" i="1"/>
  <c r="J2064" i="1"/>
  <c r="I2064" i="1"/>
  <c r="M2063" i="1"/>
  <c r="L2063" i="1"/>
  <c r="K2063" i="1"/>
  <c r="J2063" i="1"/>
  <c r="I2063" i="1"/>
  <c r="M2062" i="1"/>
  <c r="J2062" i="1"/>
  <c r="K2062" i="1" s="1"/>
  <c r="I2062" i="1"/>
  <c r="L2062" i="1" s="1"/>
  <c r="M2061" i="1"/>
  <c r="J2061" i="1"/>
  <c r="K2061" i="1" s="1"/>
  <c r="I2061" i="1"/>
  <c r="L2061" i="1" s="1"/>
  <c r="M2060" i="1"/>
  <c r="L2060" i="1"/>
  <c r="J2060" i="1"/>
  <c r="K2060" i="1" s="1"/>
  <c r="I2060" i="1"/>
  <c r="M2059" i="1"/>
  <c r="K2059" i="1"/>
  <c r="J2059" i="1"/>
  <c r="I2059" i="1"/>
  <c r="L2059" i="1" s="1"/>
  <c r="M2058" i="1"/>
  <c r="L2058" i="1"/>
  <c r="J2058" i="1"/>
  <c r="K2058" i="1" s="1"/>
  <c r="I2058" i="1"/>
  <c r="M2057" i="1"/>
  <c r="K2057" i="1"/>
  <c r="J2057" i="1"/>
  <c r="I2057" i="1"/>
  <c r="L2057" i="1" s="1"/>
  <c r="M2056" i="1"/>
  <c r="L2056" i="1"/>
  <c r="J2056" i="1"/>
  <c r="K2056" i="1" s="1"/>
  <c r="I2056" i="1"/>
  <c r="M2055" i="1"/>
  <c r="K2055" i="1"/>
  <c r="J2055" i="1"/>
  <c r="I2055" i="1"/>
  <c r="L2055" i="1" s="1"/>
  <c r="M2054" i="1"/>
  <c r="J2054" i="1"/>
  <c r="K2054" i="1" s="1"/>
  <c r="I2054" i="1"/>
  <c r="L2054" i="1" s="1"/>
  <c r="M2053" i="1"/>
  <c r="K2053" i="1"/>
  <c r="J2053" i="1"/>
  <c r="I2053" i="1"/>
  <c r="L2053" i="1" s="1"/>
  <c r="M2052" i="1"/>
  <c r="L2052" i="1"/>
  <c r="J2052" i="1"/>
  <c r="K2052" i="1" s="1"/>
  <c r="I2052" i="1"/>
  <c r="M2051" i="1"/>
  <c r="K2051" i="1"/>
  <c r="J2051" i="1"/>
  <c r="I2051" i="1"/>
  <c r="L2051" i="1" s="1"/>
  <c r="M2050" i="1"/>
  <c r="L2050" i="1"/>
  <c r="J2050" i="1"/>
  <c r="K2050" i="1" s="1"/>
  <c r="I2050" i="1"/>
  <c r="M2049" i="1"/>
  <c r="K2049" i="1"/>
  <c r="J2049" i="1"/>
  <c r="I2049" i="1"/>
  <c r="L2049" i="1" s="1"/>
  <c r="M2048" i="1"/>
  <c r="L2048" i="1"/>
  <c r="J2048" i="1"/>
  <c r="K2048" i="1" s="1"/>
  <c r="I2048" i="1"/>
  <c r="M2047" i="1"/>
  <c r="K2047" i="1"/>
  <c r="J2047" i="1"/>
  <c r="I2047" i="1"/>
  <c r="L2047" i="1" s="1"/>
  <c r="M2046" i="1"/>
  <c r="J2046" i="1"/>
  <c r="K2046" i="1" s="1"/>
  <c r="I2046" i="1"/>
  <c r="L2046" i="1" s="1"/>
  <c r="M2045" i="1"/>
  <c r="K2045" i="1"/>
  <c r="J2045" i="1"/>
  <c r="I2045" i="1"/>
  <c r="L2045" i="1" s="1"/>
  <c r="M2044" i="1"/>
  <c r="L2044" i="1"/>
  <c r="J2044" i="1"/>
  <c r="K2044" i="1" s="1"/>
  <c r="I2044" i="1"/>
  <c r="M2043" i="1"/>
  <c r="K2043" i="1"/>
  <c r="J2043" i="1"/>
  <c r="I2043" i="1"/>
  <c r="L2043" i="1" s="1"/>
  <c r="M2042" i="1"/>
  <c r="L2042" i="1"/>
  <c r="J2042" i="1"/>
  <c r="K2042" i="1" s="1"/>
  <c r="I2042" i="1"/>
  <c r="M2041" i="1"/>
  <c r="K2041" i="1"/>
  <c r="J2041" i="1"/>
  <c r="I2041" i="1"/>
  <c r="L2041" i="1" s="1"/>
  <c r="M2040" i="1"/>
  <c r="L2040" i="1"/>
  <c r="J2040" i="1"/>
  <c r="K2040" i="1" s="1"/>
  <c r="I2040" i="1"/>
  <c r="M2039" i="1"/>
  <c r="K2039" i="1"/>
  <c r="J2039" i="1"/>
  <c r="I2039" i="1"/>
  <c r="L2039" i="1" s="1"/>
  <c r="M2038" i="1"/>
  <c r="J2038" i="1"/>
  <c r="K2038" i="1" s="1"/>
  <c r="I2038" i="1"/>
  <c r="L2038" i="1" s="1"/>
  <c r="M2037" i="1"/>
  <c r="K2037" i="1"/>
  <c r="J2037" i="1"/>
  <c r="I2037" i="1"/>
  <c r="L2037" i="1" s="1"/>
  <c r="M2036" i="1"/>
  <c r="L2036" i="1"/>
  <c r="J2036" i="1"/>
  <c r="K2036" i="1" s="1"/>
  <c r="I2036" i="1"/>
  <c r="M2035" i="1"/>
  <c r="K2035" i="1"/>
  <c r="J2035" i="1"/>
  <c r="I2035" i="1"/>
  <c r="L2035" i="1" s="1"/>
  <c r="M2034" i="1"/>
  <c r="L2034" i="1"/>
  <c r="J2034" i="1"/>
  <c r="K2034" i="1" s="1"/>
  <c r="I2034" i="1"/>
  <c r="M2033" i="1"/>
  <c r="K2033" i="1"/>
  <c r="J2033" i="1"/>
  <c r="I2033" i="1"/>
  <c r="L2033" i="1" s="1"/>
  <c r="M2032" i="1"/>
  <c r="L2032" i="1"/>
  <c r="J2032" i="1"/>
  <c r="K2032" i="1" s="1"/>
  <c r="I2032" i="1"/>
  <c r="M2031" i="1"/>
  <c r="K2031" i="1"/>
  <c r="J2031" i="1"/>
  <c r="I2031" i="1"/>
  <c r="L2031" i="1" s="1"/>
  <c r="M2030" i="1"/>
  <c r="J2030" i="1"/>
  <c r="K2030" i="1" s="1"/>
  <c r="I2030" i="1"/>
  <c r="L2030" i="1" s="1"/>
  <c r="M2029" i="1"/>
  <c r="K2029" i="1"/>
  <c r="J2029" i="1"/>
  <c r="I2029" i="1"/>
  <c r="L2029" i="1" s="1"/>
  <c r="M2028" i="1"/>
  <c r="L2028" i="1"/>
  <c r="J2028" i="1"/>
  <c r="K2028" i="1" s="1"/>
  <c r="I2028" i="1"/>
  <c r="M2027" i="1"/>
  <c r="K2027" i="1"/>
  <c r="J2027" i="1"/>
  <c r="I2027" i="1"/>
  <c r="L2027" i="1" s="1"/>
  <c r="M2026" i="1"/>
  <c r="L2026" i="1"/>
  <c r="J2026" i="1"/>
  <c r="K2026" i="1" s="1"/>
  <c r="I2026" i="1"/>
  <c r="M2025" i="1"/>
  <c r="K2025" i="1"/>
  <c r="J2025" i="1"/>
  <c r="I2025" i="1"/>
  <c r="L2025" i="1" s="1"/>
  <c r="M2024" i="1"/>
  <c r="L2024" i="1"/>
  <c r="J2024" i="1"/>
  <c r="K2024" i="1" s="1"/>
  <c r="I2024" i="1"/>
  <c r="M2023" i="1"/>
  <c r="K2023" i="1"/>
  <c r="J2023" i="1"/>
  <c r="I2023" i="1"/>
  <c r="L2023" i="1" s="1"/>
  <c r="M2022" i="1"/>
  <c r="J2022" i="1"/>
  <c r="K2022" i="1" s="1"/>
  <c r="I2022" i="1"/>
  <c r="L2022" i="1" s="1"/>
  <c r="M2021" i="1"/>
  <c r="K2021" i="1"/>
  <c r="J2021" i="1"/>
  <c r="I2021" i="1"/>
  <c r="L2021" i="1" s="1"/>
  <c r="M2020" i="1"/>
  <c r="L2020" i="1"/>
  <c r="J2020" i="1"/>
  <c r="K2020" i="1" s="1"/>
  <c r="I2020" i="1"/>
  <c r="M2019" i="1"/>
  <c r="K2019" i="1"/>
  <c r="J2019" i="1"/>
  <c r="I2019" i="1"/>
  <c r="L2019" i="1" s="1"/>
  <c r="M2018" i="1"/>
  <c r="L2018" i="1"/>
  <c r="J2018" i="1"/>
  <c r="K2018" i="1" s="1"/>
  <c r="I2018" i="1"/>
  <c r="M2017" i="1"/>
  <c r="K2017" i="1"/>
  <c r="J2017" i="1"/>
  <c r="I2017" i="1"/>
  <c r="L2017" i="1" s="1"/>
  <c r="M2016" i="1"/>
  <c r="L2016" i="1"/>
  <c r="J2016" i="1"/>
  <c r="K2016" i="1" s="1"/>
  <c r="I2016" i="1"/>
  <c r="M2015" i="1"/>
  <c r="K2015" i="1"/>
  <c r="J2015" i="1"/>
  <c r="I2015" i="1"/>
  <c r="L2015" i="1" s="1"/>
  <c r="M2014" i="1"/>
  <c r="L2014" i="1"/>
  <c r="J2014" i="1"/>
  <c r="K2014" i="1" s="1"/>
  <c r="I2014" i="1"/>
  <c r="M2013" i="1"/>
  <c r="K2013" i="1"/>
  <c r="J2013" i="1"/>
  <c r="I2013" i="1"/>
  <c r="L2013" i="1" s="1"/>
  <c r="M2012" i="1"/>
  <c r="L2012" i="1"/>
  <c r="J2012" i="1"/>
  <c r="K2012" i="1" s="1"/>
  <c r="I2012" i="1"/>
  <c r="M2011" i="1"/>
  <c r="K2011" i="1"/>
  <c r="J2011" i="1"/>
  <c r="I2011" i="1"/>
  <c r="L2011" i="1" s="1"/>
  <c r="M2010" i="1"/>
  <c r="L2010" i="1"/>
  <c r="J2010" i="1"/>
  <c r="K2010" i="1" s="1"/>
  <c r="I2010" i="1"/>
  <c r="M2009" i="1"/>
  <c r="K2009" i="1"/>
  <c r="J2009" i="1"/>
  <c r="I2009" i="1"/>
  <c r="L2009" i="1" s="1"/>
  <c r="M2008" i="1"/>
  <c r="L2008" i="1"/>
  <c r="J2008" i="1"/>
  <c r="K2008" i="1" s="1"/>
  <c r="I2008" i="1"/>
  <c r="M2007" i="1"/>
  <c r="K2007" i="1"/>
  <c r="J2007" i="1"/>
  <c r="I2007" i="1"/>
  <c r="L2007" i="1" s="1"/>
  <c r="M2006" i="1"/>
  <c r="L2006" i="1"/>
  <c r="J2006" i="1"/>
  <c r="K2006" i="1" s="1"/>
  <c r="I2006" i="1"/>
  <c r="M2005" i="1"/>
  <c r="K2005" i="1"/>
  <c r="J2005" i="1"/>
  <c r="I2005" i="1"/>
  <c r="L2005" i="1" s="1"/>
  <c r="M2004" i="1"/>
  <c r="L2004" i="1"/>
  <c r="J2004" i="1"/>
  <c r="K2004" i="1" s="1"/>
  <c r="I2004" i="1"/>
  <c r="M2003" i="1"/>
  <c r="K2003" i="1"/>
  <c r="J2003" i="1"/>
  <c r="I2003" i="1"/>
  <c r="L2003" i="1" s="1"/>
  <c r="M2002" i="1"/>
  <c r="L2002" i="1"/>
  <c r="J2002" i="1"/>
  <c r="K2002" i="1" s="1"/>
  <c r="I2002" i="1"/>
  <c r="M2001" i="1"/>
  <c r="K2001" i="1"/>
  <c r="J2001" i="1"/>
  <c r="I2001" i="1"/>
  <c r="L2001" i="1" s="1"/>
  <c r="M2000" i="1"/>
  <c r="L2000" i="1"/>
  <c r="J2000" i="1"/>
  <c r="K2000" i="1" s="1"/>
  <c r="I2000" i="1"/>
  <c r="M1999" i="1"/>
  <c r="K1999" i="1"/>
  <c r="J1999" i="1"/>
  <c r="I1999" i="1"/>
  <c r="L1999" i="1" s="1"/>
  <c r="M1998" i="1"/>
  <c r="L1998" i="1"/>
  <c r="J1998" i="1"/>
  <c r="K1998" i="1" s="1"/>
  <c r="I1998" i="1"/>
  <c r="M1997" i="1"/>
  <c r="K1997" i="1"/>
  <c r="J1997" i="1"/>
  <c r="I1997" i="1"/>
  <c r="L1997" i="1" s="1"/>
  <c r="M1996" i="1"/>
  <c r="L1996" i="1"/>
  <c r="J1996" i="1"/>
  <c r="K1996" i="1" s="1"/>
  <c r="I1996" i="1"/>
  <c r="M1995" i="1"/>
  <c r="K1995" i="1"/>
  <c r="J1995" i="1"/>
  <c r="I1995" i="1"/>
  <c r="L1995" i="1" s="1"/>
  <c r="M1994" i="1"/>
  <c r="L1994" i="1"/>
  <c r="J1994" i="1"/>
  <c r="K1994" i="1" s="1"/>
  <c r="I1994" i="1"/>
  <c r="M1993" i="1"/>
  <c r="K1993" i="1"/>
  <c r="J1993" i="1"/>
  <c r="I1993" i="1"/>
  <c r="L1993" i="1" s="1"/>
  <c r="M1992" i="1"/>
  <c r="L1992" i="1"/>
  <c r="J1992" i="1"/>
  <c r="K1992" i="1" s="1"/>
  <c r="I1992" i="1"/>
  <c r="M1991" i="1"/>
  <c r="K1991" i="1"/>
  <c r="J1991" i="1"/>
  <c r="I1991" i="1"/>
  <c r="L1991" i="1" s="1"/>
  <c r="M1990" i="1"/>
  <c r="L1990" i="1"/>
  <c r="J1990" i="1"/>
  <c r="K1990" i="1" s="1"/>
  <c r="I1990" i="1"/>
  <c r="M1989" i="1"/>
  <c r="K1989" i="1"/>
  <c r="J1989" i="1"/>
  <c r="I1989" i="1"/>
  <c r="L1989" i="1" s="1"/>
  <c r="M1988" i="1"/>
  <c r="L1988" i="1"/>
  <c r="J1988" i="1"/>
  <c r="K1988" i="1" s="1"/>
  <c r="I1988" i="1"/>
  <c r="M1987" i="1"/>
  <c r="K1987" i="1"/>
  <c r="J1987" i="1"/>
  <c r="I1987" i="1"/>
  <c r="L1987" i="1" s="1"/>
  <c r="M1986" i="1"/>
  <c r="L1986" i="1"/>
  <c r="J1986" i="1"/>
  <c r="K1986" i="1" s="1"/>
  <c r="I1986" i="1"/>
  <c r="M1985" i="1"/>
  <c r="K1985" i="1"/>
  <c r="J1985" i="1"/>
  <c r="I1985" i="1"/>
  <c r="L1985" i="1" s="1"/>
  <c r="M1984" i="1"/>
  <c r="L1984" i="1"/>
  <c r="J1984" i="1"/>
  <c r="K1984" i="1" s="1"/>
  <c r="I1984" i="1"/>
  <c r="M1983" i="1"/>
  <c r="K1983" i="1"/>
  <c r="J1983" i="1"/>
  <c r="I1983" i="1"/>
  <c r="L1983" i="1" s="1"/>
  <c r="M1982" i="1"/>
  <c r="L1982" i="1"/>
  <c r="J1982" i="1"/>
  <c r="K1982" i="1" s="1"/>
  <c r="I1982" i="1"/>
  <c r="M1981" i="1"/>
  <c r="K1981" i="1"/>
  <c r="J1981" i="1"/>
  <c r="I1981" i="1"/>
  <c r="L1981" i="1" s="1"/>
  <c r="M1980" i="1"/>
  <c r="L1980" i="1"/>
  <c r="J1980" i="1"/>
  <c r="K1980" i="1" s="1"/>
  <c r="I1980" i="1"/>
  <c r="M1979" i="1"/>
  <c r="K1979" i="1"/>
  <c r="J1979" i="1"/>
  <c r="I1979" i="1"/>
  <c r="L1979" i="1" s="1"/>
  <c r="M1978" i="1"/>
  <c r="L1978" i="1"/>
  <c r="J1978" i="1"/>
  <c r="K1978" i="1" s="1"/>
  <c r="I1978" i="1"/>
  <c r="M1977" i="1"/>
  <c r="K1977" i="1"/>
  <c r="J1977" i="1"/>
  <c r="I1977" i="1"/>
  <c r="L1977" i="1" s="1"/>
  <c r="M1976" i="1"/>
  <c r="L1976" i="1"/>
  <c r="J1976" i="1"/>
  <c r="K1976" i="1" s="1"/>
  <c r="I1976" i="1"/>
  <c r="M1975" i="1"/>
  <c r="K1975" i="1"/>
  <c r="J1975" i="1"/>
  <c r="I1975" i="1"/>
  <c r="L1975" i="1" s="1"/>
  <c r="M1974" i="1"/>
  <c r="L1974" i="1"/>
  <c r="J1974" i="1"/>
  <c r="K1974" i="1" s="1"/>
  <c r="I1974" i="1"/>
  <c r="M1973" i="1"/>
  <c r="K1973" i="1"/>
  <c r="J1973" i="1"/>
  <c r="I1973" i="1"/>
  <c r="L1973" i="1" s="1"/>
  <c r="M1972" i="1"/>
  <c r="L1972" i="1"/>
  <c r="J1972" i="1"/>
  <c r="K1972" i="1" s="1"/>
  <c r="I1972" i="1"/>
  <c r="M1971" i="1"/>
  <c r="K1971" i="1"/>
  <c r="J1971" i="1"/>
  <c r="I1971" i="1"/>
  <c r="L1971" i="1" s="1"/>
  <c r="M1970" i="1"/>
  <c r="L1970" i="1"/>
  <c r="J1970" i="1"/>
  <c r="K1970" i="1" s="1"/>
  <c r="I1970" i="1"/>
  <c r="M1969" i="1"/>
  <c r="K1969" i="1"/>
  <c r="J1969" i="1"/>
  <c r="I1969" i="1"/>
  <c r="L1969" i="1" s="1"/>
  <c r="M1968" i="1"/>
  <c r="L1968" i="1"/>
  <c r="J1968" i="1"/>
  <c r="K1968" i="1" s="1"/>
  <c r="I1968" i="1"/>
  <c r="M1967" i="1"/>
  <c r="K1967" i="1"/>
  <c r="J1967" i="1"/>
  <c r="I1967" i="1"/>
  <c r="L1967" i="1" s="1"/>
  <c r="M1966" i="1"/>
  <c r="L1966" i="1"/>
  <c r="J1966" i="1"/>
  <c r="K1966" i="1" s="1"/>
  <c r="I1966" i="1"/>
  <c r="M1965" i="1"/>
  <c r="K1965" i="1"/>
  <c r="J1965" i="1"/>
  <c r="I1965" i="1"/>
  <c r="L1965" i="1" s="1"/>
  <c r="M1964" i="1"/>
  <c r="L1964" i="1"/>
  <c r="J1964" i="1"/>
  <c r="K1964" i="1" s="1"/>
  <c r="I1964" i="1"/>
  <c r="M1963" i="1"/>
  <c r="K1963" i="1"/>
  <c r="J1963" i="1"/>
  <c r="I1963" i="1"/>
  <c r="L1963" i="1" s="1"/>
  <c r="M1962" i="1"/>
  <c r="L1962" i="1"/>
  <c r="J1962" i="1"/>
  <c r="K1962" i="1" s="1"/>
  <c r="I1962" i="1"/>
  <c r="M1961" i="1"/>
  <c r="K1961" i="1"/>
  <c r="J1961" i="1"/>
  <c r="I1961" i="1"/>
  <c r="L1961" i="1" s="1"/>
  <c r="M1960" i="1"/>
  <c r="L1960" i="1"/>
  <c r="J1960" i="1"/>
  <c r="K1960" i="1" s="1"/>
  <c r="I1960" i="1"/>
  <c r="M1959" i="1"/>
  <c r="K1959" i="1"/>
  <c r="J1959" i="1"/>
  <c r="I1959" i="1"/>
  <c r="L1959" i="1" s="1"/>
  <c r="M1958" i="1"/>
  <c r="L1958" i="1"/>
  <c r="J1958" i="1"/>
  <c r="K1958" i="1" s="1"/>
  <c r="I1958" i="1"/>
  <c r="M1957" i="1"/>
  <c r="K1957" i="1"/>
  <c r="J1957" i="1"/>
  <c r="I1957" i="1"/>
  <c r="L1957" i="1" s="1"/>
  <c r="M1956" i="1"/>
  <c r="L1956" i="1"/>
  <c r="J1956" i="1"/>
  <c r="K1956" i="1" s="1"/>
  <c r="I1956" i="1"/>
  <c r="M1955" i="1"/>
  <c r="K1955" i="1"/>
  <c r="J1955" i="1"/>
  <c r="I1955" i="1"/>
  <c r="L1955" i="1" s="1"/>
  <c r="M1954" i="1"/>
  <c r="L1954" i="1"/>
  <c r="J1954" i="1"/>
  <c r="K1954" i="1" s="1"/>
  <c r="I1954" i="1"/>
  <c r="M1953" i="1"/>
  <c r="K1953" i="1"/>
  <c r="J1953" i="1"/>
  <c r="I1953" i="1"/>
  <c r="L1953" i="1" s="1"/>
  <c r="M1952" i="1"/>
  <c r="L1952" i="1"/>
  <c r="J1952" i="1"/>
  <c r="K1952" i="1" s="1"/>
  <c r="I1952" i="1"/>
  <c r="M1951" i="1"/>
  <c r="K1951" i="1"/>
  <c r="J1951" i="1"/>
  <c r="I1951" i="1"/>
  <c r="L1951" i="1" s="1"/>
  <c r="M1950" i="1"/>
  <c r="L1950" i="1"/>
  <c r="J1950" i="1"/>
  <c r="K1950" i="1" s="1"/>
  <c r="I1950" i="1"/>
  <c r="M1949" i="1"/>
  <c r="K1949" i="1"/>
  <c r="J1949" i="1"/>
  <c r="I1949" i="1"/>
  <c r="L1949" i="1" s="1"/>
  <c r="M1948" i="1"/>
  <c r="L1948" i="1"/>
  <c r="J1948" i="1"/>
  <c r="K1948" i="1" s="1"/>
  <c r="I1948" i="1"/>
  <c r="M1947" i="1"/>
  <c r="K1947" i="1"/>
  <c r="J1947" i="1"/>
  <c r="I1947" i="1"/>
  <c r="L1947" i="1" s="1"/>
  <c r="M1946" i="1"/>
  <c r="L1946" i="1"/>
  <c r="J1946" i="1"/>
  <c r="K1946" i="1" s="1"/>
  <c r="I1946" i="1"/>
  <c r="M1945" i="1"/>
  <c r="K1945" i="1"/>
  <c r="J1945" i="1"/>
  <c r="I1945" i="1"/>
  <c r="L1945" i="1" s="1"/>
  <c r="M1944" i="1"/>
  <c r="L1944" i="1"/>
  <c r="J1944" i="1"/>
  <c r="K1944" i="1" s="1"/>
  <c r="I1944" i="1"/>
  <c r="M1943" i="1"/>
  <c r="K1943" i="1"/>
  <c r="J1943" i="1"/>
  <c r="I1943" i="1"/>
  <c r="L1943" i="1" s="1"/>
  <c r="M1942" i="1"/>
  <c r="L1942" i="1"/>
  <c r="J1942" i="1"/>
  <c r="K1942" i="1" s="1"/>
  <c r="I1942" i="1"/>
  <c r="M1941" i="1"/>
  <c r="K1941" i="1"/>
  <c r="J1941" i="1"/>
  <c r="I1941" i="1"/>
  <c r="L1941" i="1" s="1"/>
  <c r="M1940" i="1"/>
  <c r="L1940" i="1"/>
  <c r="J1940" i="1"/>
  <c r="K1940" i="1" s="1"/>
  <c r="I1940" i="1"/>
  <c r="M1939" i="1"/>
  <c r="K1939" i="1"/>
  <c r="J1939" i="1"/>
  <c r="I1939" i="1"/>
  <c r="L1939" i="1" s="1"/>
  <c r="M1938" i="1"/>
  <c r="L1938" i="1"/>
  <c r="J1938" i="1"/>
  <c r="K1938" i="1" s="1"/>
  <c r="I1938" i="1"/>
  <c r="M1937" i="1"/>
  <c r="K1937" i="1"/>
  <c r="J1937" i="1"/>
  <c r="I1937" i="1"/>
  <c r="L1937" i="1" s="1"/>
  <c r="M1936" i="1"/>
  <c r="L1936" i="1"/>
  <c r="J1936" i="1"/>
  <c r="K1936" i="1" s="1"/>
  <c r="I1936" i="1"/>
  <c r="M1935" i="1"/>
  <c r="K1935" i="1"/>
  <c r="J1935" i="1"/>
  <c r="I1935" i="1"/>
  <c r="L1935" i="1" s="1"/>
  <c r="M1934" i="1"/>
  <c r="L1934" i="1"/>
  <c r="J1934" i="1"/>
  <c r="K1934" i="1" s="1"/>
  <c r="I1934" i="1"/>
  <c r="M1933" i="1"/>
  <c r="K1933" i="1"/>
  <c r="J1933" i="1"/>
  <c r="I1933" i="1"/>
  <c r="L1933" i="1" s="1"/>
  <c r="M1932" i="1"/>
  <c r="L1932" i="1"/>
  <c r="J1932" i="1"/>
  <c r="K1932" i="1" s="1"/>
  <c r="I1932" i="1"/>
  <c r="M1931" i="1"/>
  <c r="K1931" i="1"/>
  <c r="J1931" i="1"/>
  <c r="I1931" i="1"/>
  <c r="L1931" i="1" s="1"/>
  <c r="M1930" i="1"/>
  <c r="L1930" i="1"/>
  <c r="J1930" i="1"/>
  <c r="K1930" i="1" s="1"/>
  <c r="I1930" i="1"/>
  <c r="M1929" i="1"/>
  <c r="K1929" i="1"/>
  <c r="J1929" i="1"/>
  <c r="I1929" i="1"/>
  <c r="L1929" i="1" s="1"/>
  <c r="M1928" i="1"/>
  <c r="L1928" i="1"/>
  <c r="J1928" i="1"/>
  <c r="K1928" i="1" s="1"/>
  <c r="I1928" i="1"/>
  <c r="M1927" i="1"/>
  <c r="K1927" i="1"/>
  <c r="J1927" i="1"/>
  <c r="I1927" i="1"/>
  <c r="L1927" i="1" s="1"/>
  <c r="M1926" i="1"/>
  <c r="L1926" i="1"/>
  <c r="J1926" i="1"/>
  <c r="K1926" i="1" s="1"/>
  <c r="I1926" i="1"/>
  <c r="M1925" i="1"/>
  <c r="K1925" i="1"/>
  <c r="J1925" i="1"/>
  <c r="I1925" i="1"/>
  <c r="L1925" i="1" s="1"/>
  <c r="M1924" i="1"/>
  <c r="L1924" i="1"/>
  <c r="J1924" i="1"/>
  <c r="K1924" i="1" s="1"/>
  <c r="I1924" i="1"/>
  <c r="M1923" i="1"/>
  <c r="K1923" i="1"/>
  <c r="J1923" i="1"/>
  <c r="I1923" i="1"/>
  <c r="L1923" i="1" s="1"/>
  <c r="M1922" i="1"/>
  <c r="L1922" i="1"/>
  <c r="J1922" i="1"/>
  <c r="K1922" i="1" s="1"/>
  <c r="I1922" i="1"/>
  <c r="M1921" i="1"/>
  <c r="K1921" i="1"/>
  <c r="J1921" i="1"/>
  <c r="I1921" i="1"/>
  <c r="L1921" i="1" s="1"/>
  <c r="M1920" i="1"/>
  <c r="L1920" i="1"/>
  <c r="J1920" i="1"/>
  <c r="K1920" i="1" s="1"/>
  <c r="I1920" i="1"/>
  <c r="M1919" i="1"/>
  <c r="K1919" i="1"/>
  <c r="J1919" i="1"/>
  <c r="I1919" i="1"/>
  <c r="L1919" i="1" s="1"/>
  <c r="M1918" i="1"/>
  <c r="L1918" i="1"/>
  <c r="J1918" i="1"/>
  <c r="K1918" i="1" s="1"/>
  <c r="I1918" i="1"/>
  <c r="M1917" i="1"/>
  <c r="K1917" i="1"/>
  <c r="J1917" i="1"/>
  <c r="I1917" i="1"/>
  <c r="L1917" i="1" s="1"/>
  <c r="M1916" i="1"/>
  <c r="L1916" i="1"/>
  <c r="J1916" i="1"/>
  <c r="K1916" i="1" s="1"/>
  <c r="I1916" i="1"/>
  <c r="M1915" i="1"/>
  <c r="K1915" i="1"/>
  <c r="J1915" i="1"/>
  <c r="I1915" i="1"/>
  <c r="L1915" i="1" s="1"/>
  <c r="M1914" i="1"/>
  <c r="L1914" i="1"/>
  <c r="J1914" i="1"/>
  <c r="K1914" i="1" s="1"/>
  <c r="I1914" i="1"/>
  <c r="M1913" i="1"/>
  <c r="K1913" i="1"/>
  <c r="J1913" i="1"/>
  <c r="I1913" i="1"/>
  <c r="L1913" i="1" s="1"/>
  <c r="M1912" i="1"/>
  <c r="L1912" i="1"/>
  <c r="J1912" i="1"/>
  <c r="K1912" i="1" s="1"/>
  <c r="I1912" i="1"/>
  <c r="M1911" i="1"/>
  <c r="K1911" i="1"/>
  <c r="J1911" i="1"/>
  <c r="I1911" i="1"/>
  <c r="L1911" i="1" s="1"/>
  <c r="M1910" i="1"/>
  <c r="L1910" i="1"/>
  <c r="J1910" i="1"/>
  <c r="K1910" i="1" s="1"/>
  <c r="I1910" i="1"/>
  <c r="M1909" i="1"/>
  <c r="K1909" i="1"/>
  <c r="J1909" i="1"/>
  <c r="I1909" i="1"/>
  <c r="L1909" i="1" s="1"/>
  <c r="M1908" i="1"/>
  <c r="L1908" i="1"/>
  <c r="J1908" i="1"/>
  <c r="K1908" i="1" s="1"/>
  <c r="I1908" i="1"/>
  <c r="M1907" i="1"/>
  <c r="K1907" i="1"/>
  <c r="J1907" i="1"/>
  <c r="I1907" i="1"/>
  <c r="L1907" i="1" s="1"/>
  <c r="M1906" i="1"/>
  <c r="L1906" i="1"/>
  <c r="J1906" i="1"/>
  <c r="K1906" i="1" s="1"/>
  <c r="I1906" i="1"/>
  <c r="M1905" i="1"/>
  <c r="K1905" i="1"/>
  <c r="J1905" i="1"/>
  <c r="I1905" i="1"/>
  <c r="L1905" i="1" s="1"/>
  <c r="M1904" i="1"/>
  <c r="L1904" i="1"/>
  <c r="J1904" i="1"/>
  <c r="K1904" i="1" s="1"/>
  <c r="I1904" i="1"/>
  <c r="M1903" i="1"/>
  <c r="K1903" i="1"/>
  <c r="J1903" i="1"/>
  <c r="I1903" i="1"/>
  <c r="L1903" i="1" s="1"/>
  <c r="M1902" i="1"/>
  <c r="L1902" i="1"/>
  <c r="J1902" i="1"/>
  <c r="K1902" i="1" s="1"/>
  <c r="I1902" i="1"/>
  <c r="M1901" i="1"/>
  <c r="K1901" i="1"/>
  <c r="J1901" i="1"/>
  <c r="I1901" i="1"/>
  <c r="L1901" i="1" s="1"/>
  <c r="M1900" i="1"/>
  <c r="L1900" i="1"/>
  <c r="J1900" i="1"/>
  <c r="K1900" i="1" s="1"/>
  <c r="I1900" i="1"/>
  <c r="M1899" i="1"/>
  <c r="K1899" i="1"/>
  <c r="J1899" i="1"/>
  <c r="I1899" i="1"/>
  <c r="L1899" i="1" s="1"/>
  <c r="M1898" i="1"/>
  <c r="L1898" i="1"/>
  <c r="J1898" i="1"/>
  <c r="K1898" i="1" s="1"/>
  <c r="I1898" i="1"/>
  <c r="M1897" i="1"/>
  <c r="K1897" i="1"/>
  <c r="J1897" i="1"/>
  <c r="I1897" i="1"/>
  <c r="L1897" i="1" s="1"/>
  <c r="M1896" i="1"/>
  <c r="L1896" i="1"/>
  <c r="J1896" i="1"/>
  <c r="K1896" i="1" s="1"/>
  <c r="I1896" i="1"/>
  <c r="M1895" i="1"/>
  <c r="K1895" i="1"/>
  <c r="J1895" i="1"/>
  <c r="I1895" i="1"/>
  <c r="L1895" i="1" s="1"/>
  <c r="M1894" i="1"/>
  <c r="L1894" i="1"/>
  <c r="J1894" i="1"/>
  <c r="K1894" i="1" s="1"/>
  <c r="I1894" i="1"/>
  <c r="M1893" i="1"/>
  <c r="K1893" i="1"/>
  <c r="J1893" i="1"/>
  <c r="I1893" i="1"/>
  <c r="L1893" i="1" s="1"/>
  <c r="M1892" i="1"/>
  <c r="L1892" i="1"/>
  <c r="J1892" i="1"/>
  <c r="K1892" i="1" s="1"/>
  <c r="I1892" i="1"/>
  <c r="M1891" i="1"/>
  <c r="K1891" i="1"/>
  <c r="J1891" i="1"/>
  <c r="I1891" i="1"/>
  <c r="L1891" i="1" s="1"/>
  <c r="M1890" i="1"/>
  <c r="L1890" i="1"/>
  <c r="J1890" i="1"/>
  <c r="K1890" i="1" s="1"/>
  <c r="I1890" i="1"/>
  <c r="M1889" i="1"/>
  <c r="K1889" i="1"/>
  <c r="J1889" i="1"/>
  <c r="I1889" i="1"/>
  <c r="L1889" i="1" s="1"/>
  <c r="M1888" i="1"/>
  <c r="L1888" i="1"/>
  <c r="J1888" i="1"/>
  <c r="K1888" i="1" s="1"/>
  <c r="I1888" i="1"/>
  <c r="M1887" i="1"/>
  <c r="K1887" i="1"/>
  <c r="J1887" i="1"/>
  <c r="I1887" i="1"/>
  <c r="L1887" i="1" s="1"/>
  <c r="M1886" i="1"/>
  <c r="L1886" i="1"/>
  <c r="J1886" i="1"/>
  <c r="K1886" i="1" s="1"/>
  <c r="I1886" i="1"/>
  <c r="M1885" i="1"/>
  <c r="K1885" i="1"/>
  <c r="J1885" i="1"/>
  <c r="I1885" i="1"/>
  <c r="L1885" i="1" s="1"/>
  <c r="M1884" i="1"/>
  <c r="L1884" i="1"/>
  <c r="J1884" i="1"/>
  <c r="K1884" i="1" s="1"/>
  <c r="I1884" i="1"/>
  <c r="M1883" i="1"/>
  <c r="K1883" i="1"/>
  <c r="J1883" i="1"/>
  <c r="I1883" i="1"/>
  <c r="L1883" i="1" s="1"/>
  <c r="M1882" i="1"/>
  <c r="L1882" i="1"/>
  <c r="J1882" i="1"/>
  <c r="K1882" i="1" s="1"/>
  <c r="I1882" i="1"/>
  <c r="M1881" i="1"/>
  <c r="K1881" i="1"/>
  <c r="J1881" i="1"/>
  <c r="I1881" i="1"/>
  <c r="L1881" i="1" s="1"/>
  <c r="M1880" i="1"/>
  <c r="L1880" i="1"/>
  <c r="J1880" i="1"/>
  <c r="K1880" i="1" s="1"/>
  <c r="I1880" i="1"/>
  <c r="M1879" i="1"/>
  <c r="K1879" i="1"/>
  <c r="J1879" i="1"/>
  <c r="I1879" i="1"/>
  <c r="L1879" i="1" s="1"/>
  <c r="M1878" i="1"/>
  <c r="L1878" i="1"/>
  <c r="J1878" i="1"/>
  <c r="K1878" i="1" s="1"/>
  <c r="I1878" i="1"/>
  <c r="M1877" i="1"/>
  <c r="K1877" i="1"/>
  <c r="J1877" i="1"/>
  <c r="I1877" i="1"/>
  <c r="L1877" i="1" s="1"/>
  <c r="M1876" i="1"/>
  <c r="L1876" i="1"/>
  <c r="J1876" i="1"/>
  <c r="K1876" i="1" s="1"/>
  <c r="I1876" i="1"/>
  <c r="M1875" i="1"/>
  <c r="K1875" i="1"/>
  <c r="J1875" i="1"/>
  <c r="I1875" i="1"/>
  <c r="L1875" i="1" s="1"/>
  <c r="M1874" i="1"/>
  <c r="L1874" i="1"/>
  <c r="J1874" i="1"/>
  <c r="K1874" i="1" s="1"/>
  <c r="I1874" i="1"/>
  <c r="M1873" i="1"/>
  <c r="K1873" i="1"/>
  <c r="J1873" i="1"/>
  <c r="I1873" i="1"/>
  <c r="L1873" i="1" s="1"/>
  <c r="M1872" i="1"/>
  <c r="L1872" i="1"/>
  <c r="J1872" i="1"/>
  <c r="K1872" i="1" s="1"/>
  <c r="I1872" i="1"/>
  <c r="M1871" i="1"/>
  <c r="K1871" i="1"/>
  <c r="J1871" i="1"/>
  <c r="I1871" i="1"/>
  <c r="L1871" i="1" s="1"/>
  <c r="M1870" i="1"/>
  <c r="L1870" i="1"/>
  <c r="J1870" i="1"/>
  <c r="K1870" i="1" s="1"/>
  <c r="I1870" i="1"/>
  <c r="M1869" i="1"/>
  <c r="K1869" i="1"/>
  <c r="J1869" i="1"/>
  <c r="I1869" i="1"/>
  <c r="L1869" i="1" s="1"/>
  <c r="M1868" i="1"/>
  <c r="L1868" i="1"/>
  <c r="J1868" i="1"/>
  <c r="K1868" i="1" s="1"/>
  <c r="I1868" i="1"/>
  <c r="M1867" i="1"/>
  <c r="K1867" i="1"/>
  <c r="J1867" i="1"/>
  <c r="I1867" i="1"/>
  <c r="L1867" i="1" s="1"/>
  <c r="M1866" i="1"/>
  <c r="L1866" i="1"/>
  <c r="J1866" i="1"/>
  <c r="K1866" i="1" s="1"/>
  <c r="I1866" i="1"/>
  <c r="M1865" i="1"/>
  <c r="K1865" i="1"/>
  <c r="J1865" i="1"/>
  <c r="I1865" i="1"/>
  <c r="L1865" i="1" s="1"/>
  <c r="M1864" i="1"/>
  <c r="L1864" i="1"/>
  <c r="J1864" i="1"/>
  <c r="K1864" i="1" s="1"/>
  <c r="I1864" i="1"/>
  <c r="M1863" i="1"/>
  <c r="K1863" i="1"/>
  <c r="J1863" i="1"/>
  <c r="I1863" i="1"/>
  <c r="L1863" i="1" s="1"/>
  <c r="M1862" i="1"/>
  <c r="L1862" i="1"/>
  <c r="J1862" i="1"/>
  <c r="K1862" i="1" s="1"/>
  <c r="I1862" i="1"/>
  <c r="M1861" i="1"/>
  <c r="K1861" i="1"/>
  <c r="J1861" i="1"/>
  <c r="I1861" i="1"/>
  <c r="L1861" i="1" s="1"/>
  <c r="M1860" i="1"/>
  <c r="L1860" i="1"/>
  <c r="J1860" i="1"/>
  <c r="K1860" i="1" s="1"/>
  <c r="I1860" i="1"/>
  <c r="M1859" i="1"/>
  <c r="K1859" i="1"/>
  <c r="J1859" i="1"/>
  <c r="I1859" i="1"/>
  <c r="L1859" i="1" s="1"/>
  <c r="M1858" i="1"/>
  <c r="L1858" i="1"/>
  <c r="J1858" i="1"/>
  <c r="K1858" i="1" s="1"/>
  <c r="I1858" i="1"/>
  <c r="M1857" i="1"/>
  <c r="K1857" i="1"/>
  <c r="J1857" i="1"/>
  <c r="I1857" i="1"/>
  <c r="L1857" i="1" s="1"/>
  <c r="M1856" i="1"/>
  <c r="L1856" i="1"/>
  <c r="J1856" i="1"/>
  <c r="K1856" i="1" s="1"/>
  <c r="I1856" i="1"/>
  <c r="M1855" i="1"/>
  <c r="K1855" i="1"/>
  <c r="J1855" i="1"/>
  <c r="I1855" i="1"/>
  <c r="L1855" i="1" s="1"/>
  <c r="M1854" i="1"/>
  <c r="L1854" i="1"/>
  <c r="J1854" i="1"/>
  <c r="K1854" i="1" s="1"/>
  <c r="I1854" i="1"/>
  <c r="M1853" i="1"/>
  <c r="K1853" i="1"/>
  <c r="J1853" i="1"/>
  <c r="I1853" i="1"/>
  <c r="L1853" i="1" s="1"/>
  <c r="M1852" i="1"/>
  <c r="L1852" i="1"/>
  <c r="J1852" i="1"/>
  <c r="K1852" i="1" s="1"/>
  <c r="I1852" i="1"/>
  <c r="M1851" i="1"/>
  <c r="K1851" i="1"/>
  <c r="J1851" i="1"/>
  <c r="I1851" i="1"/>
  <c r="L1851" i="1" s="1"/>
  <c r="M1850" i="1"/>
  <c r="L1850" i="1"/>
  <c r="J1850" i="1"/>
  <c r="K1850" i="1" s="1"/>
  <c r="I1850" i="1"/>
  <c r="M1849" i="1"/>
  <c r="K1849" i="1"/>
  <c r="J1849" i="1"/>
  <c r="I1849" i="1"/>
  <c r="L1849" i="1" s="1"/>
  <c r="M1848" i="1"/>
  <c r="L1848" i="1"/>
  <c r="J1848" i="1"/>
  <c r="K1848" i="1" s="1"/>
  <c r="I1848" i="1"/>
  <c r="M1847" i="1"/>
  <c r="K1847" i="1"/>
  <c r="J1847" i="1"/>
  <c r="I1847" i="1"/>
  <c r="L1847" i="1" s="1"/>
  <c r="M1846" i="1"/>
  <c r="L1846" i="1"/>
  <c r="J1846" i="1"/>
  <c r="K1846" i="1" s="1"/>
  <c r="I1846" i="1"/>
  <c r="M1845" i="1"/>
  <c r="K1845" i="1"/>
  <c r="J1845" i="1"/>
  <c r="I1845" i="1"/>
  <c r="L1845" i="1" s="1"/>
  <c r="M1844" i="1"/>
  <c r="L1844" i="1"/>
  <c r="J1844" i="1"/>
  <c r="K1844" i="1" s="1"/>
  <c r="I1844" i="1"/>
  <c r="M1843" i="1"/>
  <c r="K1843" i="1"/>
  <c r="J1843" i="1"/>
  <c r="I1843" i="1"/>
  <c r="L1843" i="1" s="1"/>
  <c r="M1842" i="1"/>
  <c r="L1842" i="1"/>
  <c r="J1842" i="1"/>
  <c r="K1842" i="1" s="1"/>
  <c r="I1842" i="1"/>
  <c r="M1841" i="1"/>
  <c r="K1841" i="1"/>
  <c r="J1841" i="1"/>
  <c r="I1841" i="1"/>
  <c r="L1841" i="1" s="1"/>
  <c r="M1840" i="1"/>
  <c r="L1840" i="1"/>
  <c r="J1840" i="1"/>
  <c r="K1840" i="1" s="1"/>
  <c r="I1840" i="1"/>
  <c r="M1839" i="1"/>
  <c r="K1839" i="1"/>
  <c r="J1839" i="1"/>
  <c r="I1839" i="1"/>
  <c r="L1839" i="1" s="1"/>
  <c r="M1838" i="1"/>
  <c r="L1838" i="1"/>
  <c r="J1838" i="1"/>
  <c r="K1838" i="1" s="1"/>
  <c r="I1838" i="1"/>
  <c r="M1837" i="1"/>
  <c r="K1837" i="1"/>
  <c r="J1837" i="1"/>
  <c r="I1837" i="1"/>
  <c r="L1837" i="1" s="1"/>
  <c r="M1836" i="1"/>
  <c r="L1836" i="1"/>
  <c r="J1836" i="1"/>
  <c r="K1836" i="1" s="1"/>
  <c r="I1836" i="1"/>
  <c r="M1835" i="1"/>
  <c r="K1835" i="1"/>
  <c r="J1835" i="1"/>
  <c r="I1835" i="1"/>
  <c r="L1835" i="1" s="1"/>
  <c r="M1834" i="1"/>
  <c r="L1834" i="1"/>
  <c r="J1834" i="1"/>
  <c r="K1834" i="1" s="1"/>
  <c r="I1834" i="1"/>
  <c r="M1833" i="1"/>
  <c r="K1833" i="1"/>
  <c r="J1833" i="1"/>
  <c r="I1833" i="1"/>
  <c r="L1833" i="1" s="1"/>
  <c r="M1832" i="1"/>
  <c r="L1832" i="1"/>
  <c r="J1832" i="1"/>
  <c r="K1832" i="1" s="1"/>
  <c r="I1832" i="1"/>
  <c r="M1831" i="1"/>
  <c r="K1831" i="1"/>
  <c r="J1831" i="1"/>
  <c r="I1831" i="1"/>
  <c r="L1831" i="1" s="1"/>
  <c r="M1830" i="1"/>
  <c r="L1830" i="1"/>
  <c r="J1830" i="1"/>
  <c r="K1830" i="1" s="1"/>
  <c r="I1830" i="1"/>
  <c r="M1829" i="1"/>
  <c r="K1829" i="1"/>
  <c r="J1829" i="1"/>
  <c r="I1829" i="1"/>
  <c r="L1829" i="1" s="1"/>
  <c r="M1828" i="1"/>
  <c r="L1828" i="1"/>
  <c r="J1828" i="1"/>
  <c r="K1828" i="1" s="1"/>
  <c r="I1828" i="1"/>
  <c r="M1827" i="1"/>
  <c r="K1827" i="1"/>
  <c r="J1827" i="1"/>
  <c r="I1827" i="1"/>
  <c r="L1827" i="1" s="1"/>
  <c r="M1826" i="1"/>
  <c r="L1826" i="1"/>
  <c r="J1826" i="1"/>
  <c r="K1826" i="1" s="1"/>
  <c r="I1826" i="1"/>
  <c r="M1825" i="1"/>
  <c r="K1825" i="1"/>
  <c r="J1825" i="1"/>
  <c r="I1825" i="1"/>
  <c r="L1825" i="1" s="1"/>
  <c r="M1824" i="1"/>
  <c r="L1824" i="1"/>
  <c r="J1824" i="1"/>
  <c r="K1824" i="1" s="1"/>
  <c r="I1824" i="1"/>
  <c r="M1823" i="1"/>
  <c r="K1823" i="1"/>
  <c r="J1823" i="1"/>
  <c r="I1823" i="1"/>
  <c r="L1823" i="1" s="1"/>
  <c r="M1822" i="1"/>
  <c r="L1822" i="1"/>
  <c r="J1822" i="1"/>
  <c r="K1822" i="1" s="1"/>
  <c r="I1822" i="1"/>
  <c r="M1821" i="1"/>
  <c r="K1821" i="1"/>
  <c r="J1821" i="1"/>
  <c r="I1821" i="1"/>
  <c r="L1821" i="1" s="1"/>
  <c r="M1820" i="1"/>
  <c r="L1820" i="1"/>
  <c r="J1820" i="1"/>
  <c r="K1820" i="1" s="1"/>
  <c r="I1820" i="1"/>
  <c r="M1819" i="1"/>
  <c r="K1819" i="1"/>
  <c r="J1819" i="1"/>
  <c r="I1819" i="1"/>
  <c r="L1819" i="1" s="1"/>
  <c r="M1818" i="1"/>
  <c r="L1818" i="1"/>
  <c r="J1818" i="1"/>
  <c r="K1818" i="1" s="1"/>
  <c r="I1818" i="1"/>
  <c r="M1817" i="1"/>
  <c r="K1817" i="1"/>
  <c r="J1817" i="1"/>
  <c r="I1817" i="1"/>
  <c r="L1817" i="1" s="1"/>
  <c r="M1816" i="1"/>
  <c r="L1816" i="1"/>
  <c r="J1816" i="1"/>
  <c r="K1816" i="1" s="1"/>
  <c r="I1816" i="1"/>
  <c r="M1815" i="1"/>
  <c r="K1815" i="1"/>
  <c r="J1815" i="1"/>
  <c r="I1815" i="1"/>
  <c r="L1815" i="1" s="1"/>
  <c r="M1814" i="1"/>
  <c r="L1814" i="1"/>
  <c r="J1814" i="1"/>
  <c r="K1814" i="1" s="1"/>
  <c r="I1814" i="1"/>
  <c r="M1813" i="1"/>
  <c r="K1813" i="1"/>
  <c r="J1813" i="1"/>
  <c r="I1813" i="1"/>
  <c r="L1813" i="1" s="1"/>
  <c r="M1812" i="1"/>
  <c r="L1812" i="1"/>
  <c r="J1812" i="1"/>
  <c r="K1812" i="1" s="1"/>
  <c r="I1812" i="1"/>
  <c r="M1811" i="1"/>
  <c r="K1811" i="1"/>
  <c r="J1811" i="1"/>
  <c r="I1811" i="1"/>
  <c r="L1811" i="1" s="1"/>
  <c r="M1810" i="1"/>
  <c r="L1810" i="1"/>
  <c r="J1810" i="1"/>
  <c r="K1810" i="1" s="1"/>
  <c r="I1810" i="1"/>
  <c r="M1809" i="1"/>
  <c r="K1809" i="1"/>
  <c r="J1809" i="1"/>
  <c r="I1809" i="1"/>
  <c r="L1809" i="1" s="1"/>
  <c r="M1808" i="1"/>
  <c r="L1808" i="1"/>
  <c r="J1808" i="1"/>
  <c r="K1808" i="1" s="1"/>
  <c r="I1808" i="1"/>
  <c r="M1807" i="1"/>
  <c r="K1807" i="1"/>
  <c r="J1807" i="1"/>
  <c r="I1807" i="1"/>
  <c r="L1807" i="1" s="1"/>
  <c r="M1806" i="1"/>
  <c r="L1806" i="1"/>
  <c r="J1806" i="1"/>
  <c r="K1806" i="1" s="1"/>
  <c r="I1806" i="1"/>
  <c r="M1805" i="1"/>
  <c r="K1805" i="1"/>
  <c r="J1805" i="1"/>
  <c r="I1805" i="1"/>
  <c r="L1805" i="1" s="1"/>
  <c r="M1804" i="1"/>
  <c r="L1804" i="1"/>
  <c r="J1804" i="1"/>
  <c r="K1804" i="1" s="1"/>
  <c r="I1804" i="1"/>
  <c r="M1803" i="1"/>
  <c r="K1803" i="1"/>
  <c r="J1803" i="1"/>
  <c r="I1803" i="1"/>
  <c r="L1803" i="1" s="1"/>
  <c r="M1802" i="1"/>
  <c r="L1802" i="1"/>
  <c r="J1802" i="1"/>
  <c r="K1802" i="1" s="1"/>
  <c r="I1802" i="1"/>
  <c r="M1801" i="1"/>
  <c r="K1801" i="1"/>
  <c r="J1801" i="1"/>
  <c r="I1801" i="1"/>
  <c r="L1801" i="1" s="1"/>
  <c r="M1800" i="1"/>
  <c r="L1800" i="1"/>
  <c r="J1800" i="1"/>
  <c r="K1800" i="1" s="1"/>
  <c r="I1800" i="1"/>
  <c r="M1799" i="1"/>
  <c r="K1799" i="1"/>
  <c r="J1799" i="1"/>
  <c r="I1799" i="1"/>
  <c r="L1799" i="1" s="1"/>
  <c r="M1798" i="1"/>
  <c r="L1798" i="1"/>
  <c r="J1798" i="1"/>
  <c r="K1798" i="1" s="1"/>
  <c r="I1798" i="1"/>
  <c r="M1797" i="1"/>
  <c r="K1797" i="1"/>
  <c r="J1797" i="1"/>
  <c r="I1797" i="1"/>
  <c r="L1797" i="1" s="1"/>
  <c r="M1796" i="1"/>
  <c r="L1796" i="1"/>
  <c r="J1796" i="1"/>
  <c r="K1796" i="1" s="1"/>
  <c r="I1796" i="1"/>
  <c r="M1795" i="1"/>
  <c r="K1795" i="1"/>
  <c r="J1795" i="1"/>
  <c r="I1795" i="1"/>
  <c r="L1795" i="1" s="1"/>
  <c r="M1794" i="1"/>
  <c r="L1794" i="1"/>
  <c r="J1794" i="1"/>
  <c r="K1794" i="1" s="1"/>
  <c r="I1794" i="1"/>
  <c r="M1793" i="1"/>
  <c r="K1793" i="1"/>
  <c r="J1793" i="1"/>
  <c r="I1793" i="1"/>
  <c r="L1793" i="1" s="1"/>
  <c r="M1792" i="1"/>
  <c r="L1792" i="1"/>
  <c r="J1792" i="1"/>
  <c r="K1792" i="1" s="1"/>
  <c r="I1792" i="1"/>
  <c r="M1791" i="1"/>
  <c r="K1791" i="1"/>
  <c r="J1791" i="1"/>
  <c r="I1791" i="1"/>
  <c r="L1791" i="1" s="1"/>
  <c r="M1790" i="1"/>
  <c r="L1790" i="1"/>
  <c r="J1790" i="1"/>
  <c r="K1790" i="1" s="1"/>
  <c r="I1790" i="1"/>
  <c r="M1789" i="1"/>
  <c r="K1789" i="1"/>
  <c r="J1789" i="1"/>
  <c r="I1789" i="1"/>
  <c r="L1789" i="1" s="1"/>
  <c r="M1788" i="1"/>
  <c r="L1788" i="1"/>
  <c r="J1788" i="1"/>
  <c r="K1788" i="1" s="1"/>
  <c r="I1788" i="1"/>
  <c r="M1787" i="1"/>
  <c r="K1787" i="1"/>
  <c r="J1787" i="1"/>
  <c r="I1787" i="1"/>
  <c r="L1787" i="1" s="1"/>
  <c r="M1786" i="1"/>
  <c r="L1786" i="1"/>
  <c r="J1786" i="1"/>
  <c r="K1786" i="1" s="1"/>
  <c r="I1786" i="1"/>
  <c r="M1785" i="1"/>
  <c r="K1785" i="1"/>
  <c r="J1785" i="1"/>
  <c r="I1785" i="1"/>
  <c r="L1785" i="1" s="1"/>
  <c r="M1784" i="1"/>
  <c r="L1784" i="1"/>
  <c r="J1784" i="1"/>
  <c r="K1784" i="1" s="1"/>
  <c r="I1784" i="1"/>
  <c r="M1783" i="1"/>
  <c r="K1783" i="1"/>
  <c r="J1783" i="1"/>
  <c r="I1783" i="1"/>
  <c r="L1783" i="1" s="1"/>
  <c r="M1782" i="1"/>
  <c r="L1782" i="1"/>
  <c r="J1782" i="1"/>
  <c r="K1782" i="1" s="1"/>
  <c r="I1782" i="1"/>
  <c r="M1781" i="1"/>
  <c r="K1781" i="1"/>
  <c r="J1781" i="1"/>
  <c r="I1781" i="1"/>
  <c r="L1781" i="1" s="1"/>
  <c r="M1780" i="1"/>
  <c r="L1780" i="1"/>
  <c r="J1780" i="1"/>
  <c r="K1780" i="1" s="1"/>
  <c r="I1780" i="1"/>
  <c r="M1779" i="1"/>
  <c r="K1779" i="1"/>
  <c r="J1779" i="1"/>
  <c r="I1779" i="1"/>
  <c r="L1779" i="1" s="1"/>
  <c r="M1778" i="1"/>
  <c r="L1778" i="1"/>
  <c r="J1778" i="1"/>
  <c r="K1778" i="1" s="1"/>
  <c r="I1778" i="1"/>
  <c r="M1777" i="1"/>
  <c r="K1777" i="1"/>
  <c r="J1777" i="1"/>
  <c r="I1777" i="1"/>
  <c r="L1777" i="1" s="1"/>
  <c r="M1776" i="1"/>
  <c r="L1776" i="1"/>
  <c r="J1776" i="1"/>
  <c r="K1776" i="1" s="1"/>
  <c r="I1776" i="1"/>
  <c r="M1775" i="1"/>
  <c r="K1775" i="1"/>
  <c r="J1775" i="1"/>
  <c r="I1775" i="1"/>
  <c r="L1775" i="1" s="1"/>
  <c r="M1774" i="1"/>
  <c r="L1774" i="1"/>
  <c r="J1774" i="1"/>
  <c r="K1774" i="1" s="1"/>
  <c r="I1774" i="1"/>
  <c r="M1773" i="1"/>
  <c r="K1773" i="1"/>
  <c r="J1773" i="1"/>
  <c r="I1773" i="1"/>
  <c r="L1773" i="1" s="1"/>
  <c r="M1772" i="1"/>
  <c r="L1772" i="1"/>
  <c r="J1772" i="1"/>
  <c r="K1772" i="1" s="1"/>
  <c r="I1772" i="1"/>
  <c r="M1771" i="1"/>
  <c r="K1771" i="1"/>
  <c r="J1771" i="1"/>
  <c r="I1771" i="1"/>
  <c r="L1771" i="1" s="1"/>
  <c r="M1770" i="1"/>
  <c r="L1770" i="1"/>
  <c r="J1770" i="1"/>
  <c r="K1770" i="1" s="1"/>
  <c r="I1770" i="1"/>
  <c r="M1769" i="1"/>
  <c r="K1769" i="1"/>
  <c r="J1769" i="1"/>
  <c r="I1769" i="1"/>
  <c r="L1769" i="1" s="1"/>
  <c r="M1768" i="1"/>
  <c r="L1768" i="1"/>
  <c r="J1768" i="1"/>
  <c r="K1768" i="1" s="1"/>
  <c r="I1768" i="1"/>
  <c r="M1767" i="1"/>
  <c r="K1767" i="1"/>
  <c r="J1767" i="1"/>
  <c r="I1767" i="1"/>
  <c r="L1767" i="1" s="1"/>
  <c r="M1766" i="1"/>
  <c r="L1766" i="1"/>
  <c r="J1766" i="1"/>
  <c r="K1766" i="1" s="1"/>
  <c r="I1766" i="1"/>
  <c r="M1765" i="1"/>
  <c r="K1765" i="1"/>
  <c r="J1765" i="1"/>
  <c r="I1765" i="1"/>
  <c r="L1765" i="1" s="1"/>
  <c r="M1764" i="1"/>
  <c r="L1764" i="1"/>
  <c r="J1764" i="1"/>
  <c r="K1764" i="1" s="1"/>
  <c r="I1764" i="1"/>
  <c r="M1763" i="1"/>
  <c r="K1763" i="1"/>
  <c r="J1763" i="1"/>
  <c r="I1763" i="1"/>
  <c r="L1763" i="1" s="1"/>
  <c r="M1762" i="1"/>
  <c r="L1762" i="1"/>
  <c r="J1762" i="1"/>
  <c r="K1762" i="1" s="1"/>
  <c r="I1762" i="1"/>
  <c r="M1761" i="1"/>
  <c r="K1761" i="1"/>
  <c r="J1761" i="1"/>
  <c r="I1761" i="1"/>
  <c r="L1761" i="1" s="1"/>
  <c r="M1760" i="1"/>
  <c r="L1760" i="1"/>
  <c r="J1760" i="1"/>
  <c r="K1760" i="1" s="1"/>
  <c r="I1760" i="1"/>
  <c r="M1759" i="1"/>
  <c r="K1759" i="1"/>
  <c r="J1759" i="1"/>
  <c r="I1759" i="1"/>
  <c r="L1759" i="1" s="1"/>
  <c r="M1758" i="1"/>
  <c r="L1758" i="1"/>
  <c r="J1758" i="1"/>
  <c r="K1758" i="1" s="1"/>
  <c r="I1758" i="1"/>
  <c r="M1757" i="1"/>
  <c r="K1757" i="1"/>
  <c r="J1757" i="1"/>
  <c r="I1757" i="1"/>
  <c r="L1757" i="1" s="1"/>
  <c r="M1756" i="1"/>
  <c r="L1756" i="1"/>
  <c r="J1756" i="1"/>
  <c r="K1756" i="1" s="1"/>
  <c r="I1756" i="1"/>
  <c r="M1755" i="1"/>
  <c r="K1755" i="1"/>
  <c r="J1755" i="1"/>
  <c r="I1755" i="1"/>
  <c r="L1755" i="1" s="1"/>
  <c r="M1754" i="1"/>
  <c r="L1754" i="1"/>
  <c r="J1754" i="1"/>
  <c r="K1754" i="1" s="1"/>
  <c r="I1754" i="1"/>
  <c r="M1753" i="1"/>
  <c r="K1753" i="1"/>
  <c r="J1753" i="1"/>
  <c r="I1753" i="1"/>
  <c r="L1753" i="1" s="1"/>
  <c r="M1752" i="1"/>
  <c r="L1752" i="1"/>
  <c r="J1752" i="1"/>
  <c r="K1752" i="1" s="1"/>
  <c r="I1752" i="1"/>
  <c r="M1751" i="1"/>
  <c r="K1751" i="1"/>
  <c r="J1751" i="1"/>
  <c r="I1751" i="1"/>
  <c r="L1751" i="1" s="1"/>
  <c r="M1750" i="1"/>
  <c r="L1750" i="1"/>
  <c r="J1750" i="1"/>
  <c r="K1750" i="1" s="1"/>
  <c r="I1750" i="1"/>
  <c r="M1749" i="1"/>
  <c r="K1749" i="1"/>
  <c r="J1749" i="1"/>
  <c r="I1749" i="1"/>
  <c r="L1749" i="1" s="1"/>
  <c r="M1748" i="1"/>
  <c r="L1748" i="1"/>
  <c r="J1748" i="1"/>
  <c r="K1748" i="1" s="1"/>
  <c r="I1748" i="1"/>
  <c r="M1747" i="1"/>
  <c r="K1747" i="1"/>
  <c r="J1747" i="1"/>
  <c r="I1747" i="1"/>
  <c r="L1747" i="1" s="1"/>
  <c r="M1746" i="1"/>
  <c r="L1746" i="1"/>
  <c r="J1746" i="1"/>
  <c r="K1746" i="1" s="1"/>
  <c r="I1746" i="1"/>
  <c r="M1745" i="1"/>
  <c r="K1745" i="1"/>
  <c r="J1745" i="1"/>
  <c r="I1745" i="1"/>
  <c r="L1745" i="1" s="1"/>
  <c r="M1744" i="1"/>
  <c r="L1744" i="1"/>
  <c r="J1744" i="1"/>
  <c r="K1744" i="1" s="1"/>
  <c r="I1744" i="1"/>
  <c r="M1743" i="1"/>
  <c r="L1743" i="1"/>
  <c r="K1743" i="1"/>
  <c r="J1743" i="1"/>
  <c r="I1743" i="1"/>
  <c r="M1742" i="1"/>
  <c r="L1742" i="1"/>
  <c r="J1742" i="1"/>
  <c r="K1742" i="1" s="1"/>
  <c r="I1742" i="1"/>
  <c r="M1741" i="1"/>
  <c r="K1741" i="1"/>
  <c r="J1741" i="1"/>
  <c r="I1741" i="1"/>
  <c r="L1741" i="1" s="1"/>
  <c r="M1740" i="1"/>
  <c r="L1740" i="1"/>
  <c r="J1740" i="1"/>
  <c r="K1740" i="1" s="1"/>
  <c r="I1740" i="1"/>
  <c r="M1739" i="1"/>
  <c r="K1739" i="1"/>
  <c r="J1739" i="1"/>
  <c r="I1739" i="1"/>
  <c r="L1739" i="1" s="1"/>
  <c r="M1738" i="1"/>
  <c r="J1738" i="1"/>
  <c r="K1738" i="1" s="1"/>
  <c r="I1738" i="1"/>
  <c r="L1738" i="1" s="1"/>
  <c r="M1737" i="1"/>
  <c r="J1737" i="1"/>
  <c r="K1737" i="1" s="1"/>
  <c r="I1737" i="1"/>
  <c r="L1737" i="1" s="1"/>
  <c r="M1736" i="1"/>
  <c r="L1736" i="1"/>
  <c r="J1736" i="1"/>
  <c r="K1736" i="1" s="1"/>
  <c r="I1736" i="1"/>
  <c r="M1735" i="1"/>
  <c r="L1735" i="1"/>
  <c r="K1735" i="1"/>
  <c r="J1735" i="1"/>
  <c r="I1735" i="1"/>
  <c r="M1734" i="1"/>
  <c r="L1734" i="1"/>
  <c r="J1734" i="1"/>
  <c r="K1734" i="1" s="1"/>
  <c r="I1734" i="1"/>
  <c r="M1733" i="1"/>
  <c r="K1733" i="1"/>
  <c r="J1733" i="1"/>
  <c r="I1733" i="1"/>
  <c r="L1733" i="1" s="1"/>
  <c r="M1732" i="1"/>
  <c r="L1732" i="1"/>
  <c r="J1732" i="1"/>
  <c r="K1732" i="1" s="1"/>
  <c r="I1732" i="1"/>
  <c r="M1731" i="1"/>
  <c r="K1731" i="1"/>
  <c r="J1731" i="1"/>
  <c r="I1731" i="1"/>
  <c r="L1731" i="1" s="1"/>
  <c r="M1730" i="1"/>
  <c r="J1730" i="1"/>
  <c r="K1730" i="1" s="1"/>
  <c r="I1730" i="1"/>
  <c r="L1730" i="1" s="1"/>
  <c r="M1729" i="1"/>
  <c r="J1729" i="1"/>
  <c r="K1729" i="1" s="1"/>
  <c r="I1729" i="1"/>
  <c r="L1729" i="1" s="1"/>
  <c r="M1728" i="1"/>
  <c r="L1728" i="1"/>
  <c r="J1728" i="1"/>
  <c r="K1728" i="1" s="1"/>
  <c r="I1728" i="1"/>
  <c r="M1727" i="1"/>
  <c r="L1727" i="1"/>
  <c r="K1727" i="1"/>
  <c r="J1727" i="1"/>
  <c r="I1727" i="1"/>
  <c r="M1726" i="1"/>
  <c r="L1726" i="1"/>
  <c r="J1726" i="1"/>
  <c r="K1726" i="1" s="1"/>
  <c r="I1726" i="1"/>
  <c r="M1725" i="1"/>
  <c r="K1725" i="1"/>
  <c r="J1725" i="1"/>
  <c r="I1725" i="1"/>
  <c r="L1725" i="1" s="1"/>
  <c r="M1724" i="1"/>
  <c r="L1724" i="1"/>
  <c r="J1724" i="1"/>
  <c r="K1724" i="1" s="1"/>
  <c r="I1724" i="1"/>
  <c r="M1723" i="1"/>
  <c r="K1723" i="1"/>
  <c r="J1723" i="1"/>
  <c r="I1723" i="1"/>
  <c r="L1723" i="1" s="1"/>
  <c r="M1722" i="1"/>
  <c r="J1722" i="1"/>
  <c r="K1722" i="1" s="1"/>
  <c r="I1722" i="1"/>
  <c r="L1722" i="1" s="1"/>
  <c r="M1721" i="1"/>
  <c r="J1721" i="1"/>
  <c r="K1721" i="1" s="1"/>
  <c r="I1721" i="1"/>
  <c r="L1721" i="1" s="1"/>
  <c r="M1720" i="1"/>
  <c r="L1720" i="1"/>
  <c r="J1720" i="1"/>
  <c r="K1720" i="1" s="1"/>
  <c r="I1720" i="1"/>
  <c r="M1719" i="1"/>
  <c r="L1719" i="1"/>
  <c r="K1719" i="1"/>
  <c r="J1719" i="1"/>
  <c r="I1719" i="1"/>
  <c r="M1718" i="1"/>
  <c r="L1718" i="1"/>
  <c r="J1718" i="1"/>
  <c r="K1718" i="1" s="1"/>
  <c r="I1718" i="1"/>
  <c r="M1717" i="1"/>
  <c r="L1717" i="1"/>
  <c r="J1717" i="1"/>
  <c r="K1717" i="1" s="1"/>
  <c r="I1717" i="1"/>
  <c r="M1716" i="1"/>
  <c r="J1716" i="1"/>
  <c r="K1716" i="1" s="1"/>
  <c r="I1716" i="1"/>
  <c r="L1716" i="1" s="1"/>
  <c r="M1715" i="1"/>
  <c r="L1715" i="1"/>
  <c r="J1715" i="1"/>
  <c r="K1715" i="1" s="1"/>
  <c r="I1715" i="1"/>
  <c r="M1714" i="1"/>
  <c r="L1714" i="1"/>
  <c r="K1714" i="1"/>
  <c r="J1714" i="1"/>
  <c r="I1714" i="1"/>
  <c r="M1713" i="1"/>
  <c r="L1713" i="1"/>
  <c r="J1713" i="1"/>
  <c r="K1713" i="1" s="1"/>
  <c r="I1713" i="1"/>
  <c r="M1712" i="1"/>
  <c r="J1712" i="1"/>
  <c r="K1712" i="1" s="1"/>
  <c r="I1712" i="1"/>
  <c r="L1712" i="1" s="1"/>
  <c r="M1711" i="1"/>
  <c r="L1711" i="1"/>
  <c r="J1711" i="1"/>
  <c r="K1711" i="1" s="1"/>
  <c r="I1711" i="1"/>
  <c r="M1710" i="1"/>
  <c r="L1710" i="1"/>
  <c r="K1710" i="1"/>
  <c r="J1710" i="1"/>
  <c r="I1710" i="1"/>
  <c r="M1709" i="1"/>
  <c r="L1709" i="1"/>
  <c r="J1709" i="1"/>
  <c r="K1709" i="1" s="1"/>
  <c r="I1709" i="1"/>
  <c r="M1708" i="1"/>
  <c r="J1708" i="1"/>
  <c r="K1708" i="1" s="1"/>
  <c r="I1708" i="1"/>
  <c r="L1708" i="1" s="1"/>
  <c r="M1707" i="1"/>
  <c r="L1707" i="1"/>
  <c r="J1707" i="1"/>
  <c r="K1707" i="1" s="1"/>
  <c r="I1707" i="1"/>
  <c r="M1706" i="1"/>
  <c r="L1706" i="1"/>
  <c r="K1706" i="1"/>
  <c r="J1706" i="1"/>
  <c r="I1706" i="1"/>
  <c r="M1705" i="1"/>
  <c r="L1705" i="1"/>
  <c r="J1705" i="1"/>
  <c r="K1705" i="1" s="1"/>
  <c r="I1705" i="1"/>
  <c r="M1704" i="1"/>
  <c r="J1704" i="1"/>
  <c r="K1704" i="1" s="1"/>
  <c r="I1704" i="1"/>
  <c r="L1704" i="1" s="1"/>
  <c r="M1703" i="1"/>
  <c r="L1703" i="1"/>
  <c r="J1703" i="1"/>
  <c r="K1703" i="1" s="1"/>
  <c r="I1703" i="1"/>
  <c r="M1702" i="1"/>
  <c r="L1702" i="1"/>
  <c r="K1702" i="1"/>
  <c r="J1702" i="1"/>
  <c r="I1702" i="1"/>
  <c r="M1701" i="1"/>
  <c r="L1701" i="1"/>
  <c r="J1701" i="1"/>
  <c r="K1701" i="1" s="1"/>
  <c r="I1701" i="1"/>
  <c r="M1700" i="1"/>
  <c r="J1700" i="1"/>
  <c r="K1700" i="1" s="1"/>
  <c r="I1700" i="1"/>
  <c r="L1700" i="1" s="1"/>
  <c r="M1699" i="1"/>
  <c r="L1699" i="1"/>
  <c r="J1699" i="1"/>
  <c r="K1699" i="1" s="1"/>
  <c r="I1699" i="1"/>
  <c r="M1698" i="1"/>
  <c r="L1698" i="1"/>
  <c r="K1698" i="1"/>
  <c r="J1698" i="1"/>
  <c r="I1698" i="1"/>
  <c r="M1697" i="1"/>
  <c r="L1697" i="1"/>
  <c r="J1697" i="1"/>
  <c r="K1697" i="1" s="1"/>
  <c r="I1697" i="1"/>
  <c r="M1696" i="1"/>
  <c r="J1696" i="1"/>
  <c r="K1696" i="1" s="1"/>
  <c r="I1696" i="1"/>
  <c r="L1696" i="1" s="1"/>
  <c r="M1695" i="1"/>
  <c r="L1695" i="1"/>
  <c r="J1695" i="1"/>
  <c r="K1695" i="1" s="1"/>
  <c r="I1695" i="1"/>
  <c r="M1694" i="1"/>
  <c r="L1694" i="1"/>
  <c r="K1694" i="1"/>
  <c r="J1694" i="1"/>
  <c r="I1694" i="1"/>
  <c r="M1693" i="1"/>
  <c r="L1693" i="1"/>
  <c r="J1693" i="1"/>
  <c r="K1693" i="1" s="1"/>
  <c r="I1693" i="1"/>
  <c r="M1692" i="1"/>
  <c r="J1692" i="1"/>
  <c r="K1692" i="1" s="1"/>
  <c r="I1692" i="1"/>
  <c r="L1692" i="1" s="1"/>
  <c r="M1691" i="1"/>
  <c r="L1691" i="1"/>
  <c r="J1691" i="1"/>
  <c r="K1691" i="1" s="1"/>
  <c r="I1691" i="1"/>
  <c r="M1690" i="1"/>
  <c r="L1690" i="1"/>
  <c r="K1690" i="1"/>
  <c r="J1690" i="1"/>
  <c r="I1690" i="1"/>
  <c r="M1689" i="1"/>
  <c r="L1689" i="1"/>
  <c r="J1689" i="1"/>
  <c r="K1689" i="1" s="1"/>
  <c r="I1689" i="1"/>
  <c r="M1688" i="1"/>
  <c r="J1688" i="1"/>
  <c r="K1688" i="1" s="1"/>
  <c r="I1688" i="1"/>
  <c r="L1688" i="1" s="1"/>
  <c r="M1687" i="1"/>
  <c r="L1687" i="1"/>
  <c r="J1687" i="1"/>
  <c r="K1687" i="1" s="1"/>
  <c r="I1687" i="1"/>
  <c r="M1686" i="1"/>
  <c r="L1686" i="1"/>
  <c r="K1686" i="1"/>
  <c r="J1686" i="1"/>
  <c r="I1686" i="1"/>
  <c r="M1685" i="1"/>
  <c r="L1685" i="1"/>
  <c r="J1685" i="1"/>
  <c r="K1685" i="1" s="1"/>
  <c r="I1685" i="1"/>
  <c r="M1684" i="1"/>
  <c r="J1684" i="1"/>
  <c r="K1684" i="1" s="1"/>
  <c r="I1684" i="1"/>
  <c r="L1684" i="1" s="1"/>
  <c r="M1683" i="1"/>
  <c r="L1683" i="1"/>
  <c r="J1683" i="1"/>
  <c r="K1683" i="1" s="1"/>
  <c r="I1683" i="1"/>
  <c r="M1682" i="1"/>
  <c r="L1682" i="1"/>
  <c r="K1682" i="1"/>
  <c r="J1682" i="1"/>
  <c r="I1682" i="1"/>
  <c r="M1681" i="1"/>
  <c r="L1681" i="1"/>
  <c r="J1681" i="1"/>
  <c r="K1681" i="1" s="1"/>
  <c r="I1681" i="1"/>
  <c r="M1680" i="1"/>
  <c r="J1680" i="1"/>
  <c r="K1680" i="1" s="1"/>
  <c r="I1680" i="1"/>
  <c r="L1680" i="1" s="1"/>
  <c r="M1679" i="1"/>
  <c r="L1679" i="1"/>
  <c r="J1679" i="1"/>
  <c r="K1679" i="1" s="1"/>
  <c r="I1679" i="1"/>
  <c r="M1678" i="1"/>
  <c r="L1678" i="1"/>
  <c r="K1678" i="1"/>
  <c r="J1678" i="1"/>
  <c r="I1678" i="1"/>
  <c r="M1677" i="1"/>
  <c r="L1677" i="1"/>
  <c r="J1677" i="1"/>
  <c r="K1677" i="1" s="1"/>
  <c r="I1677" i="1"/>
  <c r="M1676" i="1"/>
  <c r="J1676" i="1"/>
  <c r="K1676" i="1" s="1"/>
  <c r="I1676" i="1"/>
  <c r="L1676" i="1" s="1"/>
  <c r="M1675" i="1"/>
  <c r="L1675" i="1"/>
  <c r="J1675" i="1"/>
  <c r="K1675" i="1" s="1"/>
  <c r="I1675" i="1"/>
  <c r="M1674" i="1"/>
  <c r="L1674" i="1"/>
  <c r="K1674" i="1"/>
  <c r="J1674" i="1"/>
  <c r="I1674" i="1"/>
  <c r="M1673" i="1"/>
  <c r="L1673" i="1"/>
  <c r="J1673" i="1"/>
  <c r="K1673" i="1" s="1"/>
  <c r="I1673" i="1"/>
  <c r="M1672" i="1"/>
  <c r="J1672" i="1"/>
  <c r="K1672" i="1" s="1"/>
  <c r="I1672" i="1"/>
  <c r="L1672" i="1" s="1"/>
  <c r="M1671" i="1"/>
  <c r="L1671" i="1"/>
  <c r="J1671" i="1"/>
  <c r="K1671" i="1" s="1"/>
  <c r="I1671" i="1"/>
  <c r="M1670" i="1"/>
  <c r="L1670" i="1"/>
  <c r="K1670" i="1"/>
  <c r="J1670" i="1"/>
  <c r="I1670" i="1"/>
  <c r="M1669" i="1"/>
  <c r="L1669" i="1"/>
  <c r="J1669" i="1"/>
  <c r="K1669" i="1" s="1"/>
  <c r="I1669" i="1"/>
  <c r="M1668" i="1"/>
  <c r="J1668" i="1"/>
  <c r="K1668" i="1" s="1"/>
  <c r="I1668" i="1"/>
  <c r="L1668" i="1" s="1"/>
  <c r="M1667" i="1"/>
  <c r="L1667" i="1"/>
  <c r="J1667" i="1"/>
  <c r="K1667" i="1" s="1"/>
  <c r="I1667" i="1"/>
  <c r="M1666" i="1"/>
  <c r="L1666" i="1"/>
  <c r="K1666" i="1"/>
  <c r="J1666" i="1"/>
  <c r="I1666" i="1"/>
  <c r="M1665" i="1"/>
  <c r="L1665" i="1"/>
  <c r="J1665" i="1"/>
  <c r="K1665" i="1" s="1"/>
  <c r="I1665" i="1"/>
  <c r="M1664" i="1"/>
  <c r="J1664" i="1"/>
  <c r="K1664" i="1" s="1"/>
  <c r="I1664" i="1"/>
  <c r="L1664" i="1" s="1"/>
  <c r="M1663" i="1"/>
  <c r="L1663" i="1"/>
  <c r="J1663" i="1"/>
  <c r="K1663" i="1" s="1"/>
  <c r="I1663" i="1"/>
  <c r="M1662" i="1"/>
  <c r="L1662" i="1"/>
  <c r="K1662" i="1"/>
  <c r="J1662" i="1"/>
  <c r="I1662" i="1"/>
  <c r="M1661" i="1"/>
  <c r="L1661" i="1"/>
  <c r="J1661" i="1"/>
  <c r="K1661" i="1" s="1"/>
  <c r="I1661" i="1"/>
  <c r="M1660" i="1"/>
  <c r="J1660" i="1"/>
  <c r="K1660" i="1" s="1"/>
  <c r="I1660" i="1"/>
  <c r="L1660" i="1" s="1"/>
  <c r="M1659" i="1"/>
  <c r="L1659" i="1"/>
  <c r="J1659" i="1"/>
  <c r="K1659" i="1" s="1"/>
  <c r="I1659" i="1"/>
  <c r="M1658" i="1"/>
  <c r="L1658" i="1"/>
  <c r="K1658" i="1"/>
  <c r="J1658" i="1"/>
  <c r="I1658" i="1"/>
  <c r="M1657" i="1"/>
  <c r="L1657" i="1"/>
  <c r="J1657" i="1"/>
  <c r="K1657" i="1" s="1"/>
  <c r="I1657" i="1"/>
  <c r="M1656" i="1"/>
  <c r="J1656" i="1"/>
  <c r="K1656" i="1" s="1"/>
  <c r="I1656" i="1"/>
  <c r="L1656" i="1" s="1"/>
  <c r="M1655" i="1"/>
  <c r="L1655" i="1"/>
  <c r="J1655" i="1"/>
  <c r="K1655" i="1" s="1"/>
  <c r="I1655" i="1"/>
  <c r="M1654" i="1"/>
  <c r="L1654" i="1"/>
  <c r="K1654" i="1"/>
  <c r="J1654" i="1"/>
  <c r="I1654" i="1"/>
  <c r="M1653" i="1"/>
  <c r="L1653" i="1"/>
  <c r="J1653" i="1"/>
  <c r="K1653" i="1" s="1"/>
  <c r="I1653" i="1"/>
  <c r="M1652" i="1"/>
  <c r="J1652" i="1"/>
  <c r="K1652" i="1" s="1"/>
  <c r="I1652" i="1"/>
  <c r="L1652" i="1" s="1"/>
  <c r="M1651" i="1"/>
  <c r="L1651" i="1"/>
  <c r="J1651" i="1"/>
  <c r="K1651" i="1" s="1"/>
  <c r="I1651" i="1"/>
  <c r="M1650" i="1"/>
  <c r="L1650" i="1"/>
  <c r="K1650" i="1"/>
  <c r="J1650" i="1"/>
  <c r="I1650" i="1"/>
  <c r="M1649" i="1"/>
  <c r="L1649" i="1"/>
  <c r="J1649" i="1"/>
  <c r="K1649" i="1" s="1"/>
  <c r="I1649" i="1"/>
  <c r="M1648" i="1"/>
  <c r="J1648" i="1"/>
  <c r="K1648" i="1" s="1"/>
  <c r="I1648" i="1"/>
  <c r="L1648" i="1" s="1"/>
  <c r="M1647" i="1"/>
  <c r="L1647" i="1"/>
  <c r="J1647" i="1"/>
  <c r="K1647" i="1" s="1"/>
  <c r="I1647" i="1"/>
  <c r="M1646" i="1"/>
  <c r="L1646" i="1"/>
  <c r="K1646" i="1"/>
  <c r="J1646" i="1"/>
  <c r="I1646" i="1"/>
  <c r="M1645" i="1"/>
  <c r="L1645" i="1"/>
  <c r="J1645" i="1"/>
  <c r="K1645" i="1" s="1"/>
  <c r="I1645" i="1"/>
  <c r="M1644" i="1"/>
  <c r="J1644" i="1"/>
  <c r="K1644" i="1" s="1"/>
  <c r="I1644" i="1"/>
  <c r="L1644" i="1" s="1"/>
  <c r="M1643" i="1"/>
  <c r="L1643" i="1"/>
  <c r="J1643" i="1"/>
  <c r="K1643" i="1" s="1"/>
  <c r="I1643" i="1"/>
  <c r="M1642" i="1"/>
  <c r="L1642" i="1"/>
  <c r="K1642" i="1"/>
  <c r="J1642" i="1"/>
  <c r="I1642" i="1"/>
  <c r="M1641" i="1"/>
  <c r="L1641" i="1"/>
  <c r="J1641" i="1"/>
  <c r="K1641" i="1" s="1"/>
  <c r="I1641" i="1"/>
  <c r="M1640" i="1"/>
  <c r="J1640" i="1"/>
  <c r="K1640" i="1" s="1"/>
  <c r="I1640" i="1"/>
  <c r="L1640" i="1" s="1"/>
  <c r="M1639" i="1"/>
  <c r="L1639" i="1"/>
  <c r="J1639" i="1"/>
  <c r="K1639" i="1" s="1"/>
  <c r="I1639" i="1"/>
  <c r="M1638" i="1"/>
  <c r="L1638" i="1"/>
  <c r="K1638" i="1"/>
  <c r="J1638" i="1"/>
  <c r="I1638" i="1"/>
  <c r="M1637" i="1"/>
  <c r="L1637" i="1"/>
  <c r="J1637" i="1"/>
  <c r="K1637" i="1" s="1"/>
  <c r="I1637" i="1"/>
  <c r="M1636" i="1"/>
  <c r="J1636" i="1"/>
  <c r="K1636" i="1" s="1"/>
  <c r="I1636" i="1"/>
  <c r="L1636" i="1" s="1"/>
  <c r="M1635" i="1"/>
  <c r="L1635" i="1"/>
  <c r="J1635" i="1"/>
  <c r="K1635" i="1" s="1"/>
  <c r="I1635" i="1"/>
  <c r="M1634" i="1"/>
  <c r="L1634" i="1"/>
  <c r="K1634" i="1"/>
  <c r="J1634" i="1"/>
  <c r="I1634" i="1"/>
  <c r="M1633" i="1"/>
  <c r="L1633" i="1"/>
  <c r="J1633" i="1"/>
  <c r="K1633" i="1" s="1"/>
  <c r="I1633" i="1"/>
  <c r="M1632" i="1"/>
  <c r="J1632" i="1"/>
  <c r="K1632" i="1" s="1"/>
  <c r="I1632" i="1"/>
  <c r="L1632" i="1" s="1"/>
  <c r="M1631" i="1"/>
  <c r="L1631" i="1"/>
  <c r="J1631" i="1"/>
  <c r="K1631" i="1" s="1"/>
  <c r="I1631" i="1"/>
  <c r="M1630" i="1"/>
  <c r="L1630" i="1"/>
  <c r="K1630" i="1"/>
  <c r="J1630" i="1"/>
  <c r="I1630" i="1"/>
  <c r="M1629" i="1"/>
  <c r="L1629" i="1"/>
  <c r="J1629" i="1"/>
  <c r="K1629" i="1" s="1"/>
  <c r="I1629" i="1"/>
  <c r="M1628" i="1"/>
  <c r="J1628" i="1"/>
  <c r="K1628" i="1" s="1"/>
  <c r="I1628" i="1"/>
  <c r="L1628" i="1" s="1"/>
  <c r="M1627" i="1"/>
  <c r="L1627" i="1"/>
  <c r="J1627" i="1"/>
  <c r="K1627" i="1" s="1"/>
  <c r="I1627" i="1"/>
  <c r="M1626" i="1"/>
  <c r="L1626" i="1"/>
  <c r="K1626" i="1"/>
  <c r="J1626" i="1"/>
  <c r="I1626" i="1"/>
  <c r="M1625" i="1"/>
  <c r="L1625" i="1"/>
  <c r="J1625" i="1"/>
  <c r="K1625" i="1" s="1"/>
  <c r="I1625" i="1"/>
  <c r="M1624" i="1"/>
  <c r="J1624" i="1"/>
  <c r="K1624" i="1" s="1"/>
  <c r="I1624" i="1"/>
  <c r="L1624" i="1" s="1"/>
  <c r="M1623" i="1"/>
  <c r="L1623" i="1"/>
  <c r="J1623" i="1"/>
  <c r="K1623" i="1" s="1"/>
  <c r="I1623" i="1"/>
  <c r="M1622" i="1"/>
  <c r="L1622" i="1"/>
  <c r="K1622" i="1"/>
  <c r="J1622" i="1"/>
  <c r="I1622" i="1"/>
  <c r="M1621" i="1"/>
  <c r="L1621" i="1"/>
  <c r="J1621" i="1"/>
  <c r="K1621" i="1" s="1"/>
  <c r="I1621" i="1"/>
  <c r="M1620" i="1"/>
  <c r="J1620" i="1"/>
  <c r="K1620" i="1" s="1"/>
  <c r="I1620" i="1"/>
  <c r="L1620" i="1" s="1"/>
  <c r="M1619" i="1"/>
  <c r="L1619" i="1"/>
  <c r="J1619" i="1"/>
  <c r="K1619" i="1" s="1"/>
  <c r="I1619" i="1"/>
  <c r="M1618" i="1"/>
  <c r="L1618" i="1"/>
  <c r="K1618" i="1"/>
  <c r="J1618" i="1"/>
  <c r="I1618" i="1"/>
  <c r="M1617" i="1"/>
  <c r="L1617" i="1"/>
  <c r="J1617" i="1"/>
  <c r="K1617" i="1" s="1"/>
  <c r="I1617" i="1"/>
  <c r="M1616" i="1"/>
  <c r="J1616" i="1"/>
  <c r="K1616" i="1" s="1"/>
  <c r="I1616" i="1"/>
  <c r="L1616" i="1" s="1"/>
  <c r="M1615" i="1"/>
  <c r="L1615" i="1"/>
  <c r="J1615" i="1"/>
  <c r="K1615" i="1" s="1"/>
  <c r="I1615" i="1"/>
  <c r="M1614" i="1"/>
  <c r="L1614" i="1"/>
  <c r="K1614" i="1"/>
  <c r="J1614" i="1"/>
  <c r="I1614" i="1"/>
  <c r="M1613" i="1"/>
  <c r="L1613" i="1"/>
  <c r="J1613" i="1"/>
  <c r="K1613" i="1" s="1"/>
  <c r="I1613" i="1"/>
  <c r="M1612" i="1"/>
  <c r="J1612" i="1"/>
  <c r="K1612" i="1" s="1"/>
  <c r="I1612" i="1"/>
  <c r="L1612" i="1" s="1"/>
  <c r="M1611" i="1"/>
  <c r="L1611" i="1"/>
  <c r="J1611" i="1"/>
  <c r="K1611" i="1" s="1"/>
  <c r="I1611" i="1"/>
  <c r="M1610" i="1"/>
  <c r="L1610" i="1"/>
  <c r="K1610" i="1"/>
  <c r="J1610" i="1"/>
  <c r="I1610" i="1"/>
  <c r="M1609" i="1"/>
  <c r="L1609" i="1"/>
  <c r="J1609" i="1"/>
  <c r="K1609" i="1" s="1"/>
  <c r="I1609" i="1"/>
  <c r="M1608" i="1"/>
  <c r="J1608" i="1"/>
  <c r="K1608" i="1" s="1"/>
  <c r="I1608" i="1"/>
  <c r="L1608" i="1" s="1"/>
  <c r="M1607" i="1"/>
  <c r="L1607" i="1"/>
  <c r="J1607" i="1"/>
  <c r="K1607" i="1" s="1"/>
  <c r="I1607" i="1"/>
  <c r="M1606" i="1"/>
  <c r="L1606" i="1"/>
  <c r="K1606" i="1"/>
  <c r="J1606" i="1"/>
  <c r="I1606" i="1"/>
  <c r="M1605" i="1"/>
  <c r="L1605" i="1"/>
  <c r="J1605" i="1"/>
  <c r="K1605" i="1" s="1"/>
  <c r="I1605" i="1"/>
  <c r="M1604" i="1"/>
  <c r="J1604" i="1"/>
  <c r="K1604" i="1" s="1"/>
  <c r="I1604" i="1"/>
  <c r="L1604" i="1" s="1"/>
  <c r="M1603" i="1"/>
  <c r="L1603" i="1"/>
  <c r="J1603" i="1"/>
  <c r="K1603" i="1" s="1"/>
  <c r="I1603" i="1"/>
  <c r="M1602" i="1"/>
  <c r="L1602" i="1"/>
  <c r="K1602" i="1"/>
  <c r="J1602" i="1"/>
  <c r="I1602" i="1"/>
  <c r="M1601" i="1"/>
  <c r="L1601" i="1"/>
  <c r="J1601" i="1"/>
  <c r="K1601" i="1" s="1"/>
  <c r="I1601" i="1"/>
  <c r="M1600" i="1"/>
  <c r="J1600" i="1"/>
  <c r="K1600" i="1" s="1"/>
  <c r="I1600" i="1"/>
  <c r="L1600" i="1" s="1"/>
  <c r="M1599" i="1"/>
  <c r="L1599" i="1"/>
  <c r="J1599" i="1"/>
  <c r="K1599" i="1" s="1"/>
  <c r="I1599" i="1"/>
  <c r="M1598" i="1"/>
  <c r="L1598" i="1"/>
  <c r="K1598" i="1"/>
  <c r="J1598" i="1"/>
  <c r="I1598" i="1"/>
  <c r="M1597" i="1"/>
  <c r="L1597" i="1"/>
  <c r="J1597" i="1"/>
  <c r="K1597" i="1" s="1"/>
  <c r="I1597" i="1"/>
  <c r="M1596" i="1"/>
  <c r="J1596" i="1"/>
  <c r="K1596" i="1" s="1"/>
  <c r="I1596" i="1"/>
  <c r="L1596" i="1" s="1"/>
  <c r="M1595" i="1"/>
  <c r="L1595" i="1"/>
  <c r="J1595" i="1"/>
  <c r="K1595" i="1" s="1"/>
  <c r="I1595" i="1"/>
  <c r="M1594" i="1"/>
  <c r="L1594" i="1"/>
  <c r="K1594" i="1"/>
  <c r="J1594" i="1"/>
  <c r="I1594" i="1"/>
  <c r="M1593" i="1"/>
  <c r="L1593" i="1"/>
  <c r="J1593" i="1"/>
  <c r="K1593" i="1" s="1"/>
  <c r="I1593" i="1"/>
  <c r="M1592" i="1"/>
  <c r="J1592" i="1"/>
  <c r="K1592" i="1" s="1"/>
  <c r="I1592" i="1"/>
  <c r="L1592" i="1" s="1"/>
  <c r="M1591" i="1"/>
  <c r="L1591" i="1"/>
  <c r="J1591" i="1"/>
  <c r="K1591" i="1" s="1"/>
  <c r="I1591" i="1"/>
  <c r="M1590" i="1"/>
  <c r="L1590" i="1"/>
  <c r="K1590" i="1"/>
  <c r="J1590" i="1"/>
  <c r="I1590" i="1"/>
  <c r="M1589" i="1"/>
  <c r="L1589" i="1"/>
  <c r="J1589" i="1"/>
  <c r="K1589" i="1" s="1"/>
  <c r="I1589" i="1"/>
  <c r="M1588" i="1"/>
  <c r="J1588" i="1"/>
  <c r="K1588" i="1" s="1"/>
  <c r="I1588" i="1"/>
  <c r="L1588" i="1" s="1"/>
  <c r="M1587" i="1"/>
  <c r="L1587" i="1"/>
  <c r="J1587" i="1"/>
  <c r="K1587" i="1" s="1"/>
  <c r="I1587" i="1"/>
  <c r="M1586" i="1"/>
  <c r="L1586" i="1"/>
  <c r="K1586" i="1"/>
  <c r="J1586" i="1"/>
  <c r="I1586" i="1"/>
  <c r="M1585" i="1"/>
  <c r="L1585" i="1"/>
  <c r="J1585" i="1"/>
  <c r="K1585" i="1" s="1"/>
  <c r="I1585" i="1"/>
  <c r="M1584" i="1"/>
  <c r="J1584" i="1"/>
  <c r="K1584" i="1" s="1"/>
  <c r="I1584" i="1"/>
  <c r="L1584" i="1" s="1"/>
  <c r="M1583" i="1"/>
  <c r="L1583" i="1"/>
  <c r="J1583" i="1"/>
  <c r="K1583" i="1" s="1"/>
  <c r="I1583" i="1"/>
  <c r="M1582" i="1"/>
  <c r="L1582" i="1"/>
  <c r="K1582" i="1"/>
  <c r="J1582" i="1"/>
  <c r="I1582" i="1"/>
  <c r="M1581" i="1"/>
  <c r="L1581" i="1"/>
  <c r="J1581" i="1"/>
  <c r="K1581" i="1" s="1"/>
  <c r="I1581" i="1"/>
  <c r="M1580" i="1"/>
  <c r="J1580" i="1"/>
  <c r="K1580" i="1" s="1"/>
  <c r="I1580" i="1"/>
  <c r="L1580" i="1" s="1"/>
  <c r="M1579" i="1"/>
  <c r="L1579" i="1"/>
  <c r="J1579" i="1"/>
  <c r="K1579" i="1" s="1"/>
  <c r="I1579" i="1"/>
  <c r="M1578" i="1"/>
  <c r="L1578" i="1"/>
  <c r="K1578" i="1"/>
  <c r="J1578" i="1"/>
  <c r="I1578" i="1"/>
  <c r="M1577" i="1"/>
  <c r="L1577" i="1"/>
  <c r="J1577" i="1"/>
  <c r="K1577" i="1" s="1"/>
  <c r="I1577" i="1"/>
  <c r="M1576" i="1"/>
  <c r="J1576" i="1"/>
  <c r="K1576" i="1" s="1"/>
  <c r="I1576" i="1"/>
  <c r="L1576" i="1" s="1"/>
  <c r="M1575" i="1"/>
  <c r="L1575" i="1"/>
  <c r="J1575" i="1"/>
  <c r="K1575" i="1" s="1"/>
  <c r="I1575" i="1"/>
  <c r="M1574" i="1"/>
  <c r="L1574" i="1"/>
  <c r="K1574" i="1"/>
  <c r="J1574" i="1"/>
  <c r="I1574" i="1"/>
  <c r="M1573" i="1"/>
  <c r="L1573" i="1"/>
  <c r="J1573" i="1"/>
  <c r="K1573" i="1" s="1"/>
  <c r="I1573" i="1"/>
  <c r="M1572" i="1"/>
  <c r="J1572" i="1"/>
  <c r="K1572" i="1" s="1"/>
  <c r="I1572" i="1"/>
  <c r="L1572" i="1" s="1"/>
  <c r="M1571" i="1"/>
  <c r="L1571" i="1"/>
  <c r="J1571" i="1"/>
  <c r="K1571" i="1" s="1"/>
  <c r="I1571" i="1"/>
  <c r="M1570" i="1"/>
  <c r="L1570" i="1"/>
  <c r="K1570" i="1"/>
  <c r="J1570" i="1"/>
  <c r="I1570" i="1"/>
  <c r="M1569" i="1"/>
  <c r="L1569" i="1"/>
  <c r="J1569" i="1"/>
  <c r="K1569" i="1" s="1"/>
  <c r="I1569" i="1"/>
  <c r="M1568" i="1"/>
  <c r="J1568" i="1"/>
  <c r="K1568" i="1" s="1"/>
  <c r="I1568" i="1"/>
  <c r="L1568" i="1" s="1"/>
  <c r="M1567" i="1"/>
  <c r="L1567" i="1"/>
  <c r="J1567" i="1"/>
  <c r="K1567" i="1" s="1"/>
  <c r="I1567" i="1"/>
  <c r="M1566" i="1"/>
  <c r="L1566" i="1"/>
  <c r="K1566" i="1"/>
  <c r="J1566" i="1"/>
  <c r="I1566" i="1"/>
  <c r="M1565" i="1"/>
  <c r="L1565" i="1"/>
  <c r="J1565" i="1"/>
  <c r="K1565" i="1" s="1"/>
  <c r="I1565" i="1"/>
  <c r="M1564" i="1"/>
  <c r="J1564" i="1"/>
  <c r="K1564" i="1" s="1"/>
  <c r="I1564" i="1"/>
  <c r="L1564" i="1" s="1"/>
  <c r="M1563" i="1"/>
  <c r="L1563" i="1"/>
  <c r="J1563" i="1"/>
  <c r="K1563" i="1" s="1"/>
  <c r="I1563" i="1"/>
  <c r="M1562" i="1"/>
  <c r="L1562" i="1"/>
  <c r="K1562" i="1"/>
  <c r="J1562" i="1"/>
  <c r="I1562" i="1"/>
  <c r="M1561" i="1"/>
  <c r="L1561" i="1"/>
  <c r="J1561" i="1"/>
  <c r="K1561" i="1" s="1"/>
  <c r="I1561" i="1"/>
  <c r="M1560" i="1"/>
  <c r="J1560" i="1"/>
  <c r="K1560" i="1" s="1"/>
  <c r="I1560" i="1"/>
  <c r="L1560" i="1" s="1"/>
  <c r="M1559" i="1"/>
  <c r="L1559" i="1"/>
  <c r="J1559" i="1"/>
  <c r="K1559" i="1" s="1"/>
  <c r="I1559" i="1"/>
  <c r="M1558" i="1"/>
  <c r="L1558" i="1"/>
  <c r="K1558" i="1"/>
  <c r="J1558" i="1"/>
  <c r="I1558" i="1"/>
  <c r="M1557" i="1"/>
  <c r="L1557" i="1"/>
  <c r="J1557" i="1"/>
  <c r="K1557" i="1" s="1"/>
  <c r="I1557" i="1"/>
  <c r="M1556" i="1"/>
  <c r="J1556" i="1"/>
  <c r="K1556" i="1" s="1"/>
  <c r="I1556" i="1"/>
  <c r="L1556" i="1" s="1"/>
  <c r="M1555" i="1"/>
  <c r="L1555" i="1"/>
  <c r="J1555" i="1"/>
  <c r="K1555" i="1" s="1"/>
  <c r="I1555" i="1"/>
  <c r="M1554" i="1"/>
  <c r="L1554" i="1"/>
  <c r="K1554" i="1"/>
  <c r="J1554" i="1"/>
  <c r="I1554" i="1"/>
  <c r="M1553" i="1"/>
  <c r="L1553" i="1"/>
  <c r="J1553" i="1"/>
  <c r="K1553" i="1" s="1"/>
  <c r="I1553" i="1"/>
  <c r="M1552" i="1"/>
  <c r="J1552" i="1"/>
  <c r="K1552" i="1" s="1"/>
  <c r="I1552" i="1"/>
  <c r="L1552" i="1" s="1"/>
  <c r="M1551" i="1"/>
  <c r="L1551" i="1"/>
  <c r="J1551" i="1"/>
  <c r="K1551" i="1" s="1"/>
  <c r="I1551" i="1"/>
  <c r="M1550" i="1"/>
  <c r="L1550" i="1"/>
  <c r="K1550" i="1"/>
  <c r="J1550" i="1"/>
  <c r="I1550" i="1"/>
  <c r="M1549" i="1"/>
  <c r="L1549" i="1"/>
  <c r="J1549" i="1"/>
  <c r="K1549" i="1" s="1"/>
  <c r="I1549" i="1"/>
  <c r="M1548" i="1"/>
  <c r="J1548" i="1"/>
  <c r="K1548" i="1" s="1"/>
  <c r="I1548" i="1"/>
  <c r="L1548" i="1" s="1"/>
  <c r="M1547" i="1"/>
  <c r="L1547" i="1"/>
  <c r="J1547" i="1"/>
  <c r="K1547" i="1" s="1"/>
  <c r="I1547" i="1"/>
  <c r="M1546" i="1"/>
  <c r="L1546" i="1"/>
  <c r="K1546" i="1"/>
  <c r="J1546" i="1"/>
  <c r="I1546" i="1"/>
  <c r="M1545" i="1"/>
  <c r="L1545" i="1"/>
  <c r="J1545" i="1"/>
  <c r="K1545" i="1" s="1"/>
  <c r="I1545" i="1"/>
  <c r="M1544" i="1"/>
  <c r="J1544" i="1"/>
  <c r="K1544" i="1" s="1"/>
  <c r="I1544" i="1"/>
  <c r="L1544" i="1" s="1"/>
  <c r="M1543" i="1"/>
  <c r="L1543" i="1"/>
  <c r="J1543" i="1"/>
  <c r="K1543" i="1" s="1"/>
  <c r="I1543" i="1"/>
  <c r="M1542" i="1"/>
  <c r="L1542" i="1"/>
  <c r="K1542" i="1"/>
  <c r="J1542" i="1"/>
  <c r="I1542" i="1"/>
  <c r="M1541" i="1"/>
  <c r="L1541" i="1"/>
  <c r="J1541" i="1"/>
  <c r="K1541" i="1" s="1"/>
  <c r="I1541" i="1"/>
  <c r="M1540" i="1"/>
  <c r="J1540" i="1"/>
  <c r="K1540" i="1" s="1"/>
  <c r="I1540" i="1"/>
  <c r="L1540" i="1" s="1"/>
  <c r="M1539" i="1"/>
  <c r="L1539" i="1"/>
  <c r="J1539" i="1"/>
  <c r="K1539" i="1" s="1"/>
  <c r="I1539" i="1"/>
  <c r="M1538" i="1"/>
  <c r="L1538" i="1"/>
  <c r="K1538" i="1"/>
  <c r="J1538" i="1"/>
  <c r="I1538" i="1"/>
  <c r="M1537" i="1"/>
  <c r="L1537" i="1"/>
  <c r="J1537" i="1"/>
  <c r="K1537" i="1" s="1"/>
  <c r="I1537" i="1"/>
  <c r="M1536" i="1"/>
  <c r="J1536" i="1"/>
  <c r="K1536" i="1" s="1"/>
  <c r="I1536" i="1"/>
  <c r="L1536" i="1" s="1"/>
  <c r="M1535" i="1"/>
  <c r="L1535" i="1"/>
  <c r="J1535" i="1"/>
  <c r="K1535" i="1" s="1"/>
  <c r="I1535" i="1"/>
  <c r="M1534" i="1"/>
  <c r="L1534" i="1"/>
  <c r="K1534" i="1"/>
  <c r="J1534" i="1"/>
  <c r="I1534" i="1"/>
  <c r="M1533" i="1"/>
  <c r="L1533" i="1"/>
  <c r="J1533" i="1"/>
  <c r="K1533" i="1" s="1"/>
  <c r="I1533" i="1"/>
  <c r="M1532" i="1"/>
  <c r="J1532" i="1"/>
  <c r="K1532" i="1" s="1"/>
  <c r="I1532" i="1"/>
  <c r="L1532" i="1" s="1"/>
  <c r="M1531" i="1"/>
  <c r="L1531" i="1"/>
  <c r="J1531" i="1"/>
  <c r="K1531" i="1" s="1"/>
  <c r="I1531" i="1"/>
  <c r="M1530" i="1"/>
  <c r="L1530" i="1"/>
  <c r="K1530" i="1"/>
  <c r="J1530" i="1"/>
  <c r="I1530" i="1"/>
  <c r="M1529" i="1"/>
  <c r="L1529" i="1"/>
  <c r="J1529" i="1"/>
  <c r="K1529" i="1" s="1"/>
  <c r="I1529" i="1"/>
  <c r="M1528" i="1"/>
  <c r="J1528" i="1"/>
  <c r="K1528" i="1" s="1"/>
  <c r="I1528" i="1"/>
  <c r="L1528" i="1" s="1"/>
  <c r="M1527" i="1"/>
  <c r="L1527" i="1"/>
  <c r="J1527" i="1"/>
  <c r="K1527" i="1" s="1"/>
  <c r="I1527" i="1"/>
  <c r="M1526" i="1"/>
  <c r="L1526" i="1"/>
  <c r="K1526" i="1"/>
  <c r="J1526" i="1"/>
  <c r="I1526" i="1"/>
  <c r="M1525" i="1"/>
  <c r="L1525" i="1"/>
  <c r="J1525" i="1"/>
  <c r="K1525" i="1" s="1"/>
  <c r="I1525" i="1"/>
  <c r="M1524" i="1"/>
  <c r="J1524" i="1"/>
  <c r="K1524" i="1" s="1"/>
  <c r="I1524" i="1"/>
  <c r="L1524" i="1" s="1"/>
  <c r="M1523" i="1"/>
  <c r="L1523" i="1"/>
  <c r="J1523" i="1"/>
  <c r="K1523" i="1" s="1"/>
  <c r="I1523" i="1"/>
  <c r="M1522" i="1"/>
  <c r="L1522" i="1"/>
  <c r="K1522" i="1"/>
  <c r="J1522" i="1"/>
  <c r="I1522" i="1"/>
  <c r="M1521" i="1"/>
  <c r="L1521" i="1"/>
  <c r="J1521" i="1"/>
  <c r="K1521" i="1" s="1"/>
  <c r="I1521" i="1"/>
  <c r="M1520" i="1"/>
  <c r="J1520" i="1"/>
  <c r="K1520" i="1" s="1"/>
  <c r="I1520" i="1"/>
  <c r="L1520" i="1" s="1"/>
  <c r="M1519" i="1"/>
  <c r="L1519" i="1"/>
  <c r="J1519" i="1"/>
  <c r="K1519" i="1" s="1"/>
  <c r="I1519" i="1"/>
  <c r="M1518" i="1"/>
  <c r="L1518" i="1"/>
  <c r="K1518" i="1"/>
  <c r="J1518" i="1"/>
  <c r="I1518" i="1"/>
  <c r="M1517" i="1"/>
  <c r="L1517" i="1"/>
  <c r="J1517" i="1"/>
  <c r="K1517" i="1" s="1"/>
  <c r="I1517" i="1"/>
  <c r="M1516" i="1"/>
  <c r="J1516" i="1"/>
  <c r="K1516" i="1" s="1"/>
  <c r="I1516" i="1"/>
  <c r="L1516" i="1" s="1"/>
  <c r="M1515" i="1"/>
  <c r="L1515" i="1"/>
  <c r="J1515" i="1"/>
  <c r="K1515" i="1" s="1"/>
  <c r="I1515" i="1"/>
  <c r="M1514" i="1"/>
  <c r="L1514" i="1"/>
  <c r="K1514" i="1"/>
  <c r="J1514" i="1"/>
  <c r="I1514" i="1"/>
  <c r="M1513" i="1"/>
  <c r="L1513" i="1"/>
  <c r="J1513" i="1"/>
  <c r="K1513" i="1" s="1"/>
  <c r="I1513" i="1"/>
  <c r="M1512" i="1"/>
  <c r="J1512" i="1"/>
  <c r="K1512" i="1" s="1"/>
  <c r="I1512" i="1"/>
  <c r="L1512" i="1" s="1"/>
  <c r="M1511" i="1"/>
  <c r="L1511" i="1"/>
  <c r="J1511" i="1"/>
  <c r="K1511" i="1" s="1"/>
  <c r="I1511" i="1"/>
  <c r="M1510" i="1"/>
  <c r="L1510" i="1"/>
  <c r="K1510" i="1"/>
  <c r="J1510" i="1"/>
  <c r="I1510" i="1"/>
  <c r="M1509" i="1"/>
  <c r="L1509" i="1"/>
  <c r="J1509" i="1"/>
  <c r="K1509" i="1" s="1"/>
  <c r="I1509" i="1"/>
  <c r="M1508" i="1"/>
  <c r="J1508" i="1"/>
  <c r="K1508" i="1" s="1"/>
  <c r="I1508" i="1"/>
  <c r="L1508" i="1" s="1"/>
  <c r="M1507" i="1"/>
  <c r="L1507" i="1"/>
  <c r="J1507" i="1"/>
  <c r="K1507" i="1" s="1"/>
  <c r="I1507" i="1"/>
  <c r="M1506" i="1"/>
  <c r="L1506" i="1"/>
  <c r="K1506" i="1"/>
  <c r="J1506" i="1"/>
  <c r="I1506" i="1"/>
  <c r="M1505" i="1"/>
  <c r="L1505" i="1"/>
  <c r="J1505" i="1"/>
  <c r="K1505" i="1" s="1"/>
  <c r="I1505" i="1"/>
  <c r="M1504" i="1"/>
  <c r="J1504" i="1"/>
  <c r="K1504" i="1" s="1"/>
  <c r="I1504" i="1"/>
  <c r="L1504" i="1" s="1"/>
  <c r="M1503" i="1"/>
  <c r="L1503" i="1"/>
  <c r="J1503" i="1"/>
  <c r="K1503" i="1" s="1"/>
  <c r="I1503" i="1"/>
  <c r="M1502" i="1"/>
  <c r="L1502" i="1"/>
  <c r="K1502" i="1"/>
  <c r="J1502" i="1"/>
  <c r="I1502" i="1"/>
  <c r="M1501" i="1"/>
  <c r="L1501" i="1"/>
  <c r="J1501" i="1"/>
  <c r="K1501" i="1" s="1"/>
  <c r="I1501" i="1"/>
  <c r="M1500" i="1"/>
  <c r="J1500" i="1"/>
  <c r="K1500" i="1" s="1"/>
  <c r="I1500" i="1"/>
  <c r="L1500" i="1" s="1"/>
  <c r="M1499" i="1"/>
  <c r="L1499" i="1"/>
  <c r="J1499" i="1"/>
  <c r="K1499" i="1" s="1"/>
  <c r="I1499" i="1"/>
  <c r="M1498" i="1"/>
  <c r="L1498" i="1"/>
  <c r="K1498" i="1"/>
  <c r="J1498" i="1"/>
  <c r="I1498" i="1"/>
  <c r="M1497" i="1"/>
  <c r="L1497" i="1"/>
  <c r="J1497" i="1"/>
  <c r="K1497" i="1" s="1"/>
  <c r="I1497" i="1"/>
  <c r="M1496" i="1"/>
  <c r="J1496" i="1"/>
  <c r="K1496" i="1" s="1"/>
  <c r="I1496" i="1"/>
  <c r="L1496" i="1" s="1"/>
  <c r="M1495" i="1"/>
  <c r="L1495" i="1"/>
  <c r="J1495" i="1"/>
  <c r="K1495" i="1" s="1"/>
  <c r="I1495" i="1"/>
  <c r="M1494" i="1"/>
  <c r="L1494" i="1"/>
  <c r="K1494" i="1"/>
  <c r="J1494" i="1"/>
  <c r="I1494" i="1"/>
  <c r="M1493" i="1"/>
  <c r="L1493" i="1"/>
  <c r="J1493" i="1"/>
  <c r="K1493" i="1" s="1"/>
  <c r="I1493" i="1"/>
  <c r="M1492" i="1"/>
  <c r="J1492" i="1"/>
  <c r="K1492" i="1" s="1"/>
  <c r="I1492" i="1"/>
  <c r="L1492" i="1" s="1"/>
  <c r="M1491" i="1"/>
  <c r="L1491" i="1"/>
  <c r="J1491" i="1"/>
  <c r="K1491" i="1" s="1"/>
  <c r="I1491" i="1"/>
  <c r="M1490" i="1"/>
  <c r="L1490" i="1"/>
  <c r="K1490" i="1"/>
  <c r="J1490" i="1"/>
  <c r="I1490" i="1"/>
  <c r="M1489" i="1"/>
  <c r="L1489" i="1"/>
  <c r="J1489" i="1"/>
  <c r="K1489" i="1" s="1"/>
  <c r="I1489" i="1"/>
  <c r="M1488" i="1"/>
  <c r="J1488" i="1"/>
  <c r="K1488" i="1" s="1"/>
  <c r="I1488" i="1"/>
  <c r="L1488" i="1" s="1"/>
  <c r="M1487" i="1"/>
  <c r="L1487" i="1"/>
  <c r="J1487" i="1"/>
  <c r="K1487" i="1" s="1"/>
  <c r="I1487" i="1"/>
  <c r="M1486" i="1"/>
  <c r="L1486" i="1"/>
  <c r="K1486" i="1"/>
  <c r="J1486" i="1"/>
  <c r="I1486" i="1"/>
  <c r="M1485" i="1"/>
  <c r="L1485" i="1"/>
  <c r="J1485" i="1"/>
  <c r="K1485" i="1" s="1"/>
  <c r="I1485" i="1"/>
  <c r="M1484" i="1"/>
  <c r="J1484" i="1"/>
  <c r="K1484" i="1" s="1"/>
  <c r="I1484" i="1"/>
  <c r="L1484" i="1" s="1"/>
  <c r="M1483" i="1"/>
  <c r="L1483" i="1"/>
  <c r="J1483" i="1"/>
  <c r="K1483" i="1" s="1"/>
  <c r="I1483" i="1"/>
  <c r="M1482" i="1"/>
  <c r="L1482" i="1"/>
  <c r="K1482" i="1"/>
  <c r="J1482" i="1"/>
  <c r="I1482" i="1"/>
  <c r="M1481" i="1"/>
  <c r="L1481" i="1"/>
  <c r="J1481" i="1"/>
  <c r="K1481" i="1" s="1"/>
  <c r="I1481" i="1"/>
  <c r="M1480" i="1"/>
  <c r="J1480" i="1"/>
  <c r="K1480" i="1" s="1"/>
  <c r="I1480" i="1"/>
  <c r="L1480" i="1" s="1"/>
  <c r="M1479" i="1"/>
  <c r="L1479" i="1"/>
  <c r="J1479" i="1"/>
  <c r="K1479" i="1" s="1"/>
  <c r="I1479" i="1"/>
  <c r="M1478" i="1"/>
  <c r="L1478" i="1"/>
  <c r="K1478" i="1"/>
  <c r="J1478" i="1"/>
  <c r="I1478" i="1"/>
  <c r="M1477" i="1"/>
  <c r="L1477" i="1"/>
  <c r="J1477" i="1"/>
  <c r="K1477" i="1" s="1"/>
  <c r="I1477" i="1"/>
  <c r="M1476" i="1"/>
  <c r="J1476" i="1"/>
  <c r="K1476" i="1" s="1"/>
  <c r="I1476" i="1"/>
  <c r="L1476" i="1" s="1"/>
  <c r="M1475" i="1"/>
  <c r="L1475" i="1"/>
  <c r="J1475" i="1"/>
  <c r="K1475" i="1" s="1"/>
  <c r="I1475" i="1"/>
  <c r="M1474" i="1"/>
  <c r="L1474" i="1"/>
  <c r="K1474" i="1"/>
  <c r="J1474" i="1"/>
  <c r="I1474" i="1"/>
  <c r="M1473" i="1"/>
  <c r="L1473" i="1"/>
  <c r="J1473" i="1"/>
  <c r="K1473" i="1" s="1"/>
  <c r="I1473" i="1"/>
  <c r="M1472" i="1"/>
  <c r="J1472" i="1"/>
  <c r="K1472" i="1" s="1"/>
  <c r="I1472" i="1"/>
  <c r="L1472" i="1" s="1"/>
  <c r="M1471" i="1"/>
  <c r="L1471" i="1"/>
  <c r="J1471" i="1"/>
  <c r="K1471" i="1" s="1"/>
  <c r="I1471" i="1"/>
  <c r="M1470" i="1"/>
  <c r="L1470" i="1"/>
  <c r="K1470" i="1"/>
  <c r="J1470" i="1"/>
  <c r="I1470" i="1"/>
  <c r="M1469" i="1"/>
  <c r="L1469" i="1"/>
  <c r="J1469" i="1"/>
  <c r="K1469" i="1" s="1"/>
  <c r="I1469" i="1"/>
  <c r="M1468" i="1"/>
  <c r="J1468" i="1"/>
  <c r="K1468" i="1" s="1"/>
  <c r="I1468" i="1"/>
  <c r="L1468" i="1" s="1"/>
  <c r="M1467" i="1"/>
  <c r="L1467" i="1"/>
  <c r="J1467" i="1"/>
  <c r="K1467" i="1" s="1"/>
  <c r="I1467" i="1"/>
  <c r="M1466" i="1"/>
  <c r="L1466" i="1"/>
  <c r="K1466" i="1"/>
  <c r="J1466" i="1"/>
  <c r="I1466" i="1"/>
  <c r="M1465" i="1"/>
  <c r="L1465" i="1"/>
  <c r="J1465" i="1"/>
  <c r="K1465" i="1" s="1"/>
  <c r="I1465" i="1"/>
  <c r="M1464" i="1"/>
  <c r="J1464" i="1"/>
  <c r="K1464" i="1" s="1"/>
  <c r="I1464" i="1"/>
  <c r="L1464" i="1" s="1"/>
  <c r="M1463" i="1"/>
  <c r="L1463" i="1"/>
  <c r="J1463" i="1"/>
  <c r="K1463" i="1" s="1"/>
  <c r="I1463" i="1"/>
  <c r="M1462" i="1"/>
  <c r="L1462" i="1"/>
  <c r="K1462" i="1"/>
  <c r="J1462" i="1"/>
  <c r="I1462" i="1"/>
  <c r="M1461" i="1"/>
  <c r="L1461" i="1"/>
  <c r="J1461" i="1"/>
  <c r="K1461" i="1" s="1"/>
  <c r="I1461" i="1"/>
  <c r="M1460" i="1"/>
  <c r="J1460" i="1"/>
  <c r="K1460" i="1" s="1"/>
  <c r="I1460" i="1"/>
  <c r="L1460" i="1" s="1"/>
  <c r="M1459" i="1"/>
  <c r="L1459" i="1"/>
  <c r="J1459" i="1"/>
  <c r="K1459" i="1" s="1"/>
  <c r="I1459" i="1"/>
  <c r="M1458" i="1"/>
  <c r="L1458" i="1"/>
  <c r="K1458" i="1"/>
  <c r="J1458" i="1"/>
  <c r="I1458" i="1"/>
  <c r="M1457" i="1"/>
  <c r="L1457" i="1"/>
  <c r="J1457" i="1"/>
  <c r="K1457" i="1" s="1"/>
  <c r="I1457" i="1"/>
  <c r="M1456" i="1"/>
  <c r="J1456" i="1"/>
  <c r="K1456" i="1" s="1"/>
  <c r="I1456" i="1"/>
  <c r="L1456" i="1" s="1"/>
  <c r="M1455" i="1"/>
  <c r="L1455" i="1"/>
  <c r="J1455" i="1"/>
  <c r="K1455" i="1" s="1"/>
  <c r="I1455" i="1"/>
  <c r="M1454" i="1"/>
  <c r="L1454" i="1"/>
  <c r="K1454" i="1"/>
  <c r="J1454" i="1"/>
  <c r="I1454" i="1"/>
  <c r="M1453" i="1"/>
  <c r="L1453" i="1"/>
  <c r="J1453" i="1"/>
  <c r="K1453" i="1" s="1"/>
  <c r="I1453" i="1"/>
  <c r="M1452" i="1"/>
  <c r="J1452" i="1"/>
  <c r="K1452" i="1" s="1"/>
  <c r="I1452" i="1"/>
  <c r="L1452" i="1" s="1"/>
  <c r="M1451" i="1"/>
  <c r="L1451" i="1"/>
  <c r="J1451" i="1"/>
  <c r="K1451" i="1" s="1"/>
  <c r="I1451" i="1"/>
  <c r="M1450" i="1"/>
  <c r="L1450" i="1"/>
  <c r="K1450" i="1"/>
  <c r="J1450" i="1"/>
  <c r="I1450" i="1"/>
  <c r="M1449" i="1"/>
  <c r="L1449" i="1"/>
  <c r="J1449" i="1"/>
  <c r="K1449" i="1" s="1"/>
  <c r="I1449" i="1"/>
  <c r="M1448" i="1"/>
  <c r="J1448" i="1"/>
  <c r="K1448" i="1" s="1"/>
  <c r="I1448" i="1"/>
  <c r="L1448" i="1" s="1"/>
  <c r="M1447" i="1"/>
  <c r="L1447" i="1"/>
  <c r="J1447" i="1"/>
  <c r="K1447" i="1" s="1"/>
  <c r="I1447" i="1"/>
  <c r="M1446" i="1"/>
  <c r="L1446" i="1"/>
  <c r="K1446" i="1"/>
  <c r="J1446" i="1"/>
  <c r="I1446" i="1"/>
  <c r="M1445" i="1"/>
  <c r="L1445" i="1"/>
  <c r="J1445" i="1"/>
  <c r="K1445" i="1" s="1"/>
  <c r="I1445" i="1"/>
  <c r="M1444" i="1"/>
  <c r="J1444" i="1"/>
  <c r="K1444" i="1" s="1"/>
  <c r="I1444" i="1"/>
  <c r="L1444" i="1" s="1"/>
  <c r="M1443" i="1"/>
  <c r="L1443" i="1"/>
  <c r="J1443" i="1"/>
  <c r="K1443" i="1" s="1"/>
  <c r="I1443" i="1"/>
  <c r="M1442" i="1"/>
  <c r="L1442" i="1"/>
  <c r="K1442" i="1"/>
  <c r="J1442" i="1"/>
  <c r="I1442" i="1"/>
  <c r="M1441" i="1"/>
  <c r="L1441" i="1"/>
  <c r="J1441" i="1"/>
  <c r="K1441" i="1" s="1"/>
  <c r="I1441" i="1"/>
  <c r="M1440" i="1"/>
  <c r="J1440" i="1"/>
  <c r="K1440" i="1" s="1"/>
  <c r="I1440" i="1"/>
  <c r="L1440" i="1" s="1"/>
  <c r="M1439" i="1"/>
  <c r="L1439" i="1"/>
  <c r="J1439" i="1"/>
  <c r="K1439" i="1" s="1"/>
  <c r="I1439" i="1"/>
  <c r="M1438" i="1"/>
  <c r="L1438" i="1"/>
  <c r="K1438" i="1"/>
  <c r="J1438" i="1"/>
  <c r="I1438" i="1"/>
  <c r="M1437" i="1"/>
  <c r="L1437" i="1"/>
  <c r="J1437" i="1"/>
  <c r="K1437" i="1" s="1"/>
  <c r="I1437" i="1"/>
  <c r="M1436" i="1"/>
  <c r="J1436" i="1"/>
  <c r="K1436" i="1" s="1"/>
  <c r="I1436" i="1"/>
  <c r="L1436" i="1" s="1"/>
  <c r="M1435" i="1"/>
  <c r="L1435" i="1"/>
  <c r="J1435" i="1"/>
  <c r="K1435" i="1" s="1"/>
  <c r="I1435" i="1"/>
  <c r="M1434" i="1"/>
  <c r="L1434" i="1"/>
  <c r="K1434" i="1"/>
  <c r="J1434" i="1"/>
  <c r="I1434" i="1"/>
  <c r="M1433" i="1"/>
  <c r="L1433" i="1"/>
  <c r="J1433" i="1"/>
  <c r="K1433" i="1" s="1"/>
  <c r="I1433" i="1"/>
  <c r="M1432" i="1"/>
  <c r="J1432" i="1"/>
  <c r="K1432" i="1" s="1"/>
  <c r="I1432" i="1"/>
  <c r="L1432" i="1" s="1"/>
  <c r="M1431" i="1"/>
  <c r="L1431" i="1"/>
  <c r="J1431" i="1"/>
  <c r="K1431" i="1" s="1"/>
  <c r="I1431" i="1"/>
  <c r="M1430" i="1"/>
  <c r="L1430" i="1"/>
  <c r="K1430" i="1"/>
  <c r="J1430" i="1"/>
  <c r="I1430" i="1"/>
  <c r="M1429" i="1"/>
  <c r="L1429" i="1"/>
  <c r="J1429" i="1"/>
  <c r="K1429" i="1" s="1"/>
  <c r="I1429" i="1"/>
  <c r="M1428" i="1"/>
  <c r="J1428" i="1"/>
  <c r="K1428" i="1" s="1"/>
  <c r="I1428" i="1"/>
  <c r="L1428" i="1" s="1"/>
  <c r="M1427" i="1"/>
  <c r="L1427" i="1"/>
  <c r="J1427" i="1"/>
  <c r="K1427" i="1" s="1"/>
  <c r="I1427" i="1"/>
  <c r="M1426" i="1"/>
  <c r="L1426" i="1"/>
  <c r="K1426" i="1"/>
  <c r="J1426" i="1"/>
  <c r="I1426" i="1"/>
  <c r="M1425" i="1"/>
  <c r="L1425" i="1"/>
  <c r="J1425" i="1"/>
  <c r="K1425" i="1" s="1"/>
  <c r="I1425" i="1"/>
  <c r="M1424" i="1"/>
  <c r="J1424" i="1"/>
  <c r="K1424" i="1" s="1"/>
  <c r="I1424" i="1"/>
  <c r="L1424" i="1" s="1"/>
  <c r="M1423" i="1"/>
  <c r="L1423" i="1"/>
  <c r="K1423" i="1"/>
  <c r="J1423" i="1"/>
  <c r="I1423" i="1"/>
  <c r="M1422" i="1"/>
  <c r="L1422" i="1"/>
  <c r="K1422" i="1"/>
  <c r="J1422" i="1"/>
  <c r="I1422" i="1"/>
  <c r="M1421" i="1"/>
  <c r="L1421" i="1"/>
  <c r="J1421" i="1"/>
  <c r="K1421" i="1" s="1"/>
  <c r="I1421" i="1"/>
  <c r="M1420" i="1"/>
  <c r="J1420" i="1"/>
  <c r="K1420" i="1" s="1"/>
  <c r="I1420" i="1"/>
  <c r="L1420" i="1" s="1"/>
  <c r="M1419" i="1"/>
  <c r="L1419" i="1"/>
  <c r="K1419" i="1"/>
  <c r="J1419" i="1"/>
  <c r="I1419" i="1"/>
  <c r="M1418" i="1"/>
  <c r="L1418" i="1"/>
  <c r="K1418" i="1"/>
  <c r="J1418" i="1"/>
  <c r="I1418" i="1"/>
  <c r="M1417" i="1"/>
  <c r="J1417" i="1"/>
  <c r="K1417" i="1" s="1"/>
  <c r="I1417" i="1"/>
  <c r="L1417" i="1" s="1"/>
  <c r="M1416" i="1"/>
  <c r="J1416" i="1"/>
  <c r="K1416" i="1" s="1"/>
  <c r="I1416" i="1"/>
  <c r="L1416" i="1" s="1"/>
  <c r="M1415" i="1"/>
  <c r="L1415" i="1"/>
  <c r="J1415" i="1"/>
  <c r="K1415" i="1" s="1"/>
  <c r="I1415" i="1"/>
  <c r="M1414" i="1"/>
  <c r="L1414" i="1"/>
  <c r="K1414" i="1"/>
  <c r="J1414" i="1"/>
  <c r="I1414" i="1"/>
  <c r="M1413" i="1"/>
  <c r="J1413" i="1"/>
  <c r="K1413" i="1" s="1"/>
  <c r="I1413" i="1"/>
  <c r="L1413" i="1" s="1"/>
  <c r="M1412" i="1"/>
  <c r="J1412" i="1"/>
  <c r="K1412" i="1" s="1"/>
  <c r="I1412" i="1"/>
  <c r="L1412" i="1" s="1"/>
  <c r="M1411" i="1"/>
  <c r="L1411" i="1"/>
  <c r="J1411" i="1"/>
  <c r="K1411" i="1" s="1"/>
  <c r="I1411" i="1"/>
  <c r="M1410" i="1"/>
  <c r="L1410" i="1"/>
  <c r="K1410" i="1"/>
  <c r="J1410" i="1"/>
  <c r="I1410" i="1"/>
  <c r="M1409" i="1"/>
  <c r="L1409" i="1"/>
  <c r="J1409" i="1"/>
  <c r="K1409" i="1" s="1"/>
  <c r="I1409" i="1"/>
  <c r="M1408" i="1"/>
  <c r="J1408" i="1"/>
  <c r="K1408" i="1" s="1"/>
  <c r="I1408" i="1"/>
  <c r="L1408" i="1" s="1"/>
  <c r="M1407" i="1"/>
  <c r="L1407" i="1"/>
  <c r="K1407" i="1"/>
  <c r="J1407" i="1"/>
  <c r="I1407" i="1"/>
  <c r="M1406" i="1"/>
  <c r="L1406" i="1"/>
  <c r="K1406" i="1"/>
  <c r="J1406" i="1"/>
  <c r="I1406" i="1"/>
  <c r="M1405" i="1"/>
  <c r="L1405" i="1"/>
  <c r="J1405" i="1"/>
  <c r="K1405" i="1" s="1"/>
  <c r="I1405" i="1"/>
  <c r="M1404" i="1"/>
  <c r="J1404" i="1"/>
  <c r="K1404" i="1" s="1"/>
  <c r="I1404" i="1"/>
  <c r="L1404" i="1" s="1"/>
  <c r="M1403" i="1"/>
  <c r="L1403" i="1"/>
  <c r="K1403" i="1"/>
  <c r="J1403" i="1"/>
  <c r="I1403" i="1"/>
  <c r="M1402" i="1"/>
  <c r="L1402" i="1"/>
  <c r="K1402" i="1"/>
  <c r="J1402" i="1"/>
  <c r="I1402" i="1"/>
  <c r="M1401" i="1"/>
  <c r="J1401" i="1"/>
  <c r="K1401" i="1" s="1"/>
  <c r="I1401" i="1"/>
  <c r="L1401" i="1" s="1"/>
  <c r="M1400" i="1"/>
  <c r="J1400" i="1"/>
  <c r="K1400" i="1" s="1"/>
  <c r="I1400" i="1"/>
  <c r="L1400" i="1" s="1"/>
  <c r="M1399" i="1"/>
  <c r="L1399" i="1"/>
  <c r="J1399" i="1"/>
  <c r="K1399" i="1" s="1"/>
  <c r="I1399" i="1"/>
  <c r="M1398" i="1"/>
  <c r="L1398" i="1"/>
  <c r="K1398" i="1"/>
  <c r="J1398" i="1"/>
  <c r="I1398" i="1"/>
  <c r="M1397" i="1"/>
  <c r="J1397" i="1"/>
  <c r="K1397" i="1" s="1"/>
  <c r="I1397" i="1"/>
  <c r="L1397" i="1" s="1"/>
  <c r="M1396" i="1"/>
  <c r="J1396" i="1"/>
  <c r="K1396" i="1" s="1"/>
  <c r="I1396" i="1"/>
  <c r="L1396" i="1" s="1"/>
  <c r="M1395" i="1"/>
  <c r="L1395" i="1"/>
  <c r="J1395" i="1"/>
  <c r="K1395" i="1" s="1"/>
  <c r="I1395" i="1"/>
  <c r="M1394" i="1"/>
  <c r="L1394" i="1"/>
  <c r="K1394" i="1"/>
  <c r="J1394" i="1"/>
  <c r="I1394" i="1"/>
  <c r="M1393" i="1"/>
  <c r="L1393" i="1"/>
  <c r="J1393" i="1"/>
  <c r="K1393" i="1" s="1"/>
  <c r="I1393" i="1"/>
  <c r="M1392" i="1"/>
  <c r="J1392" i="1"/>
  <c r="K1392" i="1" s="1"/>
  <c r="I1392" i="1"/>
  <c r="L1392" i="1" s="1"/>
  <c r="M1391" i="1"/>
  <c r="L1391" i="1"/>
  <c r="K1391" i="1"/>
  <c r="J1391" i="1"/>
  <c r="I1391" i="1"/>
  <c r="M1390" i="1"/>
  <c r="L1390" i="1"/>
  <c r="K1390" i="1"/>
  <c r="J1390" i="1"/>
  <c r="I1390" i="1"/>
  <c r="M1389" i="1"/>
  <c r="L1389" i="1"/>
  <c r="J1389" i="1"/>
  <c r="K1389" i="1" s="1"/>
  <c r="I1389" i="1"/>
  <c r="M1388" i="1"/>
  <c r="J1388" i="1"/>
  <c r="K1388" i="1" s="1"/>
  <c r="I1388" i="1"/>
  <c r="L1388" i="1" s="1"/>
  <c r="M1387" i="1"/>
  <c r="L1387" i="1"/>
  <c r="K1387" i="1"/>
  <c r="J1387" i="1"/>
  <c r="I1387" i="1"/>
  <c r="M1386" i="1"/>
  <c r="L1386" i="1"/>
  <c r="K1386" i="1"/>
  <c r="J1386" i="1"/>
  <c r="I1386" i="1"/>
  <c r="M1385" i="1"/>
  <c r="J1385" i="1"/>
  <c r="K1385" i="1" s="1"/>
  <c r="I1385" i="1"/>
  <c r="L1385" i="1" s="1"/>
  <c r="M1384" i="1"/>
  <c r="J1384" i="1"/>
  <c r="K1384" i="1" s="1"/>
  <c r="I1384" i="1"/>
  <c r="L1384" i="1" s="1"/>
  <c r="M1383" i="1"/>
  <c r="L1383" i="1"/>
  <c r="J1383" i="1"/>
  <c r="K1383" i="1" s="1"/>
  <c r="I1383" i="1"/>
  <c r="M1382" i="1"/>
  <c r="L1382" i="1"/>
  <c r="K1382" i="1"/>
  <c r="J1382" i="1"/>
  <c r="I1382" i="1"/>
  <c r="M1381" i="1"/>
  <c r="J1381" i="1"/>
  <c r="K1381" i="1" s="1"/>
  <c r="I1381" i="1"/>
  <c r="L1381" i="1" s="1"/>
  <c r="M1380" i="1"/>
  <c r="J1380" i="1"/>
  <c r="K1380" i="1" s="1"/>
  <c r="I1380" i="1"/>
  <c r="L1380" i="1" s="1"/>
  <c r="M1379" i="1"/>
  <c r="L1379" i="1"/>
  <c r="J1379" i="1"/>
  <c r="K1379" i="1" s="1"/>
  <c r="I1379" i="1"/>
  <c r="M1378" i="1"/>
  <c r="L1378" i="1"/>
  <c r="K1378" i="1"/>
  <c r="J1378" i="1"/>
  <c r="I1378" i="1"/>
  <c r="M1377" i="1"/>
  <c r="L1377" i="1"/>
  <c r="J1377" i="1"/>
  <c r="K1377" i="1" s="1"/>
  <c r="I1377" i="1"/>
  <c r="M1376" i="1"/>
  <c r="J1376" i="1"/>
  <c r="K1376" i="1" s="1"/>
  <c r="I1376" i="1"/>
  <c r="L1376" i="1" s="1"/>
  <c r="M1375" i="1"/>
  <c r="L1375" i="1"/>
  <c r="K1375" i="1"/>
  <c r="J1375" i="1"/>
  <c r="I1375" i="1"/>
  <c r="M1374" i="1"/>
  <c r="L1374" i="1"/>
  <c r="K1374" i="1"/>
  <c r="J1374" i="1"/>
  <c r="I1374" i="1"/>
  <c r="M1373" i="1"/>
  <c r="L1373" i="1"/>
  <c r="J1373" i="1"/>
  <c r="K1373" i="1" s="1"/>
  <c r="I1373" i="1"/>
  <c r="M1372" i="1"/>
  <c r="J1372" i="1"/>
  <c r="K1372" i="1" s="1"/>
  <c r="I1372" i="1"/>
  <c r="L1372" i="1" s="1"/>
  <c r="M1371" i="1"/>
  <c r="L1371" i="1"/>
  <c r="K1371" i="1"/>
  <c r="J1371" i="1"/>
  <c r="I1371" i="1"/>
  <c r="M1370" i="1"/>
  <c r="L1370" i="1"/>
  <c r="K1370" i="1"/>
  <c r="J1370" i="1"/>
  <c r="I1370" i="1"/>
  <c r="M1369" i="1"/>
  <c r="J1369" i="1"/>
  <c r="K1369" i="1" s="1"/>
  <c r="I1369" i="1"/>
  <c r="L1369" i="1" s="1"/>
  <c r="M1368" i="1"/>
  <c r="J1368" i="1"/>
  <c r="K1368" i="1" s="1"/>
  <c r="I1368" i="1"/>
  <c r="L1368" i="1" s="1"/>
  <c r="M1367" i="1"/>
  <c r="L1367" i="1"/>
  <c r="J1367" i="1"/>
  <c r="K1367" i="1" s="1"/>
  <c r="I1367" i="1"/>
  <c r="M1366" i="1"/>
  <c r="L1366" i="1"/>
  <c r="K1366" i="1"/>
  <c r="J1366" i="1"/>
  <c r="I1366" i="1"/>
  <c r="M1365" i="1"/>
  <c r="J1365" i="1"/>
  <c r="K1365" i="1" s="1"/>
  <c r="I1365" i="1"/>
  <c r="L1365" i="1" s="1"/>
  <c r="M1364" i="1"/>
  <c r="J1364" i="1"/>
  <c r="K1364" i="1" s="1"/>
  <c r="I1364" i="1"/>
  <c r="L1364" i="1" s="1"/>
  <c r="M1363" i="1"/>
  <c r="L1363" i="1"/>
  <c r="J1363" i="1"/>
  <c r="K1363" i="1" s="1"/>
  <c r="I1363" i="1"/>
  <c r="M1362" i="1"/>
  <c r="L1362" i="1"/>
  <c r="K1362" i="1"/>
  <c r="J1362" i="1"/>
  <c r="I1362" i="1"/>
  <c r="M1361" i="1"/>
  <c r="L1361" i="1"/>
  <c r="J1361" i="1"/>
  <c r="K1361" i="1" s="1"/>
  <c r="I1361" i="1"/>
  <c r="M1360" i="1"/>
  <c r="J1360" i="1"/>
  <c r="K1360" i="1" s="1"/>
  <c r="I1360" i="1"/>
  <c r="L1360" i="1" s="1"/>
  <c r="M1359" i="1"/>
  <c r="L1359" i="1"/>
  <c r="K1359" i="1"/>
  <c r="J1359" i="1"/>
  <c r="I1359" i="1"/>
  <c r="M1358" i="1"/>
  <c r="L1358" i="1"/>
  <c r="K1358" i="1"/>
  <c r="J1358" i="1"/>
  <c r="I1358" i="1"/>
  <c r="M1357" i="1"/>
  <c r="L1357" i="1"/>
  <c r="J1357" i="1"/>
  <c r="K1357" i="1" s="1"/>
  <c r="I1357" i="1"/>
  <c r="M1356" i="1"/>
  <c r="J1356" i="1"/>
  <c r="K1356" i="1" s="1"/>
  <c r="I1356" i="1"/>
  <c r="L1356" i="1" s="1"/>
  <c r="M1355" i="1"/>
  <c r="L1355" i="1"/>
  <c r="K1355" i="1"/>
  <c r="J1355" i="1"/>
  <c r="I1355" i="1"/>
  <c r="M1354" i="1"/>
  <c r="L1354" i="1"/>
  <c r="K1354" i="1"/>
  <c r="J1354" i="1"/>
  <c r="I1354" i="1"/>
  <c r="M1353" i="1"/>
  <c r="J1353" i="1"/>
  <c r="K1353" i="1" s="1"/>
  <c r="I1353" i="1"/>
  <c r="L1353" i="1" s="1"/>
  <c r="M1352" i="1"/>
  <c r="J1352" i="1"/>
  <c r="K1352" i="1" s="1"/>
  <c r="I1352" i="1"/>
  <c r="L1352" i="1" s="1"/>
  <c r="M1351" i="1"/>
  <c r="L1351" i="1"/>
  <c r="J1351" i="1"/>
  <c r="K1351" i="1" s="1"/>
  <c r="I1351" i="1"/>
  <c r="M1350" i="1"/>
  <c r="L1350" i="1"/>
  <c r="K1350" i="1"/>
  <c r="J1350" i="1"/>
  <c r="I1350" i="1"/>
  <c r="M1349" i="1"/>
  <c r="J1349" i="1"/>
  <c r="K1349" i="1" s="1"/>
  <c r="I1349" i="1"/>
  <c r="L1349" i="1" s="1"/>
  <c r="M1348" i="1"/>
  <c r="J1348" i="1"/>
  <c r="K1348" i="1" s="1"/>
  <c r="I1348" i="1"/>
  <c r="L1348" i="1" s="1"/>
  <c r="M1347" i="1"/>
  <c r="L1347" i="1"/>
  <c r="J1347" i="1"/>
  <c r="K1347" i="1" s="1"/>
  <c r="I1347" i="1"/>
  <c r="M1346" i="1"/>
  <c r="L1346" i="1"/>
  <c r="K1346" i="1"/>
  <c r="J1346" i="1"/>
  <c r="I1346" i="1"/>
  <c r="M1345" i="1"/>
  <c r="L1345" i="1"/>
  <c r="J1345" i="1"/>
  <c r="K1345" i="1" s="1"/>
  <c r="I1345" i="1"/>
  <c r="M1344" i="1"/>
  <c r="J1344" i="1"/>
  <c r="K1344" i="1" s="1"/>
  <c r="I1344" i="1"/>
  <c r="L1344" i="1" s="1"/>
  <c r="M1343" i="1"/>
  <c r="L1343" i="1"/>
  <c r="K1343" i="1"/>
  <c r="J1343" i="1"/>
  <c r="I1343" i="1"/>
  <c r="M1342" i="1"/>
  <c r="L1342" i="1"/>
  <c r="K1342" i="1"/>
  <c r="J1342" i="1"/>
  <c r="I1342" i="1"/>
  <c r="M1341" i="1"/>
  <c r="L1341" i="1"/>
  <c r="J1341" i="1"/>
  <c r="K1341" i="1" s="1"/>
  <c r="I1341" i="1"/>
  <c r="M1340" i="1"/>
  <c r="J1340" i="1"/>
  <c r="K1340" i="1" s="1"/>
  <c r="I1340" i="1"/>
  <c r="L1340" i="1" s="1"/>
  <c r="M1339" i="1"/>
  <c r="L1339" i="1"/>
  <c r="K1339" i="1"/>
  <c r="J1339" i="1"/>
  <c r="I1339" i="1"/>
  <c r="M1338" i="1"/>
  <c r="L1338" i="1"/>
  <c r="K1338" i="1"/>
  <c r="J1338" i="1"/>
  <c r="I1338" i="1"/>
  <c r="M1337" i="1"/>
  <c r="J1337" i="1"/>
  <c r="K1337" i="1" s="1"/>
  <c r="I1337" i="1"/>
  <c r="L1337" i="1" s="1"/>
  <c r="M1336" i="1"/>
  <c r="J1336" i="1"/>
  <c r="K1336" i="1" s="1"/>
  <c r="I1336" i="1"/>
  <c r="L1336" i="1" s="1"/>
  <c r="M1335" i="1"/>
  <c r="L1335" i="1"/>
  <c r="J1335" i="1"/>
  <c r="K1335" i="1" s="1"/>
  <c r="I1335" i="1"/>
  <c r="M1334" i="1"/>
  <c r="L1334" i="1"/>
  <c r="K1334" i="1"/>
  <c r="J1334" i="1"/>
  <c r="I1334" i="1"/>
  <c r="M1333" i="1"/>
  <c r="J1333" i="1"/>
  <c r="K1333" i="1" s="1"/>
  <c r="I1333" i="1"/>
  <c r="L1333" i="1" s="1"/>
  <c r="M1332" i="1"/>
  <c r="J1332" i="1"/>
  <c r="K1332" i="1" s="1"/>
  <c r="I1332" i="1"/>
  <c r="L1332" i="1" s="1"/>
  <c r="M1331" i="1"/>
  <c r="L1331" i="1"/>
  <c r="J1331" i="1"/>
  <c r="K1331" i="1" s="1"/>
  <c r="I1331" i="1"/>
  <c r="M1330" i="1"/>
  <c r="L1330" i="1"/>
  <c r="K1330" i="1"/>
  <c r="J1330" i="1"/>
  <c r="I1330" i="1"/>
  <c r="M1329" i="1"/>
  <c r="L1329" i="1"/>
  <c r="J1329" i="1"/>
  <c r="K1329" i="1" s="1"/>
  <c r="I1329" i="1"/>
  <c r="M1328" i="1"/>
  <c r="J1328" i="1"/>
  <c r="K1328" i="1" s="1"/>
  <c r="I1328" i="1"/>
  <c r="L1328" i="1" s="1"/>
  <c r="M1327" i="1"/>
  <c r="L1327" i="1"/>
  <c r="K1327" i="1"/>
  <c r="J1327" i="1"/>
  <c r="I1327" i="1"/>
  <c r="M1326" i="1"/>
  <c r="L1326" i="1"/>
  <c r="K1326" i="1"/>
  <c r="J1326" i="1"/>
  <c r="I1326" i="1"/>
  <c r="M1325" i="1"/>
  <c r="L1325" i="1"/>
  <c r="J1325" i="1"/>
  <c r="K1325" i="1" s="1"/>
  <c r="I1325" i="1"/>
  <c r="M1324" i="1"/>
  <c r="J1324" i="1"/>
  <c r="K1324" i="1" s="1"/>
  <c r="I1324" i="1"/>
  <c r="L1324" i="1" s="1"/>
  <c r="M1323" i="1"/>
  <c r="L1323" i="1"/>
  <c r="K1323" i="1"/>
  <c r="J1323" i="1"/>
  <c r="I1323" i="1"/>
  <c r="M1322" i="1"/>
  <c r="L1322" i="1"/>
  <c r="K1322" i="1"/>
  <c r="J1322" i="1"/>
  <c r="I1322" i="1"/>
  <c r="M1321" i="1"/>
  <c r="J1321" i="1"/>
  <c r="K1321" i="1" s="1"/>
  <c r="I1321" i="1"/>
  <c r="L1321" i="1" s="1"/>
  <c r="M1320" i="1"/>
  <c r="J1320" i="1"/>
  <c r="K1320" i="1" s="1"/>
  <c r="I1320" i="1"/>
  <c r="L1320" i="1" s="1"/>
  <c r="M1319" i="1"/>
  <c r="L1319" i="1"/>
  <c r="J1319" i="1"/>
  <c r="K1319" i="1" s="1"/>
  <c r="I1319" i="1"/>
  <c r="M1318" i="1"/>
  <c r="L1318" i="1"/>
  <c r="K1318" i="1"/>
  <c r="J1318" i="1"/>
  <c r="I1318" i="1"/>
  <c r="M1317" i="1"/>
  <c r="J1317" i="1"/>
  <c r="K1317" i="1" s="1"/>
  <c r="I1317" i="1"/>
  <c r="L1317" i="1" s="1"/>
  <c r="M1316" i="1"/>
  <c r="J1316" i="1"/>
  <c r="K1316" i="1" s="1"/>
  <c r="I1316" i="1"/>
  <c r="L1316" i="1" s="1"/>
  <c r="M1315" i="1"/>
  <c r="L1315" i="1"/>
  <c r="J1315" i="1"/>
  <c r="K1315" i="1" s="1"/>
  <c r="I1315" i="1"/>
  <c r="M1314" i="1"/>
  <c r="L1314" i="1"/>
  <c r="K1314" i="1"/>
  <c r="J1314" i="1"/>
  <c r="I1314" i="1"/>
  <c r="M1313" i="1"/>
  <c r="L1313" i="1"/>
  <c r="J1313" i="1"/>
  <c r="K1313" i="1" s="1"/>
  <c r="I1313" i="1"/>
  <c r="M1312" i="1"/>
  <c r="J1312" i="1"/>
  <c r="K1312" i="1" s="1"/>
  <c r="I1312" i="1"/>
  <c r="L1312" i="1" s="1"/>
  <c r="M1311" i="1"/>
  <c r="L1311" i="1"/>
  <c r="K1311" i="1"/>
  <c r="J1311" i="1"/>
  <c r="I1311" i="1"/>
  <c r="M1310" i="1"/>
  <c r="L1310" i="1"/>
  <c r="K1310" i="1"/>
  <c r="J1310" i="1"/>
  <c r="I1310" i="1"/>
  <c r="M1309" i="1"/>
  <c r="L1309" i="1"/>
  <c r="J1309" i="1"/>
  <c r="K1309" i="1" s="1"/>
  <c r="I1309" i="1"/>
  <c r="M1308" i="1"/>
  <c r="J1308" i="1"/>
  <c r="K1308" i="1" s="1"/>
  <c r="I1308" i="1"/>
  <c r="L1308" i="1" s="1"/>
  <c r="M1307" i="1"/>
  <c r="L1307" i="1"/>
  <c r="K1307" i="1"/>
  <c r="J1307" i="1"/>
  <c r="I1307" i="1"/>
  <c r="M1306" i="1"/>
  <c r="K1306" i="1"/>
  <c r="J1306" i="1"/>
  <c r="I1306" i="1"/>
  <c r="L1306" i="1" s="1"/>
  <c r="M1305" i="1"/>
  <c r="J1305" i="1"/>
  <c r="K1305" i="1" s="1"/>
  <c r="I1305" i="1"/>
  <c r="L1305" i="1" s="1"/>
  <c r="M1304" i="1"/>
  <c r="J1304" i="1"/>
  <c r="K1304" i="1" s="1"/>
  <c r="I1304" i="1"/>
  <c r="L1304" i="1" s="1"/>
  <c r="M1303" i="1"/>
  <c r="L1303" i="1"/>
  <c r="J1303" i="1"/>
  <c r="K1303" i="1" s="1"/>
  <c r="I1303" i="1"/>
  <c r="M1302" i="1"/>
  <c r="L1302" i="1"/>
  <c r="K1302" i="1"/>
  <c r="J1302" i="1"/>
  <c r="I1302" i="1"/>
  <c r="M1301" i="1"/>
  <c r="L1301" i="1"/>
  <c r="J1301" i="1"/>
  <c r="K1301" i="1" s="1"/>
  <c r="I1301" i="1"/>
  <c r="M1300" i="1"/>
  <c r="K1300" i="1"/>
  <c r="J1300" i="1"/>
  <c r="I1300" i="1"/>
  <c r="L1300" i="1" s="1"/>
  <c r="M1299" i="1"/>
  <c r="L1299" i="1"/>
  <c r="K1299" i="1"/>
  <c r="J1299" i="1"/>
  <c r="I1299" i="1"/>
  <c r="M1298" i="1"/>
  <c r="K1298" i="1"/>
  <c r="J1298" i="1"/>
  <c r="I1298" i="1"/>
  <c r="L1298" i="1" s="1"/>
  <c r="M1297" i="1"/>
  <c r="J1297" i="1"/>
  <c r="K1297" i="1" s="1"/>
  <c r="I1297" i="1"/>
  <c r="L1297" i="1" s="1"/>
  <c r="M1296" i="1"/>
  <c r="J1296" i="1"/>
  <c r="K1296" i="1" s="1"/>
  <c r="I1296" i="1"/>
  <c r="L1296" i="1" s="1"/>
  <c r="M1295" i="1"/>
  <c r="L1295" i="1"/>
  <c r="J1295" i="1"/>
  <c r="K1295" i="1" s="1"/>
  <c r="I1295" i="1"/>
  <c r="M1294" i="1"/>
  <c r="L1294" i="1"/>
  <c r="K1294" i="1"/>
  <c r="J1294" i="1"/>
  <c r="I1294" i="1"/>
  <c r="M1293" i="1"/>
  <c r="L1293" i="1"/>
  <c r="J1293" i="1"/>
  <c r="K1293" i="1" s="1"/>
  <c r="I1293" i="1"/>
  <c r="M1292" i="1"/>
  <c r="K1292" i="1"/>
  <c r="J1292" i="1"/>
  <c r="I1292" i="1"/>
  <c r="L1292" i="1" s="1"/>
  <c r="M1291" i="1"/>
  <c r="L1291" i="1"/>
  <c r="K1291" i="1"/>
  <c r="J1291" i="1"/>
  <c r="I1291" i="1"/>
  <c r="M1290" i="1"/>
  <c r="K1290" i="1"/>
  <c r="J1290" i="1"/>
  <c r="I1290" i="1"/>
  <c r="L1290" i="1" s="1"/>
  <c r="M1289" i="1"/>
  <c r="J1289" i="1"/>
  <c r="K1289" i="1" s="1"/>
  <c r="I1289" i="1"/>
  <c r="L1289" i="1" s="1"/>
  <c r="M1288" i="1"/>
  <c r="J1288" i="1"/>
  <c r="K1288" i="1" s="1"/>
  <c r="I1288" i="1"/>
  <c r="L1288" i="1" s="1"/>
  <c r="M1287" i="1"/>
  <c r="L1287" i="1"/>
  <c r="J1287" i="1"/>
  <c r="K1287" i="1" s="1"/>
  <c r="I1287" i="1"/>
  <c r="M1286" i="1"/>
  <c r="L1286" i="1"/>
  <c r="K1286" i="1"/>
  <c r="J1286" i="1"/>
  <c r="I1286" i="1"/>
  <c r="M1285" i="1"/>
  <c r="L1285" i="1"/>
  <c r="J1285" i="1"/>
  <c r="K1285" i="1" s="1"/>
  <c r="I1285" i="1"/>
  <c r="M1284" i="1"/>
  <c r="K1284" i="1"/>
  <c r="J1284" i="1"/>
  <c r="I1284" i="1"/>
  <c r="L1284" i="1" s="1"/>
  <c r="M1283" i="1"/>
  <c r="L1283" i="1"/>
  <c r="K1283" i="1"/>
  <c r="J1283" i="1"/>
  <c r="I1283" i="1"/>
  <c r="M1282" i="1"/>
  <c r="K1282" i="1"/>
  <c r="J1282" i="1"/>
  <c r="I1282" i="1"/>
  <c r="L1282" i="1" s="1"/>
  <c r="M1281" i="1"/>
  <c r="J1281" i="1"/>
  <c r="K1281" i="1" s="1"/>
  <c r="I1281" i="1"/>
  <c r="L1281" i="1" s="1"/>
  <c r="M1280" i="1"/>
  <c r="J1280" i="1"/>
  <c r="K1280" i="1" s="1"/>
  <c r="I1280" i="1"/>
  <c r="L1280" i="1" s="1"/>
  <c r="M1279" i="1"/>
  <c r="L1279" i="1"/>
  <c r="J1279" i="1"/>
  <c r="K1279" i="1" s="1"/>
  <c r="I1279" i="1"/>
  <c r="M1278" i="1"/>
  <c r="L1278" i="1"/>
  <c r="K1278" i="1"/>
  <c r="J1278" i="1"/>
  <c r="I1278" i="1"/>
  <c r="M1277" i="1"/>
  <c r="L1277" i="1"/>
  <c r="J1277" i="1"/>
  <c r="K1277" i="1" s="1"/>
  <c r="I1277" i="1"/>
  <c r="M1276" i="1"/>
  <c r="K1276" i="1"/>
  <c r="J1276" i="1"/>
  <c r="I1276" i="1"/>
  <c r="L1276" i="1" s="1"/>
  <c r="M1275" i="1"/>
  <c r="L1275" i="1"/>
  <c r="K1275" i="1"/>
  <c r="J1275" i="1"/>
  <c r="I1275" i="1"/>
  <c r="M1274" i="1"/>
  <c r="K1274" i="1"/>
  <c r="J1274" i="1"/>
  <c r="I1274" i="1"/>
  <c r="L1274" i="1" s="1"/>
  <c r="M1273" i="1"/>
  <c r="J1273" i="1"/>
  <c r="K1273" i="1" s="1"/>
  <c r="I1273" i="1"/>
  <c r="L1273" i="1" s="1"/>
  <c r="M1272" i="1"/>
  <c r="J1272" i="1"/>
  <c r="K1272" i="1" s="1"/>
  <c r="I1272" i="1"/>
  <c r="L1272" i="1" s="1"/>
  <c r="M1271" i="1"/>
  <c r="L1271" i="1"/>
  <c r="J1271" i="1"/>
  <c r="K1271" i="1" s="1"/>
  <c r="I1271" i="1"/>
  <c r="M1270" i="1"/>
  <c r="L1270" i="1"/>
  <c r="K1270" i="1"/>
  <c r="J1270" i="1"/>
  <c r="I1270" i="1"/>
  <c r="M1269" i="1"/>
  <c r="L1269" i="1"/>
  <c r="J1269" i="1"/>
  <c r="K1269" i="1" s="1"/>
  <c r="I1269" i="1"/>
  <c r="M1268" i="1"/>
  <c r="K1268" i="1"/>
  <c r="J1268" i="1"/>
  <c r="I1268" i="1"/>
  <c r="L1268" i="1" s="1"/>
  <c r="M1267" i="1"/>
  <c r="L1267" i="1"/>
  <c r="K1267" i="1"/>
  <c r="J1267" i="1"/>
  <c r="I1267" i="1"/>
  <c r="M1266" i="1"/>
  <c r="K1266" i="1"/>
  <c r="J1266" i="1"/>
  <c r="I1266" i="1"/>
  <c r="L1266" i="1" s="1"/>
  <c r="M1265" i="1"/>
  <c r="J1265" i="1"/>
  <c r="K1265" i="1" s="1"/>
  <c r="I1265" i="1"/>
  <c r="L1265" i="1" s="1"/>
  <c r="M1264" i="1"/>
  <c r="J1264" i="1"/>
  <c r="K1264" i="1" s="1"/>
  <c r="I1264" i="1"/>
  <c r="L1264" i="1" s="1"/>
  <c r="M1263" i="1"/>
  <c r="L1263" i="1"/>
  <c r="J1263" i="1"/>
  <c r="K1263" i="1" s="1"/>
  <c r="I1263" i="1"/>
  <c r="M1262" i="1"/>
  <c r="L1262" i="1"/>
  <c r="K1262" i="1"/>
  <c r="J1262" i="1"/>
  <c r="I1262" i="1"/>
  <c r="M1261" i="1"/>
  <c r="L1261" i="1"/>
  <c r="J1261" i="1"/>
  <c r="K1261" i="1" s="1"/>
  <c r="I1261" i="1"/>
  <c r="M1260" i="1"/>
  <c r="K1260" i="1"/>
  <c r="J1260" i="1"/>
  <c r="I1260" i="1"/>
  <c r="L1260" i="1" s="1"/>
  <c r="M1259" i="1"/>
  <c r="L1259" i="1"/>
  <c r="K1259" i="1"/>
  <c r="J1259" i="1"/>
  <c r="I1259" i="1"/>
  <c r="M1258" i="1"/>
  <c r="K1258" i="1"/>
  <c r="J1258" i="1"/>
  <c r="I1258" i="1"/>
  <c r="L1258" i="1" s="1"/>
  <c r="M1257" i="1"/>
  <c r="J1257" i="1"/>
  <c r="K1257" i="1" s="1"/>
  <c r="I1257" i="1"/>
  <c r="L1257" i="1" s="1"/>
  <c r="M1256" i="1"/>
  <c r="J1256" i="1"/>
  <c r="K1256" i="1" s="1"/>
  <c r="I1256" i="1"/>
  <c r="L1256" i="1" s="1"/>
  <c r="M1255" i="1"/>
  <c r="L1255" i="1"/>
  <c r="J1255" i="1"/>
  <c r="K1255" i="1" s="1"/>
  <c r="I1255" i="1"/>
  <c r="M1254" i="1"/>
  <c r="L1254" i="1"/>
  <c r="K1254" i="1"/>
  <c r="J1254" i="1"/>
  <c r="I1254" i="1"/>
  <c r="M1253" i="1"/>
  <c r="L1253" i="1"/>
  <c r="J1253" i="1"/>
  <c r="K1253" i="1" s="1"/>
  <c r="I1253" i="1"/>
  <c r="M1252" i="1"/>
  <c r="K1252" i="1"/>
  <c r="J1252" i="1"/>
  <c r="I1252" i="1"/>
  <c r="L1252" i="1" s="1"/>
  <c r="M1251" i="1"/>
  <c r="L1251" i="1"/>
  <c r="K1251" i="1"/>
  <c r="J1251" i="1"/>
  <c r="I1251" i="1"/>
  <c r="M1250" i="1"/>
  <c r="K1250" i="1"/>
  <c r="J1250" i="1"/>
  <c r="I1250" i="1"/>
  <c r="L1250" i="1" s="1"/>
  <c r="M1249" i="1"/>
  <c r="J1249" i="1"/>
  <c r="K1249" i="1" s="1"/>
  <c r="I1249" i="1"/>
  <c r="L1249" i="1" s="1"/>
  <c r="M1248" i="1"/>
  <c r="J1248" i="1"/>
  <c r="K1248" i="1" s="1"/>
  <c r="I1248" i="1"/>
  <c r="L1248" i="1" s="1"/>
  <c r="M1247" i="1"/>
  <c r="L1247" i="1"/>
  <c r="J1247" i="1"/>
  <c r="K1247" i="1" s="1"/>
  <c r="I1247" i="1"/>
  <c r="M1246" i="1"/>
  <c r="L1246" i="1"/>
  <c r="K1246" i="1"/>
  <c r="J1246" i="1"/>
  <c r="I1246" i="1"/>
  <c r="M1245" i="1"/>
  <c r="L1245" i="1"/>
  <c r="J1245" i="1"/>
  <c r="K1245" i="1" s="1"/>
  <c r="I1245" i="1"/>
  <c r="M1244" i="1"/>
  <c r="K1244" i="1"/>
  <c r="J1244" i="1"/>
  <c r="I1244" i="1"/>
  <c r="L1244" i="1" s="1"/>
  <c r="M1243" i="1"/>
  <c r="L1243" i="1"/>
  <c r="K1243" i="1"/>
  <c r="J1243" i="1"/>
  <c r="I1243" i="1"/>
  <c r="M1242" i="1"/>
  <c r="K1242" i="1"/>
  <c r="J1242" i="1"/>
  <c r="I1242" i="1"/>
  <c r="L1242" i="1" s="1"/>
  <c r="M1241" i="1"/>
  <c r="J1241" i="1"/>
  <c r="K1241" i="1" s="1"/>
  <c r="I1241" i="1"/>
  <c r="L1241" i="1" s="1"/>
  <c r="M1240" i="1"/>
  <c r="J1240" i="1"/>
  <c r="K1240" i="1" s="1"/>
  <c r="I1240" i="1"/>
  <c r="L1240" i="1" s="1"/>
  <c r="M1239" i="1"/>
  <c r="L1239" i="1"/>
  <c r="J1239" i="1"/>
  <c r="K1239" i="1" s="1"/>
  <c r="I1239" i="1"/>
  <c r="M1238" i="1"/>
  <c r="L1238" i="1"/>
  <c r="K1238" i="1"/>
  <c r="J1238" i="1"/>
  <c r="I1238" i="1"/>
  <c r="M1237" i="1"/>
  <c r="L1237" i="1"/>
  <c r="J1237" i="1"/>
  <c r="K1237" i="1" s="1"/>
  <c r="I1237" i="1"/>
  <c r="M1236" i="1"/>
  <c r="K1236" i="1"/>
  <c r="J1236" i="1"/>
  <c r="I1236" i="1"/>
  <c r="L1236" i="1" s="1"/>
  <c r="M1235" i="1"/>
  <c r="L1235" i="1"/>
  <c r="K1235" i="1"/>
  <c r="J1235" i="1"/>
  <c r="I1235" i="1"/>
  <c r="M1234" i="1"/>
  <c r="K1234" i="1"/>
  <c r="J1234" i="1"/>
  <c r="I1234" i="1"/>
  <c r="L1234" i="1" s="1"/>
  <c r="M1233" i="1"/>
  <c r="J1233" i="1"/>
  <c r="K1233" i="1" s="1"/>
  <c r="I1233" i="1"/>
  <c r="L1233" i="1" s="1"/>
  <c r="M1232" i="1"/>
  <c r="J1232" i="1"/>
  <c r="K1232" i="1" s="1"/>
  <c r="I1232" i="1"/>
  <c r="L1232" i="1" s="1"/>
  <c r="M1231" i="1"/>
  <c r="L1231" i="1"/>
  <c r="J1231" i="1"/>
  <c r="K1231" i="1" s="1"/>
  <c r="I1231" i="1"/>
  <c r="M1230" i="1"/>
  <c r="L1230" i="1"/>
  <c r="K1230" i="1"/>
  <c r="J1230" i="1"/>
  <c r="I1230" i="1"/>
  <c r="M1229" i="1"/>
  <c r="L1229" i="1"/>
  <c r="J1229" i="1"/>
  <c r="K1229" i="1" s="1"/>
  <c r="I1229" i="1"/>
  <c r="M1228" i="1"/>
  <c r="K1228" i="1"/>
  <c r="J1228" i="1"/>
  <c r="I1228" i="1"/>
  <c r="L1228" i="1" s="1"/>
  <c r="M1227" i="1"/>
  <c r="L1227" i="1"/>
  <c r="K1227" i="1"/>
  <c r="J1227" i="1"/>
  <c r="I1227" i="1"/>
  <c r="M1226" i="1"/>
  <c r="K1226" i="1"/>
  <c r="J1226" i="1"/>
  <c r="I1226" i="1"/>
  <c r="L1226" i="1" s="1"/>
  <c r="M1225" i="1"/>
  <c r="J1225" i="1"/>
  <c r="K1225" i="1" s="1"/>
  <c r="I1225" i="1"/>
  <c r="L1225" i="1" s="1"/>
  <c r="M1224" i="1"/>
  <c r="J1224" i="1"/>
  <c r="K1224" i="1" s="1"/>
  <c r="I1224" i="1"/>
  <c r="L1224" i="1" s="1"/>
  <c r="M1223" i="1"/>
  <c r="L1223" i="1"/>
  <c r="J1223" i="1"/>
  <c r="K1223" i="1" s="1"/>
  <c r="I1223" i="1"/>
  <c r="M1222" i="1"/>
  <c r="L1222" i="1"/>
  <c r="K1222" i="1"/>
  <c r="J1222" i="1"/>
  <c r="I1222" i="1"/>
  <c r="M1221" i="1"/>
  <c r="L1221" i="1"/>
  <c r="J1221" i="1"/>
  <c r="K1221" i="1" s="1"/>
  <c r="I1221" i="1"/>
  <c r="M1220" i="1"/>
  <c r="K1220" i="1"/>
  <c r="J1220" i="1"/>
  <c r="I1220" i="1"/>
  <c r="L1220" i="1" s="1"/>
  <c r="M1219" i="1"/>
  <c r="L1219" i="1"/>
  <c r="K1219" i="1"/>
  <c r="J1219" i="1"/>
  <c r="I1219" i="1"/>
  <c r="M1218" i="1"/>
  <c r="K1218" i="1"/>
  <c r="J1218" i="1"/>
  <c r="I1218" i="1"/>
  <c r="L1218" i="1" s="1"/>
  <c r="M1217" i="1"/>
  <c r="J1217" i="1"/>
  <c r="K1217" i="1" s="1"/>
  <c r="I1217" i="1"/>
  <c r="L1217" i="1" s="1"/>
  <c r="M1216" i="1"/>
  <c r="J1216" i="1"/>
  <c r="K1216" i="1" s="1"/>
  <c r="I1216" i="1"/>
  <c r="L1216" i="1" s="1"/>
  <c r="M1215" i="1"/>
  <c r="L1215" i="1"/>
  <c r="J1215" i="1"/>
  <c r="K1215" i="1" s="1"/>
  <c r="I1215" i="1"/>
  <c r="M1214" i="1"/>
  <c r="L1214" i="1"/>
  <c r="K1214" i="1"/>
  <c r="J1214" i="1"/>
  <c r="I1214" i="1"/>
  <c r="M1213" i="1"/>
  <c r="L1213" i="1"/>
  <c r="J1213" i="1"/>
  <c r="K1213" i="1" s="1"/>
  <c r="I1213" i="1"/>
  <c r="M1212" i="1"/>
  <c r="K1212" i="1"/>
  <c r="J1212" i="1"/>
  <c r="I1212" i="1"/>
  <c r="L1212" i="1" s="1"/>
  <c r="M1211" i="1"/>
  <c r="L1211" i="1"/>
  <c r="K1211" i="1"/>
  <c r="J1211" i="1"/>
  <c r="I1211" i="1"/>
  <c r="M1210" i="1"/>
  <c r="K1210" i="1"/>
  <c r="J1210" i="1"/>
  <c r="I1210" i="1"/>
  <c r="L1210" i="1" s="1"/>
  <c r="M1209" i="1"/>
  <c r="J1209" i="1"/>
  <c r="K1209" i="1" s="1"/>
  <c r="I1209" i="1"/>
  <c r="L1209" i="1" s="1"/>
  <c r="M1208" i="1"/>
  <c r="J1208" i="1"/>
  <c r="K1208" i="1" s="1"/>
  <c r="I1208" i="1"/>
  <c r="L1208" i="1" s="1"/>
  <c r="M1207" i="1"/>
  <c r="L1207" i="1"/>
  <c r="J1207" i="1"/>
  <c r="K1207" i="1" s="1"/>
  <c r="I1207" i="1"/>
  <c r="M1206" i="1"/>
  <c r="L1206" i="1"/>
  <c r="K1206" i="1"/>
  <c r="J1206" i="1"/>
  <c r="I1206" i="1"/>
  <c r="M1205" i="1"/>
  <c r="L1205" i="1"/>
  <c r="J1205" i="1"/>
  <c r="K1205" i="1" s="1"/>
  <c r="I1205" i="1"/>
  <c r="M1204" i="1"/>
  <c r="K1204" i="1"/>
  <c r="J1204" i="1"/>
  <c r="I1204" i="1"/>
  <c r="L1204" i="1" s="1"/>
  <c r="M1203" i="1"/>
  <c r="L1203" i="1"/>
  <c r="K1203" i="1"/>
  <c r="J1203" i="1"/>
  <c r="I1203" i="1"/>
  <c r="M1202" i="1"/>
  <c r="K1202" i="1"/>
  <c r="J1202" i="1"/>
  <c r="I1202" i="1"/>
  <c r="L1202" i="1" s="1"/>
  <c r="M1201" i="1"/>
  <c r="J1201" i="1"/>
  <c r="K1201" i="1" s="1"/>
  <c r="I1201" i="1"/>
  <c r="L1201" i="1" s="1"/>
  <c r="M1200" i="1"/>
  <c r="J1200" i="1"/>
  <c r="K1200" i="1" s="1"/>
  <c r="I1200" i="1"/>
  <c r="L1200" i="1" s="1"/>
  <c r="M1199" i="1"/>
  <c r="L1199" i="1"/>
  <c r="J1199" i="1"/>
  <c r="K1199" i="1" s="1"/>
  <c r="I1199" i="1"/>
  <c r="M1198" i="1"/>
  <c r="L1198" i="1"/>
  <c r="K1198" i="1"/>
  <c r="J1198" i="1"/>
  <c r="I1198" i="1"/>
  <c r="M1197" i="1"/>
  <c r="L1197" i="1"/>
  <c r="J1197" i="1"/>
  <c r="K1197" i="1" s="1"/>
  <c r="I1197" i="1"/>
  <c r="M1196" i="1"/>
  <c r="K1196" i="1"/>
  <c r="J1196" i="1"/>
  <c r="I1196" i="1"/>
  <c r="L1196" i="1" s="1"/>
  <c r="M1195" i="1"/>
  <c r="L1195" i="1"/>
  <c r="K1195" i="1"/>
  <c r="J1195" i="1"/>
  <c r="I1195" i="1"/>
  <c r="M1194" i="1"/>
  <c r="K1194" i="1"/>
  <c r="J1194" i="1"/>
  <c r="I1194" i="1"/>
  <c r="L1194" i="1" s="1"/>
  <c r="M1193" i="1"/>
  <c r="J1193" i="1"/>
  <c r="K1193" i="1" s="1"/>
  <c r="I1193" i="1"/>
  <c r="L1193" i="1" s="1"/>
  <c r="M1192" i="1"/>
  <c r="J1192" i="1"/>
  <c r="K1192" i="1" s="1"/>
  <c r="I1192" i="1"/>
  <c r="L1192" i="1" s="1"/>
  <c r="M1191" i="1"/>
  <c r="L1191" i="1"/>
  <c r="J1191" i="1"/>
  <c r="K1191" i="1" s="1"/>
  <c r="I1191" i="1"/>
  <c r="M1190" i="1"/>
  <c r="L1190" i="1"/>
  <c r="K1190" i="1"/>
  <c r="J1190" i="1"/>
  <c r="I1190" i="1"/>
  <c r="M1189" i="1"/>
  <c r="L1189" i="1"/>
  <c r="J1189" i="1"/>
  <c r="K1189" i="1" s="1"/>
  <c r="I1189" i="1"/>
  <c r="M1188" i="1"/>
  <c r="K1188" i="1"/>
  <c r="J1188" i="1"/>
  <c r="I1188" i="1"/>
  <c r="L1188" i="1" s="1"/>
  <c r="M1187" i="1"/>
  <c r="L1187" i="1"/>
  <c r="K1187" i="1"/>
  <c r="J1187" i="1"/>
  <c r="I1187" i="1"/>
  <c r="M1186" i="1"/>
  <c r="K1186" i="1"/>
  <c r="J1186" i="1"/>
  <c r="I1186" i="1"/>
  <c r="L1186" i="1" s="1"/>
  <c r="M1185" i="1"/>
  <c r="J1185" i="1"/>
  <c r="K1185" i="1" s="1"/>
  <c r="I1185" i="1"/>
  <c r="L1185" i="1" s="1"/>
  <c r="M1184" i="1"/>
  <c r="J1184" i="1"/>
  <c r="K1184" i="1" s="1"/>
  <c r="I1184" i="1"/>
  <c r="L1184" i="1" s="1"/>
  <c r="M1183" i="1"/>
  <c r="L1183" i="1"/>
  <c r="J1183" i="1"/>
  <c r="K1183" i="1" s="1"/>
  <c r="I1183" i="1"/>
  <c r="M1182" i="1"/>
  <c r="L1182" i="1"/>
  <c r="K1182" i="1"/>
  <c r="J1182" i="1"/>
  <c r="I1182" i="1"/>
  <c r="M1181" i="1"/>
  <c r="L1181" i="1"/>
  <c r="J1181" i="1"/>
  <c r="K1181" i="1" s="1"/>
  <c r="I1181" i="1"/>
  <c r="M1180" i="1"/>
  <c r="K1180" i="1"/>
  <c r="J1180" i="1"/>
  <c r="I1180" i="1"/>
  <c r="L1180" i="1" s="1"/>
  <c r="M1179" i="1"/>
  <c r="L1179" i="1"/>
  <c r="K1179" i="1"/>
  <c r="J1179" i="1"/>
  <c r="I1179" i="1"/>
  <c r="M1178" i="1"/>
  <c r="K1178" i="1"/>
  <c r="J1178" i="1"/>
  <c r="I1178" i="1"/>
  <c r="L1178" i="1" s="1"/>
  <c r="M1177" i="1"/>
  <c r="J1177" i="1"/>
  <c r="K1177" i="1" s="1"/>
  <c r="I1177" i="1"/>
  <c r="L1177" i="1" s="1"/>
  <c r="M1176" i="1"/>
  <c r="J1176" i="1"/>
  <c r="K1176" i="1" s="1"/>
  <c r="I1176" i="1"/>
  <c r="L1176" i="1" s="1"/>
  <c r="M1175" i="1"/>
  <c r="L1175" i="1"/>
  <c r="J1175" i="1"/>
  <c r="K1175" i="1" s="1"/>
  <c r="I1175" i="1"/>
  <c r="M1174" i="1"/>
  <c r="L1174" i="1"/>
  <c r="K1174" i="1"/>
  <c r="J1174" i="1"/>
  <c r="I1174" i="1"/>
  <c r="M1173" i="1"/>
  <c r="L1173" i="1"/>
  <c r="J1173" i="1"/>
  <c r="K1173" i="1" s="1"/>
  <c r="I1173" i="1"/>
  <c r="M1172" i="1"/>
  <c r="K1172" i="1"/>
  <c r="J1172" i="1"/>
  <c r="I1172" i="1"/>
  <c r="L1172" i="1" s="1"/>
  <c r="M1171" i="1"/>
  <c r="L1171" i="1"/>
  <c r="K1171" i="1"/>
  <c r="J1171" i="1"/>
  <c r="I1171" i="1"/>
  <c r="M1170" i="1"/>
  <c r="K1170" i="1"/>
  <c r="J1170" i="1"/>
  <c r="I1170" i="1"/>
  <c r="L1170" i="1" s="1"/>
  <c r="M1169" i="1"/>
  <c r="J1169" i="1"/>
  <c r="K1169" i="1" s="1"/>
  <c r="I1169" i="1"/>
  <c r="L1169" i="1" s="1"/>
  <c r="M1168" i="1"/>
  <c r="J1168" i="1"/>
  <c r="K1168" i="1" s="1"/>
  <c r="I1168" i="1"/>
  <c r="L1168" i="1" s="1"/>
  <c r="M1167" i="1"/>
  <c r="L1167" i="1"/>
  <c r="J1167" i="1"/>
  <c r="K1167" i="1" s="1"/>
  <c r="I1167" i="1"/>
  <c r="M1166" i="1"/>
  <c r="L1166" i="1"/>
  <c r="K1166" i="1"/>
  <c r="J1166" i="1"/>
  <c r="I1166" i="1"/>
  <c r="M1165" i="1"/>
  <c r="L1165" i="1"/>
  <c r="J1165" i="1"/>
  <c r="K1165" i="1" s="1"/>
  <c r="I1165" i="1"/>
  <c r="M1164" i="1"/>
  <c r="K1164" i="1"/>
  <c r="J1164" i="1"/>
  <c r="I1164" i="1"/>
  <c r="L1164" i="1" s="1"/>
  <c r="M1163" i="1"/>
  <c r="L1163" i="1"/>
  <c r="K1163" i="1"/>
  <c r="J1163" i="1"/>
  <c r="I1163" i="1"/>
  <c r="M1162" i="1"/>
  <c r="K1162" i="1"/>
  <c r="J1162" i="1"/>
  <c r="I1162" i="1"/>
  <c r="L1162" i="1" s="1"/>
  <c r="M1161" i="1"/>
  <c r="J1161" i="1"/>
  <c r="K1161" i="1" s="1"/>
  <c r="I1161" i="1"/>
  <c r="L1161" i="1" s="1"/>
  <c r="M1160" i="1"/>
  <c r="J1160" i="1"/>
  <c r="K1160" i="1" s="1"/>
  <c r="I1160" i="1"/>
  <c r="L1160" i="1" s="1"/>
  <c r="M1159" i="1"/>
  <c r="L1159" i="1"/>
  <c r="J1159" i="1"/>
  <c r="K1159" i="1" s="1"/>
  <c r="I1159" i="1"/>
  <c r="M1158" i="1"/>
  <c r="L1158" i="1"/>
  <c r="K1158" i="1"/>
  <c r="J1158" i="1"/>
  <c r="I1158" i="1"/>
  <c r="M1157" i="1"/>
  <c r="L1157" i="1"/>
  <c r="J1157" i="1"/>
  <c r="K1157" i="1" s="1"/>
  <c r="I1157" i="1"/>
  <c r="M1156" i="1"/>
  <c r="K1156" i="1"/>
  <c r="J1156" i="1"/>
  <c r="I1156" i="1"/>
  <c r="L1156" i="1" s="1"/>
  <c r="M1155" i="1"/>
  <c r="L1155" i="1"/>
  <c r="K1155" i="1"/>
  <c r="J1155" i="1"/>
  <c r="I1155" i="1"/>
  <c r="M1154" i="1"/>
  <c r="K1154" i="1"/>
  <c r="J1154" i="1"/>
  <c r="I1154" i="1"/>
  <c r="L1154" i="1" s="1"/>
  <c r="M1153" i="1"/>
  <c r="J1153" i="1"/>
  <c r="K1153" i="1" s="1"/>
  <c r="I1153" i="1"/>
  <c r="L1153" i="1" s="1"/>
  <c r="M1152" i="1"/>
  <c r="K1152" i="1"/>
  <c r="J1152" i="1"/>
  <c r="I1152" i="1"/>
  <c r="L1152" i="1" s="1"/>
  <c r="M1151" i="1"/>
  <c r="L1151" i="1"/>
  <c r="J1151" i="1"/>
  <c r="K1151" i="1" s="1"/>
  <c r="I1151" i="1"/>
  <c r="M1150" i="1"/>
  <c r="K1150" i="1"/>
  <c r="J1150" i="1"/>
  <c r="I1150" i="1"/>
  <c r="L1150" i="1" s="1"/>
  <c r="M1149" i="1"/>
  <c r="L1149" i="1"/>
  <c r="J1149" i="1"/>
  <c r="K1149" i="1" s="1"/>
  <c r="I1149" i="1"/>
  <c r="M1148" i="1"/>
  <c r="K1148" i="1"/>
  <c r="J1148" i="1"/>
  <c r="I1148" i="1"/>
  <c r="L1148" i="1" s="1"/>
  <c r="M1147" i="1"/>
  <c r="L1147" i="1"/>
  <c r="K1147" i="1"/>
  <c r="J1147" i="1"/>
  <c r="I1147" i="1"/>
  <c r="M1146" i="1"/>
  <c r="K1146" i="1"/>
  <c r="J1146" i="1"/>
  <c r="I1146" i="1"/>
  <c r="L1146" i="1" s="1"/>
  <c r="M1145" i="1"/>
  <c r="J1145" i="1"/>
  <c r="K1145" i="1" s="1"/>
  <c r="I1145" i="1"/>
  <c r="L1145" i="1" s="1"/>
  <c r="M1144" i="1"/>
  <c r="K1144" i="1"/>
  <c r="J1144" i="1"/>
  <c r="I1144" i="1"/>
  <c r="L1144" i="1" s="1"/>
  <c r="M1143" i="1"/>
  <c r="L1143" i="1"/>
  <c r="J1143" i="1"/>
  <c r="K1143" i="1" s="1"/>
  <c r="I1143" i="1"/>
  <c r="M1142" i="1"/>
  <c r="K1142" i="1"/>
  <c r="J1142" i="1"/>
  <c r="I1142" i="1"/>
  <c r="L1142" i="1" s="1"/>
  <c r="M1141" i="1"/>
  <c r="L1141" i="1"/>
  <c r="J1141" i="1"/>
  <c r="K1141" i="1" s="1"/>
  <c r="I1141" i="1"/>
  <c r="M1140" i="1"/>
  <c r="K1140" i="1"/>
  <c r="J1140" i="1"/>
  <c r="I1140" i="1"/>
  <c r="L1140" i="1" s="1"/>
  <c r="M1139" i="1"/>
  <c r="L1139" i="1"/>
  <c r="K1139" i="1"/>
  <c r="J1139" i="1"/>
  <c r="I1139" i="1"/>
  <c r="M1138" i="1"/>
  <c r="K1138" i="1"/>
  <c r="J1138" i="1"/>
  <c r="I1138" i="1"/>
  <c r="L1138" i="1" s="1"/>
  <c r="M1137" i="1"/>
  <c r="J1137" i="1"/>
  <c r="K1137" i="1" s="1"/>
  <c r="I1137" i="1"/>
  <c r="L1137" i="1" s="1"/>
  <c r="M1136" i="1"/>
  <c r="K1136" i="1"/>
  <c r="J1136" i="1"/>
  <c r="I1136" i="1"/>
  <c r="L1136" i="1" s="1"/>
  <c r="M1135" i="1"/>
  <c r="L1135" i="1"/>
  <c r="J1135" i="1"/>
  <c r="K1135" i="1" s="1"/>
  <c r="I1135" i="1"/>
  <c r="M1134" i="1"/>
  <c r="K1134" i="1"/>
  <c r="J1134" i="1"/>
  <c r="I1134" i="1"/>
  <c r="L1134" i="1" s="1"/>
  <c r="M1133" i="1"/>
  <c r="L1133" i="1"/>
  <c r="J1133" i="1"/>
  <c r="K1133" i="1" s="1"/>
  <c r="I1133" i="1"/>
  <c r="M1132" i="1"/>
  <c r="K1132" i="1"/>
  <c r="J1132" i="1"/>
  <c r="I1132" i="1"/>
  <c r="L1132" i="1" s="1"/>
  <c r="M1131" i="1"/>
  <c r="L1131" i="1"/>
  <c r="K1131" i="1"/>
  <c r="J1131" i="1"/>
  <c r="I1131" i="1"/>
  <c r="M1130" i="1"/>
  <c r="K1130" i="1"/>
  <c r="J1130" i="1"/>
  <c r="I1130" i="1"/>
  <c r="L1130" i="1" s="1"/>
  <c r="M1129" i="1"/>
  <c r="J1129" i="1"/>
  <c r="K1129" i="1" s="1"/>
  <c r="I1129" i="1"/>
  <c r="L1129" i="1" s="1"/>
  <c r="M1128" i="1"/>
  <c r="K1128" i="1"/>
  <c r="J1128" i="1"/>
  <c r="I1128" i="1"/>
  <c r="L1128" i="1" s="1"/>
  <c r="M1127" i="1"/>
  <c r="L1127" i="1"/>
  <c r="J1127" i="1"/>
  <c r="K1127" i="1" s="1"/>
  <c r="I1127" i="1"/>
  <c r="M1126" i="1"/>
  <c r="K1126" i="1"/>
  <c r="J1126" i="1"/>
  <c r="I1126" i="1"/>
  <c r="L1126" i="1" s="1"/>
  <c r="M1125" i="1"/>
  <c r="L1125" i="1"/>
  <c r="J1125" i="1"/>
  <c r="K1125" i="1" s="1"/>
  <c r="I1125" i="1"/>
  <c r="M1124" i="1"/>
  <c r="K1124" i="1"/>
  <c r="J1124" i="1"/>
  <c r="I1124" i="1"/>
  <c r="L1124" i="1" s="1"/>
  <c r="M1123" i="1"/>
  <c r="L1123" i="1"/>
  <c r="J1123" i="1"/>
  <c r="K1123" i="1" s="1"/>
  <c r="I1123" i="1"/>
  <c r="M1122" i="1"/>
  <c r="K1122" i="1"/>
  <c r="J1122" i="1"/>
  <c r="I1122" i="1"/>
  <c r="L1122" i="1" s="1"/>
  <c r="M1121" i="1"/>
  <c r="J1121" i="1"/>
  <c r="K1121" i="1" s="1"/>
  <c r="I1121" i="1"/>
  <c r="L1121" i="1" s="1"/>
  <c r="M1120" i="1"/>
  <c r="K1120" i="1"/>
  <c r="J1120" i="1"/>
  <c r="I1120" i="1"/>
  <c r="L1120" i="1" s="1"/>
  <c r="M1119" i="1"/>
  <c r="L1119" i="1"/>
  <c r="J1119" i="1"/>
  <c r="K1119" i="1" s="1"/>
  <c r="I1119" i="1"/>
  <c r="M1118" i="1"/>
  <c r="K1118" i="1"/>
  <c r="J1118" i="1"/>
  <c r="I1118" i="1"/>
  <c r="L1118" i="1" s="1"/>
  <c r="M1117" i="1"/>
  <c r="L1117" i="1"/>
  <c r="J1117" i="1"/>
  <c r="K1117" i="1" s="1"/>
  <c r="I1117" i="1"/>
  <c r="M1116" i="1"/>
  <c r="K1116" i="1"/>
  <c r="J1116" i="1"/>
  <c r="I1116" i="1"/>
  <c r="L1116" i="1" s="1"/>
  <c r="M1115" i="1"/>
  <c r="L1115" i="1"/>
  <c r="J1115" i="1"/>
  <c r="K1115" i="1" s="1"/>
  <c r="I1115" i="1"/>
  <c r="M1114" i="1"/>
  <c r="K1114" i="1"/>
  <c r="J1114" i="1"/>
  <c r="I1114" i="1"/>
  <c r="L1114" i="1" s="1"/>
  <c r="M1113" i="1"/>
  <c r="J1113" i="1"/>
  <c r="K1113" i="1" s="1"/>
  <c r="I1113" i="1"/>
  <c r="L1113" i="1" s="1"/>
  <c r="M1112" i="1"/>
  <c r="K1112" i="1"/>
  <c r="J1112" i="1"/>
  <c r="I1112" i="1"/>
  <c r="L1112" i="1" s="1"/>
  <c r="M1111" i="1"/>
  <c r="L1111" i="1"/>
  <c r="J1111" i="1"/>
  <c r="K1111" i="1" s="1"/>
  <c r="I1111" i="1"/>
  <c r="M1110" i="1"/>
  <c r="K1110" i="1"/>
  <c r="J1110" i="1"/>
  <c r="I1110" i="1"/>
  <c r="L1110" i="1" s="1"/>
  <c r="M1109" i="1"/>
  <c r="L1109" i="1"/>
  <c r="J1109" i="1"/>
  <c r="K1109" i="1" s="1"/>
  <c r="I1109" i="1"/>
  <c r="M1108" i="1"/>
  <c r="K1108" i="1"/>
  <c r="J1108" i="1"/>
  <c r="I1108" i="1"/>
  <c r="L1108" i="1" s="1"/>
  <c r="M1107" i="1"/>
  <c r="L1107" i="1"/>
  <c r="J1107" i="1"/>
  <c r="K1107" i="1" s="1"/>
  <c r="I1107" i="1"/>
  <c r="M1106" i="1"/>
  <c r="K1106" i="1"/>
  <c r="J1106" i="1"/>
  <c r="I1106" i="1"/>
  <c r="L1106" i="1" s="1"/>
  <c r="M1105" i="1"/>
  <c r="J1105" i="1"/>
  <c r="K1105" i="1" s="1"/>
  <c r="I1105" i="1"/>
  <c r="L1105" i="1" s="1"/>
  <c r="M1104" i="1"/>
  <c r="K1104" i="1"/>
  <c r="J1104" i="1"/>
  <c r="I1104" i="1"/>
  <c r="L1104" i="1" s="1"/>
  <c r="M1103" i="1"/>
  <c r="L1103" i="1"/>
  <c r="J1103" i="1"/>
  <c r="K1103" i="1" s="1"/>
  <c r="I1103" i="1"/>
  <c r="M1102" i="1"/>
  <c r="K1102" i="1"/>
  <c r="J1102" i="1"/>
  <c r="I1102" i="1"/>
  <c r="L1102" i="1" s="1"/>
  <c r="M1101" i="1"/>
  <c r="L1101" i="1"/>
  <c r="J1101" i="1"/>
  <c r="K1101" i="1" s="1"/>
  <c r="I1101" i="1"/>
  <c r="M1100" i="1"/>
  <c r="K1100" i="1"/>
  <c r="J1100" i="1"/>
  <c r="I1100" i="1"/>
  <c r="L1100" i="1" s="1"/>
  <c r="M1099" i="1"/>
  <c r="L1099" i="1"/>
  <c r="J1099" i="1"/>
  <c r="K1099" i="1" s="1"/>
  <c r="I1099" i="1"/>
  <c r="M1098" i="1"/>
  <c r="K1098" i="1"/>
  <c r="J1098" i="1"/>
  <c r="I1098" i="1"/>
  <c r="L1098" i="1" s="1"/>
  <c r="M1097" i="1"/>
  <c r="J1097" i="1"/>
  <c r="K1097" i="1" s="1"/>
  <c r="I1097" i="1"/>
  <c r="L1097" i="1" s="1"/>
  <c r="M1096" i="1"/>
  <c r="K1096" i="1"/>
  <c r="J1096" i="1"/>
  <c r="I1096" i="1"/>
  <c r="L1096" i="1" s="1"/>
  <c r="M1095" i="1"/>
  <c r="L1095" i="1"/>
  <c r="J1095" i="1"/>
  <c r="K1095" i="1" s="1"/>
  <c r="I1095" i="1"/>
  <c r="M1094" i="1"/>
  <c r="K1094" i="1"/>
  <c r="J1094" i="1"/>
  <c r="I1094" i="1"/>
  <c r="L1094" i="1" s="1"/>
  <c r="M1093" i="1"/>
  <c r="L1093" i="1"/>
  <c r="J1093" i="1"/>
  <c r="K1093" i="1" s="1"/>
  <c r="I1093" i="1"/>
  <c r="M1092" i="1"/>
  <c r="K1092" i="1"/>
  <c r="J1092" i="1"/>
  <c r="I1092" i="1"/>
  <c r="L1092" i="1" s="1"/>
  <c r="M1091" i="1"/>
  <c r="L1091" i="1"/>
  <c r="J1091" i="1"/>
  <c r="K1091" i="1" s="1"/>
  <c r="I1091" i="1"/>
  <c r="M1090" i="1"/>
  <c r="K1090" i="1"/>
  <c r="J1090" i="1"/>
  <c r="I1090" i="1"/>
  <c r="L1090" i="1" s="1"/>
  <c r="M1089" i="1"/>
  <c r="J1089" i="1"/>
  <c r="K1089" i="1" s="1"/>
  <c r="I1089" i="1"/>
  <c r="L1089" i="1" s="1"/>
  <c r="M1088" i="1"/>
  <c r="K1088" i="1"/>
  <c r="J1088" i="1"/>
  <c r="I1088" i="1"/>
  <c r="L1088" i="1" s="1"/>
  <c r="M1087" i="1"/>
  <c r="L1087" i="1"/>
  <c r="J1087" i="1"/>
  <c r="K1087" i="1" s="1"/>
  <c r="I1087" i="1"/>
  <c r="M1086" i="1"/>
  <c r="K1086" i="1"/>
  <c r="J1086" i="1"/>
  <c r="I1086" i="1"/>
  <c r="L1086" i="1" s="1"/>
  <c r="M1085" i="1"/>
  <c r="L1085" i="1"/>
  <c r="J1085" i="1"/>
  <c r="K1085" i="1" s="1"/>
  <c r="I1085" i="1"/>
  <c r="M1084" i="1"/>
  <c r="K1084" i="1"/>
  <c r="J1084" i="1"/>
  <c r="I1084" i="1"/>
  <c r="L1084" i="1" s="1"/>
  <c r="M1083" i="1"/>
  <c r="L1083" i="1"/>
  <c r="J1083" i="1"/>
  <c r="K1083" i="1" s="1"/>
  <c r="I1083" i="1"/>
  <c r="M1082" i="1"/>
  <c r="K1082" i="1"/>
  <c r="J1082" i="1"/>
  <c r="I1082" i="1"/>
  <c r="L1082" i="1" s="1"/>
  <c r="M1081" i="1"/>
  <c r="J1081" i="1"/>
  <c r="K1081" i="1" s="1"/>
  <c r="I1081" i="1"/>
  <c r="L1081" i="1" s="1"/>
  <c r="M1080" i="1"/>
  <c r="K1080" i="1"/>
  <c r="J1080" i="1"/>
  <c r="I1080" i="1"/>
  <c r="L1080" i="1" s="1"/>
  <c r="M1079" i="1"/>
  <c r="L1079" i="1"/>
  <c r="J1079" i="1"/>
  <c r="K1079" i="1" s="1"/>
  <c r="I1079" i="1"/>
  <c r="M1078" i="1"/>
  <c r="K1078" i="1"/>
  <c r="J1078" i="1"/>
  <c r="I1078" i="1"/>
  <c r="L1078" i="1" s="1"/>
  <c r="M1077" i="1"/>
  <c r="L1077" i="1"/>
  <c r="J1077" i="1"/>
  <c r="K1077" i="1" s="1"/>
  <c r="I1077" i="1"/>
  <c r="M1076" i="1"/>
  <c r="K1076" i="1"/>
  <c r="J1076" i="1"/>
  <c r="I1076" i="1"/>
  <c r="L1076" i="1" s="1"/>
  <c r="M1075" i="1"/>
  <c r="L1075" i="1"/>
  <c r="J1075" i="1"/>
  <c r="K1075" i="1" s="1"/>
  <c r="I1075" i="1"/>
  <c r="M1074" i="1"/>
  <c r="K1074" i="1"/>
  <c r="J1074" i="1"/>
  <c r="I1074" i="1"/>
  <c r="L1074" i="1" s="1"/>
  <c r="M1073" i="1"/>
  <c r="J1073" i="1"/>
  <c r="K1073" i="1" s="1"/>
  <c r="I1073" i="1"/>
  <c r="L1073" i="1" s="1"/>
  <c r="M1072" i="1"/>
  <c r="K1072" i="1"/>
  <c r="J1072" i="1"/>
  <c r="I1072" i="1"/>
  <c r="L1072" i="1" s="1"/>
  <c r="M1071" i="1"/>
  <c r="L1071" i="1"/>
  <c r="J1071" i="1"/>
  <c r="K1071" i="1" s="1"/>
  <c r="I1071" i="1"/>
  <c r="M1070" i="1"/>
  <c r="K1070" i="1"/>
  <c r="J1070" i="1"/>
  <c r="I1070" i="1"/>
  <c r="L1070" i="1" s="1"/>
  <c r="M1069" i="1"/>
  <c r="L1069" i="1"/>
  <c r="J1069" i="1"/>
  <c r="K1069" i="1" s="1"/>
  <c r="I1069" i="1"/>
  <c r="M1068" i="1"/>
  <c r="K1068" i="1"/>
  <c r="J1068" i="1"/>
  <c r="I1068" i="1"/>
  <c r="L1068" i="1" s="1"/>
  <c r="M1067" i="1"/>
  <c r="L1067" i="1"/>
  <c r="J1067" i="1"/>
  <c r="K1067" i="1" s="1"/>
  <c r="I1067" i="1"/>
  <c r="M1066" i="1"/>
  <c r="K1066" i="1"/>
  <c r="J1066" i="1"/>
  <c r="I1066" i="1"/>
  <c r="L1066" i="1" s="1"/>
  <c r="M1065" i="1"/>
  <c r="J1065" i="1"/>
  <c r="K1065" i="1" s="1"/>
  <c r="I1065" i="1"/>
  <c r="L1065" i="1" s="1"/>
  <c r="M1064" i="1"/>
  <c r="K1064" i="1"/>
  <c r="J1064" i="1"/>
  <c r="I1064" i="1"/>
  <c r="L1064" i="1" s="1"/>
  <c r="M1063" i="1"/>
  <c r="L1063" i="1"/>
  <c r="J1063" i="1"/>
  <c r="K1063" i="1" s="1"/>
  <c r="I1063" i="1"/>
  <c r="M1062" i="1"/>
  <c r="K1062" i="1"/>
  <c r="J1062" i="1"/>
  <c r="I1062" i="1"/>
  <c r="L1062" i="1" s="1"/>
  <c r="M1061" i="1"/>
  <c r="L1061" i="1"/>
  <c r="J1061" i="1"/>
  <c r="K1061" i="1" s="1"/>
  <c r="I1061" i="1"/>
  <c r="M1060" i="1"/>
  <c r="K1060" i="1"/>
  <c r="J1060" i="1"/>
  <c r="I1060" i="1"/>
  <c r="L1060" i="1" s="1"/>
  <c r="M1059" i="1"/>
  <c r="L1059" i="1"/>
  <c r="J1059" i="1"/>
  <c r="K1059" i="1" s="1"/>
  <c r="I1059" i="1"/>
  <c r="M1058" i="1"/>
  <c r="K1058" i="1"/>
  <c r="J1058" i="1"/>
  <c r="I1058" i="1"/>
  <c r="L1058" i="1" s="1"/>
  <c r="M1057" i="1"/>
  <c r="J1057" i="1"/>
  <c r="K1057" i="1" s="1"/>
  <c r="I1057" i="1"/>
  <c r="L1057" i="1" s="1"/>
  <c r="M1056" i="1"/>
  <c r="K1056" i="1"/>
  <c r="J1056" i="1"/>
  <c r="I1056" i="1"/>
  <c r="L1056" i="1" s="1"/>
  <c r="M1055" i="1"/>
  <c r="L1055" i="1"/>
  <c r="J1055" i="1"/>
  <c r="K1055" i="1" s="1"/>
  <c r="I1055" i="1"/>
  <c r="M1054" i="1"/>
  <c r="K1054" i="1"/>
  <c r="J1054" i="1"/>
  <c r="I1054" i="1"/>
  <c r="L1054" i="1" s="1"/>
  <c r="M1053" i="1"/>
  <c r="L1053" i="1"/>
  <c r="J1053" i="1"/>
  <c r="K1053" i="1" s="1"/>
  <c r="I1053" i="1"/>
  <c r="M1052" i="1"/>
  <c r="K1052" i="1"/>
  <c r="J1052" i="1"/>
  <c r="I1052" i="1"/>
  <c r="L1052" i="1" s="1"/>
  <c r="M1051" i="1"/>
  <c r="L1051" i="1"/>
  <c r="J1051" i="1"/>
  <c r="K1051" i="1" s="1"/>
  <c r="I1051" i="1"/>
  <c r="M1050" i="1"/>
  <c r="K1050" i="1"/>
  <c r="J1050" i="1"/>
  <c r="I1050" i="1"/>
  <c r="L1050" i="1" s="1"/>
  <c r="M1049" i="1"/>
  <c r="J1049" i="1"/>
  <c r="K1049" i="1" s="1"/>
  <c r="I1049" i="1"/>
  <c r="L1049" i="1" s="1"/>
  <c r="M1048" i="1"/>
  <c r="L1048" i="1"/>
  <c r="J1048" i="1"/>
  <c r="K1048" i="1" s="1"/>
  <c r="I1048" i="1"/>
  <c r="M1047" i="1"/>
  <c r="K1047" i="1"/>
  <c r="J1047" i="1"/>
  <c r="I1047" i="1"/>
  <c r="L1047" i="1" s="1"/>
  <c r="M1046" i="1"/>
  <c r="L1046" i="1"/>
  <c r="J1046" i="1"/>
  <c r="K1046" i="1" s="1"/>
  <c r="I1046" i="1"/>
  <c r="M1045" i="1"/>
  <c r="K1045" i="1"/>
  <c r="J1045" i="1"/>
  <c r="I1045" i="1"/>
  <c r="L1045" i="1" s="1"/>
  <c r="M1044" i="1"/>
  <c r="L1044" i="1"/>
  <c r="J1044" i="1"/>
  <c r="K1044" i="1" s="1"/>
  <c r="I1044" i="1"/>
  <c r="M1043" i="1"/>
  <c r="K1043" i="1"/>
  <c r="J1043" i="1"/>
  <c r="I1043" i="1"/>
  <c r="L1043" i="1" s="1"/>
  <c r="M1042" i="1"/>
  <c r="L1042" i="1"/>
  <c r="J1042" i="1"/>
  <c r="K1042" i="1" s="1"/>
  <c r="I1042" i="1"/>
  <c r="M1041" i="1"/>
  <c r="K1041" i="1"/>
  <c r="J1041" i="1"/>
  <c r="I1041" i="1"/>
  <c r="L1041" i="1" s="1"/>
  <c r="M1040" i="1"/>
  <c r="L1040" i="1"/>
  <c r="J1040" i="1"/>
  <c r="K1040" i="1" s="1"/>
  <c r="I1040" i="1"/>
  <c r="M1039" i="1"/>
  <c r="K1039" i="1"/>
  <c r="J1039" i="1"/>
  <c r="I1039" i="1"/>
  <c r="L1039" i="1" s="1"/>
  <c r="M1038" i="1"/>
  <c r="L1038" i="1"/>
  <c r="J1038" i="1"/>
  <c r="K1038" i="1" s="1"/>
  <c r="I1038" i="1"/>
  <c r="M1037" i="1"/>
  <c r="K1037" i="1"/>
  <c r="J1037" i="1"/>
  <c r="I1037" i="1"/>
  <c r="L1037" i="1" s="1"/>
  <c r="M1036" i="1"/>
  <c r="L1036" i="1"/>
  <c r="J1036" i="1"/>
  <c r="K1036" i="1" s="1"/>
  <c r="I1036" i="1"/>
  <c r="M1035" i="1"/>
  <c r="K1035" i="1"/>
  <c r="J1035" i="1"/>
  <c r="I1035" i="1"/>
  <c r="L1035" i="1" s="1"/>
  <c r="M1034" i="1"/>
  <c r="L1034" i="1"/>
  <c r="J1034" i="1"/>
  <c r="K1034" i="1" s="1"/>
  <c r="I1034" i="1"/>
  <c r="M1033" i="1"/>
  <c r="K1033" i="1"/>
  <c r="J1033" i="1"/>
  <c r="I1033" i="1"/>
  <c r="L1033" i="1" s="1"/>
  <c r="M1032" i="1"/>
  <c r="L1032" i="1"/>
  <c r="J1032" i="1"/>
  <c r="K1032" i="1" s="1"/>
  <c r="I1032" i="1"/>
  <c r="M1031" i="1"/>
  <c r="K1031" i="1"/>
  <c r="J1031" i="1"/>
  <c r="I1031" i="1"/>
  <c r="L1031" i="1" s="1"/>
  <c r="M1030" i="1"/>
  <c r="L1030" i="1"/>
  <c r="J1030" i="1"/>
  <c r="K1030" i="1" s="1"/>
  <c r="I1030" i="1"/>
  <c r="M1029" i="1"/>
  <c r="K1029" i="1"/>
  <c r="J1029" i="1"/>
  <c r="I1029" i="1"/>
  <c r="L1029" i="1" s="1"/>
  <c r="M1028" i="1"/>
  <c r="L1028" i="1"/>
  <c r="J1028" i="1"/>
  <c r="K1028" i="1" s="1"/>
  <c r="I1028" i="1"/>
  <c r="M1027" i="1"/>
  <c r="K1027" i="1"/>
  <c r="J1027" i="1"/>
  <c r="I1027" i="1"/>
  <c r="L1027" i="1" s="1"/>
  <c r="M1026" i="1"/>
  <c r="L1026" i="1"/>
  <c r="J1026" i="1"/>
  <c r="K1026" i="1" s="1"/>
  <c r="I1026" i="1"/>
  <c r="M1025" i="1"/>
  <c r="K1025" i="1"/>
  <c r="J1025" i="1"/>
  <c r="I1025" i="1"/>
  <c r="L1025" i="1" s="1"/>
  <c r="M1024" i="1"/>
  <c r="L1024" i="1"/>
  <c r="J1024" i="1"/>
  <c r="K1024" i="1" s="1"/>
  <c r="I1024" i="1"/>
  <c r="M1023" i="1"/>
  <c r="K1023" i="1"/>
  <c r="J1023" i="1"/>
  <c r="I1023" i="1"/>
  <c r="L1023" i="1" s="1"/>
  <c r="M1022" i="1"/>
  <c r="L1022" i="1"/>
  <c r="J1022" i="1"/>
  <c r="K1022" i="1" s="1"/>
  <c r="I1022" i="1"/>
  <c r="M1021" i="1"/>
  <c r="K1021" i="1"/>
  <c r="J1021" i="1"/>
  <c r="I1021" i="1"/>
  <c r="L1021" i="1" s="1"/>
  <c r="M1020" i="1"/>
  <c r="L1020" i="1"/>
  <c r="J1020" i="1"/>
  <c r="K1020" i="1" s="1"/>
  <c r="I1020" i="1"/>
  <c r="M1019" i="1"/>
  <c r="K1019" i="1"/>
  <c r="J1019" i="1"/>
  <c r="I1019" i="1"/>
  <c r="L1019" i="1" s="1"/>
  <c r="M1018" i="1"/>
  <c r="L1018" i="1"/>
  <c r="J1018" i="1"/>
  <c r="K1018" i="1" s="1"/>
  <c r="I1018" i="1"/>
  <c r="M1017" i="1"/>
  <c r="K1017" i="1"/>
  <c r="J1017" i="1"/>
  <c r="I1017" i="1"/>
  <c r="L1017" i="1" s="1"/>
  <c r="M1016" i="1"/>
  <c r="L1016" i="1"/>
  <c r="J1016" i="1"/>
  <c r="K1016" i="1" s="1"/>
  <c r="I1016" i="1"/>
  <c r="M1015" i="1"/>
  <c r="K1015" i="1"/>
  <c r="J1015" i="1"/>
  <c r="I1015" i="1"/>
  <c r="L1015" i="1" s="1"/>
  <c r="M1014" i="1"/>
  <c r="L1014" i="1"/>
  <c r="J1014" i="1"/>
  <c r="K1014" i="1" s="1"/>
  <c r="I1014" i="1"/>
  <c r="M1013" i="1"/>
  <c r="K1013" i="1"/>
  <c r="J1013" i="1"/>
  <c r="I1013" i="1"/>
  <c r="L1013" i="1" s="1"/>
  <c r="M1012" i="1"/>
  <c r="L1012" i="1"/>
  <c r="J1012" i="1"/>
  <c r="K1012" i="1" s="1"/>
  <c r="I1012" i="1"/>
  <c r="M1011" i="1"/>
  <c r="K1011" i="1"/>
  <c r="J1011" i="1"/>
  <c r="I1011" i="1"/>
  <c r="L1011" i="1" s="1"/>
  <c r="M1010" i="1"/>
  <c r="L1010" i="1"/>
  <c r="J1010" i="1"/>
  <c r="K1010" i="1" s="1"/>
  <c r="I1010" i="1"/>
  <c r="M1009" i="1"/>
  <c r="K1009" i="1"/>
  <c r="J1009" i="1"/>
  <c r="I1009" i="1"/>
  <c r="L1009" i="1" s="1"/>
  <c r="M1008" i="1"/>
  <c r="L1008" i="1"/>
  <c r="J1008" i="1"/>
  <c r="K1008" i="1" s="1"/>
  <c r="I1008" i="1"/>
  <c r="M1007" i="1"/>
  <c r="K1007" i="1"/>
  <c r="J1007" i="1"/>
  <c r="I1007" i="1"/>
  <c r="L1007" i="1" s="1"/>
  <c r="M1006" i="1"/>
  <c r="L1006" i="1"/>
  <c r="J1006" i="1"/>
  <c r="K1006" i="1" s="1"/>
  <c r="I1006" i="1"/>
  <c r="M1005" i="1"/>
  <c r="K1005" i="1"/>
  <c r="J1005" i="1"/>
  <c r="I1005" i="1"/>
  <c r="L1005" i="1" s="1"/>
  <c r="M1004" i="1"/>
  <c r="L1004" i="1"/>
  <c r="J1004" i="1"/>
  <c r="K1004" i="1" s="1"/>
  <c r="I1004" i="1"/>
  <c r="M1003" i="1"/>
  <c r="K1003" i="1"/>
  <c r="J1003" i="1"/>
  <c r="I1003" i="1"/>
  <c r="L1003" i="1" s="1"/>
  <c r="M1002" i="1"/>
  <c r="L1002" i="1"/>
  <c r="J1002" i="1"/>
  <c r="K1002" i="1" s="1"/>
  <c r="I1002" i="1"/>
  <c r="M1001" i="1"/>
  <c r="K1001" i="1"/>
  <c r="J1001" i="1"/>
  <c r="I1001" i="1"/>
  <c r="L1001" i="1" s="1"/>
  <c r="M1000" i="1"/>
  <c r="L1000" i="1"/>
  <c r="J1000" i="1"/>
  <c r="K1000" i="1" s="1"/>
  <c r="I1000" i="1"/>
  <c r="M999" i="1"/>
  <c r="K999" i="1"/>
  <c r="J999" i="1"/>
  <c r="I999" i="1"/>
  <c r="L999" i="1" s="1"/>
  <c r="M998" i="1"/>
  <c r="L998" i="1"/>
  <c r="J998" i="1"/>
  <c r="K998" i="1" s="1"/>
  <c r="I998" i="1"/>
  <c r="M997" i="1"/>
  <c r="K997" i="1"/>
  <c r="J997" i="1"/>
  <c r="I997" i="1"/>
  <c r="L997" i="1" s="1"/>
  <c r="M996" i="1"/>
  <c r="L996" i="1"/>
  <c r="J996" i="1"/>
  <c r="K996" i="1" s="1"/>
  <c r="I996" i="1"/>
  <c r="M995" i="1"/>
  <c r="K995" i="1"/>
  <c r="J995" i="1"/>
  <c r="I995" i="1"/>
  <c r="L995" i="1" s="1"/>
  <c r="M994" i="1"/>
  <c r="L994" i="1"/>
  <c r="J994" i="1"/>
  <c r="K994" i="1" s="1"/>
  <c r="I994" i="1"/>
  <c r="M993" i="1"/>
  <c r="K993" i="1"/>
  <c r="J993" i="1"/>
  <c r="I993" i="1"/>
  <c r="L993" i="1" s="1"/>
  <c r="M992" i="1"/>
  <c r="L992" i="1"/>
  <c r="J992" i="1"/>
  <c r="K992" i="1" s="1"/>
  <c r="I992" i="1"/>
  <c r="M991" i="1"/>
  <c r="K991" i="1"/>
  <c r="J991" i="1"/>
  <c r="I991" i="1"/>
  <c r="L991" i="1" s="1"/>
  <c r="M990" i="1"/>
  <c r="L990" i="1"/>
  <c r="J990" i="1"/>
  <c r="K990" i="1" s="1"/>
  <c r="I990" i="1"/>
  <c r="M989" i="1"/>
  <c r="K989" i="1"/>
  <c r="J989" i="1"/>
  <c r="I989" i="1"/>
  <c r="L989" i="1" s="1"/>
  <c r="M988" i="1"/>
  <c r="L988" i="1"/>
  <c r="J988" i="1"/>
  <c r="K988" i="1" s="1"/>
  <c r="I988" i="1"/>
  <c r="M987" i="1"/>
  <c r="K987" i="1"/>
  <c r="J987" i="1"/>
  <c r="I987" i="1"/>
  <c r="L987" i="1" s="1"/>
  <c r="M986" i="1"/>
  <c r="L986" i="1"/>
  <c r="J986" i="1"/>
  <c r="K986" i="1" s="1"/>
  <c r="I986" i="1"/>
  <c r="M985" i="1"/>
  <c r="K985" i="1"/>
  <c r="J985" i="1"/>
  <c r="I985" i="1"/>
  <c r="L985" i="1" s="1"/>
  <c r="M984" i="1"/>
  <c r="L984" i="1"/>
  <c r="J984" i="1"/>
  <c r="K984" i="1" s="1"/>
  <c r="I984" i="1"/>
  <c r="M983" i="1"/>
  <c r="K983" i="1"/>
  <c r="J983" i="1"/>
  <c r="I983" i="1"/>
  <c r="L983" i="1" s="1"/>
  <c r="M982" i="1"/>
  <c r="L982" i="1"/>
  <c r="J982" i="1"/>
  <c r="K982" i="1" s="1"/>
  <c r="I982" i="1"/>
  <c r="M981" i="1"/>
  <c r="K981" i="1"/>
  <c r="J981" i="1"/>
  <c r="I981" i="1"/>
  <c r="L981" i="1" s="1"/>
  <c r="M980" i="1"/>
  <c r="L980" i="1"/>
  <c r="J980" i="1"/>
  <c r="K980" i="1" s="1"/>
  <c r="I980" i="1"/>
  <c r="M979" i="1"/>
  <c r="K979" i="1"/>
  <c r="J979" i="1"/>
  <c r="I979" i="1"/>
  <c r="L979" i="1" s="1"/>
  <c r="M978" i="1"/>
  <c r="L978" i="1"/>
  <c r="J978" i="1"/>
  <c r="K978" i="1" s="1"/>
  <c r="I978" i="1"/>
  <c r="M977" i="1"/>
  <c r="K977" i="1"/>
  <c r="J977" i="1"/>
  <c r="I977" i="1"/>
  <c r="L977" i="1" s="1"/>
  <c r="M976" i="1"/>
  <c r="L976" i="1"/>
  <c r="J976" i="1"/>
  <c r="K976" i="1" s="1"/>
  <c r="I976" i="1"/>
  <c r="M975" i="1"/>
  <c r="K975" i="1"/>
  <c r="J975" i="1"/>
  <c r="I975" i="1"/>
  <c r="L975" i="1" s="1"/>
  <c r="M974" i="1"/>
  <c r="L974" i="1"/>
  <c r="J974" i="1"/>
  <c r="K974" i="1" s="1"/>
  <c r="I974" i="1"/>
  <c r="M973" i="1"/>
  <c r="K973" i="1"/>
  <c r="J973" i="1"/>
  <c r="I973" i="1"/>
  <c r="L973" i="1" s="1"/>
  <c r="M972" i="1"/>
  <c r="L972" i="1"/>
  <c r="J972" i="1"/>
  <c r="K972" i="1" s="1"/>
  <c r="I972" i="1"/>
  <c r="M971" i="1"/>
  <c r="K971" i="1"/>
  <c r="J971" i="1"/>
  <c r="I971" i="1"/>
  <c r="L971" i="1" s="1"/>
  <c r="M970" i="1"/>
  <c r="L970" i="1"/>
  <c r="J970" i="1"/>
  <c r="K970" i="1" s="1"/>
  <c r="I970" i="1"/>
  <c r="M969" i="1"/>
  <c r="K969" i="1"/>
  <c r="J969" i="1"/>
  <c r="I969" i="1"/>
  <c r="L969" i="1" s="1"/>
  <c r="M968" i="1"/>
  <c r="L968" i="1"/>
  <c r="J968" i="1"/>
  <c r="K968" i="1" s="1"/>
  <c r="I968" i="1"/>
  <c r="M967" i="1"/>
  <c r="K967" i="1"/>
  <c r="J967" i="1"/>
  <c r="I967" i="1"/>
  <c r="L967" i="1" s="1"/>
  <c r="M966" i="1"/>
  <c r="L966" i="1"/>
  <c r="J966" i="1"/>
  <c r="K966" i="1" s="1"/>
  <c r="I966" i="1"/>
  <c r="M965" i="1"/>
  <c r="K965" i="1"/>
  <c r="J965" i="1"/>
  <c r="I965" i="1"/>
  <c r="L965" i="1" s="1"/>
  <c r="M964" i="1"/>
  <c r="L964" i="1"/>
  <c r="J964" i="1"/>
  <c r="K964" i="1" s="1"/>
  <c r="I964" i="1"/>
  <c r="M963" i="1"/>
  <c r="K963" i="1"/>
  <c r="J963" i="1"/>
  <c r="I963" i="1"/>
  <c r="L963" i="1" s="1"/>
  <c r="M962" i="1"/>
  <c r="L962" i="1"/>
  <c r="J962" i="1"/>
  <c r="K962" i="1" s="1"/>
  <c r="I962" i="1"/>
  <c r="M961" i="1"/>
  <c r="K961" i="1"/>
  <c r="J961" i="1"/>
  <c r="I961" i="1"/>
  <c r="L961" i="1" s="1"/>
  <c r="M960" i="1"/>
  <c r="L960" i="1"/>
  <c r="J960" i="1"/>
  <c r="K960" i="1" s="1"/>
  <c r="I960" i="1"/>
  <c r="M959" i="1"/>
  <c r="K959" i="1"/>
  <c r="J959" i="1"/>
  <c r="I959" i="1"/>
  <c r="L959" i="1" s="1"/>
  <c r="M958" i="1"/>
  <c r="L958" i="1"/>
  <c r="J958" i="1"/>
  <c r="K958" i="1" s="1"/>
  <c r="I958" i="1"/>
  <c r="M957" i="1"/>
  <c r="K957" i="1"/>
  <c r="J957" i="1"/>
  <c r="I957" i="1"/>
  <c r="L957" i="1" s="1"/>
  <c r="M956" i="1"/>
  <c r="L956" i="1"/>
  <c r="J956" i="1"/>
  <c r="K956" i="1" s="1"/>
  <c r="I956" i="1"/>
  <c r="M955" i="1"/>
  <c r="K955" i="1"/>
  <c r="J955" i="1"/>
  <c r="I955" i="1"/>
  <c r="L955" i="1" s="1"/>
  <c r="M954" i="1"/>
  <c r="L954" i="1"/>
  <c r="J954" i="1"/>
  <c r="K954" i="1" s="1"/>
  <c r="I954" i="1"/>
  <c r="M953" i="1"/>
  <c r="K953" i="1"/>
  <c r="J953" i="1"/>
  <c r="I953" i="1"/>
  <c r="L953" i="1" s="1"/>
  <c r="M952" i="1"/>
  <c r="L952" i="1"/>
  <c r="J952" i="1"/>
  <c r="K952" i="1" s="1"/>
  <c r="I952" i="1"/>
  <c r="M951" i="1"/>
  <c r="K951" i="1"/>
  <c r="J951" i="1"/>
  <c r="I951" i="1"/>
  <c r="L951" i="1" s="1"/>
  <c r="M950" i="1"/>
  <c r="L950" i="1"/>
  <c r="J950" i="1"/>
  <c r="K950" i="1" s="1"/>
  <c r="I950" i="1"/>
  <c r="M949" i="1"/>
  <c r="K949" i="1"/>
  <c r="J949" i="1"/>
  <c r="I949" i="1"/>
  <c r="L949" i="1" s="1"/>
  <c r="M948" i="1"/>
  <c r="L948" i="1"/>
  <c r="J948" i="1"/>
  <c r="K948" i="1" s="1"/>
  <c r="I948" i="1"/>
  <c r="M947" i="1"/>
  <c r="K947" i="1"/>
  <c r="J947" i="1"/>
  <c r="I947" i="1"/>
  <c r="L947" i="1" s="1"/>
  <c r="M946" i="1"/>
  <c r="L946" i="1"/>
  <c r="J946" i="1"/>
  <c r="K946" i="1" s="1"/>
  <c r="I946" i="1"/>
  <c r="M945" i="1"/>
  <c r="K945" i="1"/>
  <c r="J945" i="1"/>
  <c r="I945" i="1"/>
  <c r="L945" i="1" s="1"/>
  <c r="M944" i="1"/>
  <c r="L944" i="1"/>
  <c r="J944" i="1"/>
  <c r="K944" i="1" s="1"/>
  <c r="I944" i="1"/>
  <c r="M943" i="1"/>
  <c r="K943" i="1"/>
  <c r="J943" i="1"/>
  <c r="I943" i="1"/>
  <c r="L943" i="1" s="1"/>
  <c r="M942" i="1"/>
  <c r="L942" i="1"/>
  <c r="J942" i="1"/>
  <c r="K942" i="1" s="1"/>
  <c r="I942" i="1"/>
  <c r="M941" i="1"/>
  <c r="K941" i="1"/>
  <c r="J941" i="1"/>
  <c r="I941" i="1"/>
  <c r="L941" i="1" s="1"/>
  <c r="M940" i="1"/>
  <c r="L940" i="1"/>
  <c r="J940" i="1"/>
  <c r="K940" i="1" s="1"/>
  <c r="I940" i="1"/>
  <c r="M939" i="1"/>
  <c r="K939" i="1"/>
  <c r="J939" i="1"/>
  <c r="I939" i="1"/>
  <c r="L939" i="1" s="1"/>
  <c r="M938" i="1"/>
  <c r="L938" i="1"/>
  <c r="J938" i="1"/>
  <c r="K938" i="1" s="1"/>
  <c r="I938" i="1"/>
  <c r="M937" i="1"/>
  <c r="K937" i="1"/>
  <c r="J937" i="1"/>
  <c r="I937" i="1"/>
  <c r="L937" i="1" s="1"/>
  <c r="M936" i="1"/>
  <c r="L936" i="1"/>
  <c r="J936" i="1"/>
  <c r="K936" i="1" s="1"/>
  <c r="I936" i="1"/>
  <c r="M935" i="1"/>
  <c r="K935" i="1"/>
  <c r="J935" i="1"/>
  <c r="I935" i="1"/>
  <c r="L935" i="1" s="1"/>
  <c r="M934" i="1"/>
  <c r="L934" i="1"/>
  <c r="J934" i="1"/>
  <c r="K934" i="1" s="1"/>
  <c r="I934" i="1"/>
  <c r="M933" i="1"/>
  <c r="K933" i="1"/>
  <c r="J933" i="1"/>
  <c r="I933" i="1"/>
  <c r="L933" i="1" s="1"/>
  <c r="M932" i="1"/>
  <c r="L932" i="1"/>
  <c r="J932" i="1"/>
  <c r="K932" i="1" s="1"/>
  <c r="I932" i="1"/>
  <c r="M931" i="1"/>
  <c r="K931" i="1"/>
  <c r="J931" i="1"/>
  <c r="I931" i="1"/>
  <c r="L931" i="1" s="1"/>
  <c r="M930" i="1"/>
  <c r="L930" i="1"/>
  <c r="J930" i="1"/>
  <c r="K930" i="1" s="1"/>
  <c r="I930" i="1"/>
  <c r="M929" i="1"/>
  <c r="K929" i="1"/>
  <c r="J929" i="1"/>
  <c r="I929" i="1"/>
  <c r="L929" i="1" s="1"/>
  <c r="M928" i="1"/>
  <c r="L928" i="1"/>
  <c r="J928" i="1"/>
  <c r="K928" i="1" s="1"/>
  <c r="I928" i="1"/>
  <c r="M927" i="1"/>
  <c r="K927" i="1"/>
  <c r="J927" i="1"/>
  <c r="I927" i="1"/>
  <c r="L927" i="1" s="1"/>
  <c r="M926" i="1"/>
  <c r="L926" i="1"/>
  <c r="J926" i="1"/>
  <c r="K926" i="1" s="1"/>
  <c r="I926" i="1"/>
  <c r="M925" i="1"/>
  <c r="K925" i="1"/>
  <c r="J925" i="1"/>
  <c r="I925" i="1"/>
  <c r="L925" i="1" s="1"/>
  <c r="M924" i="1"/>
  <c r="L924" i="1"/>
  <c r="J924" i="1"/>
  <c r="K924" i="1" s="1"/>
  <c r="I924" i="1"/>
  <c r="M923" i="1"/>
  <c r="K923" i="1"/>
  <c r="J923" i="1"/>
  <c r="I923" i="1"/>
  <c r="L923" i="1" s="1"/>
  <c r="M922" i="1"/>
  <c r="L922" i="1"/>
  <c r="J922" i="1"/>
  <c r="K922" i="1" s="1"/>
  <c r="I922" i="1"/>
  <c r="M921" i="1"/>
  <c r="K921" i="1"/>
  <c r="J921" i="1"/>
  <c r="I921" i="1"/>
  <c r="L921" i="1" s="1"/>
  <c r="M920" i="1"/>
  <c r="L920" i="1"/>
  <c r="J920" i="1"/>
  <c r="K920" i="1" s="1"/>
  <c r="I920" i="1"/>
  <c r="M919" i="1"/>
  <c r="K919" i="1"/>
  <c r="J919" i="1"/>
  <c r="I919" i="1"/>
  <c r="L919" i="1" s="1"/>
  <c r="M918" i="1"/>
  <c r="L918" i="1"/>
  <c r="J918" i="1"/>
  <c r="K918" i="1" s="1"/>
  <c r="I918" i="1"/>
  <c r="M917" i="1"/>
  <c r="K917" i="1"/>
  <c r="J917" i="1"/>
  <c r="I917" i="1"/>
  <c r="L917" i="1" s="1"/>
  <c r="M916" i="1"/>
  <c r="L916" i="1"/>
  <c r="J916" i="1"/>
  <c r="K916" i="1" s="1"/>
  <c r="I916" i="1"/>
  <c r="M915" i="1"/>
  <c r="K915" i="1"/>
  <c r="J915" i="1"/>
  <c r="I915" i="1"/>
  <c r="L915" i="1" s="1"/>
  <c r="M914" i="1"/>
  <c r="L914" i="1"/>
  <c r="J914" i="1"/>
  <c r="K914" i="1" s="1"/>
  <c r="I914" i="1"/>
  <c r="M913" i="1"/>
  <c r="K913" i="1"/>
  <c r="J913" i="1"/>
  <c r="I913" i="1"/>
  <c r="L913" i="1" s="1"/>
  <c r="M912" i="1"/>
  <c r="L912" i="1"/>
  <c r="J912" i="1"/>
  <c r="K912" i="1" s="1"/>
  <c r="I912" i="1"/>
  <c r="M911" i="1"/>
  <c r="K911" i="1"/>
  <c r="J911" i="1"/>
  <c r="I911" i="1"/>
  <c r="L911" i="1" s="1"/>
  <c r="M910" i="1"/>
  <c r="L910" i="1"/>
  <c r="J910" i="1"/>
  <c r="K910" i="1" s="1"/>
  <c r="I910" i="1"/>
  <c r="M909" i="1"/>
  <c r="K909" i="1"/>
  <c r="J909" i="1"/>
  <c r="I909" i="1"/>
  <c r="L909" i="1" s="1"/>
  <c r="M908" i="1"/>
  <c r="L908" i="1"/>
  <c r="J908" i="1"/>
  <c r="K908" i="1" s="1"/>
  <c r="I908" i="1"/>
  <c r="M907" i="1"/>
  <c r="K907" i="1"/>
  <c r="J907" i="1"/>
  <c r="I907" i="1"/>
  <c r="L907" i="1" s="1"/>
  <c r="M906" i="1"/>
  <c r="L906" i="1"/>
  <c r="J906" i="1"/>
  <c r="K906" i="1" s="1"/>
  <c r="I906" i="1"/>
  <c r="M905" i="1"/>
  <c r="K905" i="1"/>
  <c r="J905" i="1"/>
  <c r="I905" i="1"/>
  <c r="L905" i="1" s="1"/>
  <c r="M904" i="1"/>
  <c r="L904" i="1"/>
  <c r="J904" i="1"/>
  <c r="K904" i="1" s="1"/>
  <c r="I904" i="1"/>
  <c r="M903" i="1"/>
  <c r="K903" i="1"/>
  <c r="J903" i="1"/>
  <c r="I903" i="1"/>
  <c r="L903" i="1" s="1"/>
  <c r="M902" i="1"/>
  <c r="L902" i="1"/>
  <c r="J902" i="1"/>
  <c r="K902" i="1" s="1"/>
  <c r="I902" i="1"/>
  <c r="M901" i="1"/>
  <c r="K901" i="1"/>
  <c r="J901" i="1"/>
  <c r="I901" i="1"/>
  <c r="L901" i="1" s="1"/>
  <c r="M900" i="1"/>
  <c r="L900" i="1"/>
  <c r="J900" i="1"/>
  <c r="K900" i="1" s="1"/>
  <c r="I900" i="1"/>
  <c r="M899" i="1"/>
  <c r="K899" i="1"/>
  <c r="J899" i="1"/>
  <c r="I899" i="1"/>
  <c r="L899" i="1" s="1"/>
  <c r="M898" i="1"/>
  <c r="L898" i="1"/>
  <c r="J898" i="1"/>
  <c r="K898" i="1" s="1"/>
  <c r="I898" i="1"/>
  <c r="M897" i="1"/>
  <c r="K897" i="1"/>
  <c r="J897" i="1"/>
  <c r="I897" i="1"/>
  <c r="L897" i="1" s="1"/>
  <c r="M896" i="1"/>
  <c r="L896" i="1"/>
  <c r="J896" i="1"/>
  <c r="K896" i="1" s="1"/>
  <c r="I896" i="1"/>
  <c r="M895" i="1"/>
  <c r="K895" i="1"/>
  <c r="J895" i="1"/>
  <c r="I895" i="1"/>
  <c r="L895" i="1" s="1"/>
  <c r="M894" i="1"/>
  <c r="L894" i="1"/>
  <c r="J894" i="1"/>
  <c r="K894" i="1" s="1"/>
  <c r="I894" i="1"/>
  <c r="M893" i="1"/>
  <c r="K893" i="1"/>
  <c r="J893" i="1"/>
  <c r="I893" i="1"/>
  <c r="L893" i="1" s="1"/>
  <c r="M892" i="1"/>
  <c r="L892" i="1"/>
  <c r="J892" i="1"/>
  <c r="K892" i="1" s="1"/>
  <c r="I892" i="1"/>
  <c r="M891" i="1"/>
  <c r="K891" i="1"/>
  <c r="J891" i="1"/>
  <c r="I891" i="1"/>
  <c r="L891" i="1" s="1"/>
  <c r="M890" i="1"/>
  <c r="L890" i="1"/>
  <c r="J890" i="1"/>
  <c r="K890" i="1" s="1"/>
  <c r="I890" i="1"/>
  <c r="M889" i="1"/>
  <c r="K889" i="1"/>
  <c r="J889" i="1"/>
  <c r="I889" i="1"/>
  <c r="L889" i="1" s="1"/>
  <c r="M888" i="1"/>
  <c r="L888" i="1"/>
  <c r="J888" i="1"/>
  <c r="K888" i="1" s="1"/>
  <c r="I888" i="1"/>
  <c r="M887" i="1"/>
  <c r="K887" i="1"/>
  <c r="J887" i="1"/>
  <c r="I887" i="1"/>
  <c r="L887" i="1" s="1"/>
  <c r="M886" i="1"/>
  <c r="L886" i="1"/>
  <c r="J886" i="1"/>
  <c r="K886" i="1" s="1"/>
  <c r="I886" i="1"/>
  <c r="M885" i="1"/>
  <c r="K885" i="1"/>
  <c r="J885" i="1"/>
  <c r="I885" i="1"/>
  <c r="L885" i="1" s="1"/>
  <c r="M884" i="1"/>
  <c r="L884" i="1"/>
  <c r="J884" i="1"/>
  <c r="K884" i="1" s="1"/>
  <c r="I884" i="1"/>
  <c r="M883" i="1"/>
  <c r="K883" i="1"/>
  <c r="J883" i="1"/>
  <c r="I883" i="1"/>
  <c r="L883" i="1" s="1"/>
  <c r="M882" i="1"/>
  <c r="L882" i="1"/>
  <c r="J882" i="1"/>
  <c r="K882" i="1" s="1"/>
  <c r="I882" i="1"/>
  <c r="M881" i="1"/>
  <c r="K881" i="1"/>
  <c r="J881" i="1"/>
  <c r="I881" i="1"/>
  <c r="L881" i="1" s="1"/>
  <c r="M880" i="1"/>
  <c r="L880" i="1"/>
  <c r="J880" i="1"/>
  <c r="K880" i="1" s="1"/>
  <c r="I880" i="1"/>
  <c r="M879" i="1"/>
  <c r="K879" i="1"/>
  <c r="J879" i="1"/>
  <c r="I879" i="1"/>
  <c r="L879" i="1" s="1"/>
  <c r="M878" i="1"/>
  <c r="L878" i="1"/>
  <c r="J878" i="1"/>
  <c r="K878" i="1" s="1"/>
  <c r="I878" i="1"/>
  <c r="M877" i="1"/>
  <c r="K877" i="1"/>
  <c r="J877" i="1"/>
  <c r="I877" i="1"/>
  <c r="L877" i="1" s="1"/>
  <c r="M876" i="1"/>
  <c r="L876" i="1"/>
  <c r="J876" i="1"/>
  <c r="K876" i="1" s="1"/>
  <c r="I876" i="1"/>
  <c r="M875" i="1"/>
  <c r="K875" i="1"/>
  <c r="J875" i="1"/>
  <c r="I875" i="1"/>
  <c r="L875" i="1" s="1"/>
  <c r="M874" i="1"/>
  <c r="L874" i="1"/>
  <c r="J874" i="1"/>
  <c r="K874" i="1" s="1"/>
  <c r="I874" i="1"/>
  <c r="M873" i="1"/>
  <c r="K873" i="1"/>
  <c r="J873" i="1"/>
  <c r="I873" i="1"/>
  <c r="L873" i="1" s="1"/>
  <c r="M872" i="1"/>
  <c r="L872" i="1"/>
  <c r="J872" i="1"/>
  <c r="K872" i="1" s="1"/>
  <c r="I872" i="1"/>
  <c r="M871" i="1"/>
  <c r="K871" i="1"/>
  <c r="J871" i="1"/>
  <c r="I871" i="1"/>
  <c r="L871" i="1" s="1"/>
  <c r="M870" i="1"/>
  <c r="L870" i="1"/>
  <c r="J870" i="1"/>
  <c r="K870" i="1" s="1"/>
  <c r="I870" i="1"/>
  <c r="M869" i="1"/>
  <c r="K869" i="1"/>
  <c r="J869" i="1"/>
  <c r="I869" i="1"/>
  <c r="L869" i="1" s="1"/>
  <c r="M868" i="1"/>
  <c r="L868" i="1"/>
  <c r="J868" i="1"/>
  <c r="K868" i="1" s="1"/>
  <c r="I868" i="1"/>
  <c r="M867" i="1"/>
  <c r="K867" i="1"/>
  <c r="J867" i="1"/>
  <c r="I867" i="1"/>
  <c r="L867" i="1" s="1"/>
  <c r="M866" i="1"/>
  <c r="L866" i="1"/>
  <c r="J866" i="1"/>
  <c r="K866" i="1" s="1"/>
  <c r="I866" i="1"/>
  <c r="M865" i="1"/>
  <c r="K865" i="1"/>
  <c r="J865" i="1"/>
  <c r="I865" i="1"/>
  <c r="L865" i="1" s="1"/>
  <c r="M864" i="1"/>
  <c r="L864" i="1"/>
  <c r="J864" i="1"/>
  <c r="K864" i="1" s="1"/>
  <c r="I864" i="1"/>
  <c r="M863" i="1"/>
  <c r="K863" i="1"/>
  <c r="J863" i="1"/>
  <c r="I863" i="1"/>
  <c r="L863" i="1" s="1"/>
  <c r="M862" i="1"/>
  <c r="L862" i="1"/>
  <c r="J862" i="1"/>
  <c r="K862" i="1" s="1"/>
  <c r="I862" i="1"/>
  <c r="M861" i="1"/>
  <c r="K861" i="1"/>
  <c r="J861" i="1"/>
  <c r="I861" i="1"/>
  <c r="L861" i="1" s="1"/>
  <c r="M860" i="1"/>
  <c r="L860" i="1"/>
  <c r="J860" i="1"/>
  <c r="K860" i="1" s="1"/>
  <c r="I860" i="1"/>
  <c r="M859" i="1"/>
  <c r="K859" i="1"/>
  <c r="J859" i="1"/>
  <c r="I859" i="1"/>
  <c r="L859" i="1" s="1"/>
  <c r="M858" i="1"/>
  <c r="L858" i="1"/>
  <c r="J858" i="1"/>
  <c r="K858" i="1" s="1"/>
  <c r="I858" i="1"/>
  <c r="M857" i="1"/>
  <c r="K857" i="1"/>
  <c r="J857" i="1"/>
  <c r="I857" i="1"/>
  <c r="L857" i="1" s="1"/>
  <c r="M856" i="1"/>
  <c r="L856" i="1"/>
  <c r="J856" i="1"/>
  <c r="K856" i="1" s="1"/>
  <c r="I856" i="1"/>
  <c r="M855" i="1"/>
  <c r="K855" i="1"/>
  <c r="J855" i="1"/>
  <c r="I855" i="1"/>
  <c r="L855" i="1" s="1"/>
  <c r="M854" i="1"/>
  <c r="L854" i="1"/>
  <c r="J854" i="1"/>
  <c r="K854" i="1" s="1"/>
  <c r="I854" i="1"/>
  <c r="M853" i="1"/>
  <c r="K853" i="1"/>
  <c r="J853" i="1"/>
  <c r="I853" i="1"/>
  <c r="L853" i="1" s="1"/>
  <c r="M852" i="1"/>
  <c r="L852" i="1"/>
  <c r="J852" i="1"/>
  <c r="K852" i="1" s="1"/>
  <c r="I852" i="1"/>
  <c r="M851" i="1"/>
  <c r="K851" i="1"/>
  <c r="J851" i="1"/>
  <c r="I851" i="1"/>
  <c r="L851" i="1" s="1"/>
  <c r="M850" i="1"/>
  <c r="L850" i="1"/>
  <c r="J850" i="1"/>
  <c r="K850" i="1" s="1"/>
  <c r="I850" i="1"/>
  <c r="M849" i="1"/>
  <c r="K849" i="1"/>
  <c r="J849" i="1"/>
  <c r="I849" i="1"/>
  <c r="L849" i="1" s="1"/>
  <c r="M848" i="1"/>
  <c r="L848" i="1"/>
  <c r="J848" i="1"/>
  <c r="K848" i="1" s="1"/>
  <c r="I848" i="1"/>
  <c r="M847" i="1"/>
  <c r="K847" i="1"/>
  <c r="J847" i="1"/>
  <c r="I847" i="1"/>
  <c r="L847" i="1" s="1"/>
  <c r="M846" i="1"/>
  <c r="L846" i="1"/>
  <c r="J846" i="1"/>
  <c r="K846" i="1" s="1"/>
  <c r="I846" i="1"/>
  <c r="M845" i="1"/>
  <c r="K845" i="1"/>
  <c r="J845" i="1"/>
  <c r="I845" i="1"/>
  <c r="L845" i="1" s="1"/>
  <c r="M844" i="1"/>
  <c r="L844" i="1"/>
  <c r="J844" i="1"/>
  <c r="K844" i="1" s="1"/>
  <c r="I844" i="1"/>
  <c r="M843" i="1"/>
  <c r="K843" i="1"/>
  <c r="J843" i="1"/>
  <c r="I843" i="1"/>
  <c r="L843" i="1" s="1"/>
  <c r="M842" i="1"/>
  <c r="L842" i="1"/>
  <c r="J842" i="1"/>
  <c r="K842" i="1" s="1"/>
  <c r="I842" i="1"/>
  <c r="M841" i="1"/>
  <c r="K841" i="1"/>
  <c r="J841" i="1"/>
  <c r="I841" i="1"/>
  <c r="L841" i="1" s="1"/>
  <c r="M840" i="1"/>
  <c r="L840" i="1"/>
  <c r="J840" i="1"/>
  <c r="K840" i="1" s="1"/>
  <c r="I840" i="1"/>
  <c r="M839" i="1"/>
  <c r="K839" i="1"/>
  <c r="J839" i="1"/>
  <c r="I839" i="1"/>
  <c r="L839" i="1" s="1"/>
  <c r="M838" i="1"/>
  <c r="L838" i="1"/>
  <c r="J838" i="1"/>
  <c r="K838" i="1" s="1"/>
  <c r="I838" i="1"/>
  <c r="M837" i="1"/>
  <c r="K837" i="1"/>
  <c r="J837" i="1"/>
  <c r="I837" i="1"/>
  <c r="L837" i="1" s="1"/>
  <c r="M836" i="1"/>
  <c r="L836" i="1"/>
  <c r="J836" i="1"/>
  <c r="K836" i="1" s="1"/>
  <c r="I836" i="1"/>
  <c r="M835" i="1"/>
  <c r="K835" i="1"/>
  <c r="J835" i="1"/>
  <c r="I835" i="1"/>
  <c r="L835" i="1" s="1"/>
  <c r="M834" i="1"/>
  <c r="L834" i="1"/>
  <c r="J834" i="1"/>
  <c r="K834" i="1" s="1"/>
  <c r="I834" i="1"/>
  <c r="M833" i="1"/>
  <c r="K833" i="1"/>
  <c r="J833" i="1"/>
  <c r="I833" i="1"/>
  <c r="L833" i="1" s="1"/>
  <c r="M832" i="1"/>
  <c r="L832" i="1"/>
  <c r="J832" i="1"/>
  <c r="K832" i="1" s="1"/>
  <c r="I832" i="1"/>
  <c r="M831" i="1"/>
  <c r="K831" i="1"/>
  <c r="J831" i="1"/>
  <c r="I831" i="1"/>
  <c r="L831" i="1" s="1"/>
  <c r="M830" i="1"/>
  <c r="L830" i="1"/>
  <c r="J830" i="1"/>
  <c r="K830" i="1" s="1"/>
  <c r="I830" i="1"/>
  <c r="M829" i="1"/>
  <c r="K829" i="1"/>
  <c r="J829" i="1"/>
  <c r="I829" i="1"/>
  <c r="L829" i="1" s="1"/>
  <c r="M828" i="1"/>
  <c r="L828" i="1"/>
  <c r="J828" i="1"/>
  <c r="K828" i="1" s="1"/>
  <c r="I828" i="1"/>
  <c r="M827" i="1"/>
  <c r="K827" i="1"/>
  <c r="J827" i="1"/>
  <c r="I827" i="1"/>
  <c r="L827" i="1" s="1"/>
  <c r="M826" i="1"/>
  <c r="L826" i="1"/>
  <c r="J826" i="1"/>
  <c r="K826" i="1" s="1"/>
  <c r="I826" i="1"/>
  <c r="M825" i="1"/>
  <c r="K825" i="1"/>
  <c r="J825" i="1"/>
  <c r="I825" i="1"/>
  <c r="L825" i="1" s="1"/>
  <c r="M824" i="1"/>
  <c r="L824" i="1"/>
  <c r="J824" i="1"/>
  <c r="K824" i="1" s="1"/>
  <c r="I824" i="1"/>
  <c r="M823" i="1"/>
  <c r="K823" i="1"/>
  <c r="J823" i="1"/>
  <c r="I823" i="1"/>
  <c r="L823" i="1" s="1"/>
  <c r="M822" i="1"/>
  <c r="L822" i="1"/>
  <c r="J822" i="1"/>
  <c r="K822" i="1" s="1"/>
  <c r="I822" i="1"/>
  <c r="M821" i="1"/>
  <c r="K821" i="1"/>
  <c r="J821" i="1"/>
  <c r="I821" i="1"/>
  <c r="L821" i="1" s="1"/>
  <c r="M820" i="1"/>
  <c r="L820" i="1"/>
  <c r="J820" i="1"/>
  <c r="K820" i="1" s="1"/>
  <c r="I820" i="1"/>
  <c r="M819" i="1"/>
  <c r="K819" i="1"/>
  <c r="J819" i="1"/>
  <c r="I819" i="1"/>
  <c r="L819" i="1" s="1"/>
  <c r="M818" i="1"/>
  <c r="L818" i="1"/>
  <c r="J818" i="1"/>
  <c r="K818" i="1" s="1"/>
  <c r="I818" i="1"/>
  <c r="M817" i="1"/>
  <c r="K817" i="1"/>
  <c r="J817" i="1"/>
  <c r="I817" i="1"/>
  <c r="L817" i="1" s="1"/>
  <c r="M816" i="1"/>
  <c r="L816" i="1"/>
  <c r="J816" i="1"/>
  <c r="K816" i="1" s="1"/>
  <c r="I816" i="1"/>
  <c r="M815" i="1"/>
  <c r="K815" i="1"/>
  <c r="J815" i="1"/>
  <c r="I815" i="1"/>
  <c r="L815" i="1" s="1"/>
  <c r="M814" i="1"/>
  <c r="L814" i="1"/>
  <c r="J814" i="1"/>
  <c r="K814" i="1" s="1"/>
  <c r="I814" i="1"/>
  <c r="M813" i="1"/>
  <c r="K813" i="1"/>
  <c r="J813" i="1"/>
  <c r="I813" i="1"/>
  <c r="L813" i="1" s="1"/>
  <c r="M812" i="1"/>
  <c r="L812" i="1"/>
  <c r="J812" i="1"/>
  <c r="K812" i="1" s="1"/>
  <c r="I812" i="1"/>
  <c r="M811" i="1"/>
  <c r="K811" i="1"/>
  <c r="J811" i="1"/>
  <c r="I811" i="1"/>
  <c r="L811" i="1" s="1"/>
  <c r="M810" i="1"/>
  <c r="L810" i="1"/>
  <c r="J810" i="1"/>
  <c r="K810" i="1" s="1"/>
  <c r="I810" i="1"/>
  <c r="M809" i="1"/>
  <c r="K809" i="1"/>
  <c r="J809" i="1"/>
  <c r="I809" i="1"/>
  <c r="L809" i="1" s="1"/>
  <c r="M808" i="1"/>
  <c r="L808" i="1"/>
  <c r="J808" i="1"/>
  <c r="K808" i="1" s="1"/>
  <c r="I808" i="1"/>
  <c r="M807" i="1"/>
  <c r="K807" i="1"/>
  <c r="J807" i="1"/>
  <c r="I807" i="1"/>
  <c r="L807" i="1" s="1"/>
  <c r="M806" i="1"/>
  <c r="L806" i="1"/>
  <c r="J806" i="1"/>
  <c r="K806" i="1" s="1"/>
  <c r="I806" i="1"/>
  <c r="M805" i="1"/>
  <c r="K805" i="1"/>
  <c r="J805" i="1"/>
  <c r="I805" i="1"/>
  <c r="L805" i="1" s="1"/>
  <c r="M804" i="1"/>
  <c r="L804" i="1"/>
  <c r="J804" i="1"/>
  <c r="K804" i="1" s="1"/>
  <c r="I804" i="1"/>
  <c r="M803" i="1"/>
  <c r="K803" i="1"/>
  <c r="J803" i="1"/>
  <c r="I803" i="1"/>
  <c r="L803" i="1" s="1"/>
  <c r="M802" i="1"/>
  <c r="L802" i="1"/>
  <c r="J802" i="1"/>
  <c r="K802" i="1" s="1"/>
  <c r="I802" i="1"/>
  <c r="M801" i="1"/>
  <c r="K801" i="1"/>
  <c r="J801" i="1"/>
  <c r="I801" i="1"/>
  <c r="L801" i="1" s="1"/>
  <c r="M800" i="1"/>
  <c r="L800" i="1"/>
  <c r="J800" i="1"/>
  <c r="K800" i="1" s="1"/>
  <c r="I800" i="1"/>
  <c r="M799" i="1"/>
  <c r="K799" i="1"/>
  <c r="J799" i="1"/>
  <c r="I799" i="1"/>
  <c r="L799" i="1" s="1"/>
  <c r="M798" i="1"/>
  <c r="L798" i="1"/>
  <c r="J798" i="1"/>
  <c r="K798" i="1" s="1"/>
  <c r="I798" i="1"/>
  <c r="M797" i="1"/>
  <c r="K797" i="1"/>
  <c r="J797" i="1"/>
  <c r="I797" i="1"/>
  <c r="L797" i="1" s="1"/>
  <c r="M796" i="1"/>
  <c r="L796" i="1"/>
  <c r="J796" i="1"/>
  <c r="K796" i="1" s="1"/>
  <c r="I796" i="1"/>
  <c r="M795" i="1"/>
  <c r="K795" i="1"/>
  <c r="J795" i="1"/>
  <c r="I795" i="1"/>
  <c r="L795" i="1" s="1"/>
  <c r="M794" i="1"/>
  <c r="L794" i="1"/>
  <c r="J794" i="1"/>
  <c r="K794" i="1" s="1"/>
  <c r="I794" i="1"/>
  <c r="M793" i="1"/>
  <c r="K793" i="1"/>
  <c r="J793" i="1"/>
  <c r="I793" i="1"/>
  <c r="L793" i="1" s="1"/>
  <c r="M792" i="1"/>
  <c r="L792" i="1"/>
  <c r="J792" i="1"/>
  <c r="K792" i="1" s="1"/>
  <c r="I792" i="1"/>
  <c r="M791" i="1"/>
  <c r="K791" i="1"/>
  <c r="J791" i="1"/>
  <c r="I791" i="1"/>
  <c r="L791" i="1" s="1"/>
  <c r="M790" i="1"/>
  <c r="L790" i="1"/>
  <c r="J790" i="1"/>
  <c r="K790" i="1" s="1"/>
  <c r="I790" i="1"/>
  <c r="M789" i="1"/>
  <c r="K789" i="1"/>
  <c r="J789" i="1"/>
  <c r="I789" i="1"/>
  <c r="L789" i="1" s="1"/>
  <c r="M788" i="1"/>
  <c r="L788" i="1"/>
  <c r="J788" i="1"/>
  <c r="K788" i="1" s="1"/>
  <c r="I788" i="1"/>
  <c r="M787" i="1"/>
  <c r="K787" i="1"/>
  <c r="J787" i="1"/>
  <c r="I787" i="1"/>
  <c r="L787" i="1" s="1"/>
  <c r="M786" i="1"/>
  <c r="L786" i="1"/>
  <c r="J786" i="1"/>
  <c r="K786" i="1" s="1"/>
  <c r="I786" i="1"/>
  <c r="M785" i="1"/>
  <c r="K785" i="1"/>
  <c r="J785" i="1"/>
  <c r="I785" i="1"/>
  <c r="L785" i="1" s="1"/>
  <c r="M784" i="1"/>
  <c r="L784" i="1"/>
  <c r="J784" i="1"/>
  <c r="K784" i="1" s="1"/>
  <c r="I784" i="1"/>
  <c r="M783" i="1"/>
  <c r="K783" i="1"/>
  <c r="J783" i="1"/>
  <c r="I783" i="1"/>
  <c r="L783" i="1" s="1"/>
  <c r="M782" i="1"/>
  <c r="L782" i="1"/>
  <c r="J782" i="1"/>
  <c r="K782" i="1" s="1"/>
  <c r="I782" i="1"/>
  <c r="M781" i="1"/>
  <c r="K781" i="1"/>
  <c r="J781" i="1"/>
  <c r="I781" i="1"/>
  <c r="L781" i="1" s="1"/>
  <c r="M780" i="1"/>
  <c r="L780" i="1"/>
  <c r="J780" i="1"/>
  <c r="K780" i="1" s="1"/>
  <c r="I780" i="1"/>
  <c r="M779" i="1"/>
  <c r="K779" i="1"/>
  <c r="J779" i="1"/>
  <c r="I779" i="1"/>
  <c r="L779" i="1" s="1"/>
  <c r="M778" i="1"/>
  <c r="L778" i="1"/>
  <c r="J778" i="1"/>
  <c r="K778" i="1" s="1"/>
  <c r="I778" i="1"/>
  <c r="M777" i="1"/>
  <c r="K777" i="1"/>
  <c r="J777" i="1"/>
  <c r="I777" i="1"/>
  <c r="L777" i="1" s="1"/>
  <c r="M776" i="1"/>
  <c r="L776" i="1"/>
  <c r="J776" i="1"/>
  <c r="K776" i="1" s="1"/>
  <c r="I776" i="1"/>
  <c r="M775" i="1"/>
  <c r="K775" i="1"/>
  <c r="J775" i="1"/>
  <c r="I775" i="1"/>
  <c r="L775" i="1" s="1"/>
  <c r="M774" i="1"/>
  <c r="L774" i="1"/>
  <c r="J774" i="1"/>
  <c r="K774" i="1" s="1"/>
  <c r="I774" i="1"/>
  <c r="M773" i="1"/>
  <c r="K773" i="1"/>
  <c r="J773" i="1"/>
  <c r="I773" i="1"/>
  <c r="L773" i="1" s="1"/>
  <c r="M772" i="1"/>
  <c r="L772" i="1"/>
  <c r="J772" i="1"/>
  <c r="K772" i="1" s="1"/>
  <c r="I772" i="1"/>
  <c r="M771" i="1"/>
  <c r="K771" i="1"/>
  <c r="J771" i="1"/>
  <c r="I771" i="1"/>
  <c r="L771" i="1" s="1"/>
  <c r="M770" i="1"/>
  <c r="L770" i="1"/>
  <c r="J770" i="1"/>
  <c r="K770" i="1" s="1"/>
  <c r="I770" i="1"/>
  <c r="M769" i="1"/>
  <c r="K769" i="1"/>
  <c r="J769" i="1"/>
  <c r="I769" i="1"/>
  <c r="L769" i="1" s="1"/>
  <c r="M768" i="1"/>
  <c r="L768" i="1"/>
  <c r="J768" i="1"/>
  <c r="K768" i="1" s="1"/>
  <c r="I768" i="1"/>
  <c r="M767" i="1"/>
  <c r="K767" i="1"/>
  <c r="J767" i="1"/>
  <c r="I767" i="1"/>
  <c r="L767" i="1" s="1"/>
  <c r="M766" i="1"/>
  <c r="L766" i="1"/>
  <c r="J766" i="1"/>
  <c r="K766" i="1" s="1"/>
  <c r="I766" i="1"/>
  <c r="M765" i="1"/>
  <c r="K765" i="1"/>
  <c r="J765" i="1"/>
  <c r="I765" i="1"/>
  <c r="L765" i="1" s="1"/>
  <c r="M764" i="1"/>
  <c r="L764" i="1"/>
  <c r="J764" i="1"/>
  <c r="K764" i="1" s="1"/>
  <c r="I764" i="1"/>
  <c r="M763" i="1"/>
  <c r="K763" i="1"/>
  <c r="J763" i="1"/>
  <c r="I763" i="1"/>
  <c r="L763" i="1" s="1"/>
  <c r="M762" i="1"/>
  <c r="L762" i="1"/>
  <c r="J762" i="1"/>
  <c r="K762" i="1" s="1"/>
  <c r="I762" i="1"/>
  <c r="M761" i="1"/>
  <c r="K761" i="1"/>
  <c r="J761" i="1"/>
  <c r="I761" i="1"/>
  <c r="L761" i="1" s="1"/>
  <c r="M760" i="1"/>
  <c r="L760" i="1"/>
  <c r="J760" i="1"/>
  <c r="K760" i="1" s="1"/>
  <c r="I760" i="1"/>
  <c r="M759" i="1"/>
  <c r="K759" i="1"/>
  <c r="J759" i="1"/>
  <c r="I759" i="1"/>
  <c r="L759" i="1" s="1"/>
  <c r="M758" i="1"/>
  <c r="L758" i="1"/>
  <c r="J758" i="1"/>
  <c r="K758" i="1" s="1"/>
  <c r="I758" i="1"/>
  <c r="M757" i="1"/>
  <c r="K757" i="1"/>
  <c r="J757" i="1"/>
  <c r="I757" i="1"/>
  <c r="L757" i="1" s="1"/>
  <c r="M756" i="1"/>
  <c r="L756" i="1"/>
  <c r="J756" i="1"/>
  <c r="K756" i="1" s="1"/>
  <c r="I756" i="1"/>
  <c r="M755" i="1"/>
  <c r="K755" i="1"/>
  <c r="J755" i="1"/>
  <c r="I755" i="1"/>
  <c r="L755" i="1" s="1"/>
  <c r="M754" i="1"/>
  <c r="L754" i="1"/>
  <c r="J754" i="1"/>
  <c r="K754" i="1" s="1"/>
  <c r="I754" i="1"/>
  <c r="M753" i="1"/>
  <c r="K753" i="1"/>
  <c r="J753" i="1"/>
  <c r="I753" i="1"/>
  <c r="L753" i="1" s="1"/>
  <c r="M752" i="1"/>
  <c r="L752" i="1"/>
  <c r="J752" i="1"/>
  <c r="K752" i="1" s="1"/>
  <c r="I752" i="1"/>
  <c r="M751" i="1"/>
  <c r="K751" i="1"/>
  <c r="J751" i="1"/>
  <c r="I751" i="1"/>
  <c r="L751" i="1" s="1"/>
  <c r="M750" i="1"/>
  <c r="L750" i="1"/>
  <c r="J750" i="1"/>
  <c r="K750" i="1" s="1"/>
  <c r="I750" i="1"/>
  <c r="M749" i="1"/>
  <c r="K749" i="1"/>
  <c r="J749" i="1"/>
  <c r="I749" i="1"/>
  <c r="L749" i="1" s="1"/>
  <c r="M748" i="1"/>
  <c r="L748" i="1"/>
  <c r="J748" i="1"/>
  <c r="K748" i="1" s="1"/>
  <c r="I748" i="1"/>
  <c r="M747" i="1"/>
  <c r="K747" i="1"/>
  <c r="J747" i="1"/>
  <c r="I747" i="1"/>
  <c r="L747" i="1" s="1"/>
  <c r="M746" i="1"/>
  <c r="L746" i="1"/>
  <c r="J746" i="1"/>
  <c r="K746" i="1" s="1"/>
  <c r="I746" i="1"/>
  <c r="M745" i="1"/>
  <c r="K745" i="1"/>
  <c r="J745" i="1"/>
  <c r="I745" i="1"/>
  <c r="L745" i="1" s="1"/>
  <c r="M744" i="1"/>
  <c r="L744" i="1"/>
  <c r="J744" i="1"/>
  <c r="K744" i="1" s="1"/>
  <c r="I744" i="1"/>
  <c r="M743" i="1"/>
  <c r="K743" i="1"/>
  <c r="J743" i="1"/>
  <c r="I743" i="1"/>
  <c r="L743" i="1" s="1"/>
  <c r="M742" i="1"/>
  <c r="L742" i="1"/>
  <c r="J742" i="1"/>
  <c r="K742" i="1" s="1"/>
  <c r="I742" i="1"/>
  <c r="M741" i="1"/>
  <c r="K741" i="1"/>
  <c r="J741" i="1"/>
  <c r="I741" i="1"/>
  <c r="L741" i="1" s="1"/>
  <c r="M740" i="1"/>
  <c r="L740" i="1"/>
  <c r="J740" i="1"/>
  <c r="K740" i="1" s="1"/>
  <c r="I740" i="1"/>
  <c r="M739" i="1"/>
  <c r="K739" i="1"/>
  <c r="J739" i="1"/>
  <c r="I739" i="1"/>
  <c r="L739" i="1" s="1"/>
  <c r="M738" i="1"/>
  <c r="L738" i="1"/>
  <c r="J738" i="1"/>
  <c r="K738" i="1" s="1"/>
  <c r="I738" i="1"/>
  <c r="M737" i="1"/>
  <c r="K737" i="1"/>
  <c r="J737" i="1"/>
  <c r="I737" i="1"/>
  <c r="L737" i="1" s="1"/>
  <c r="M736" i="1"/>
  <c r="L736" i="1"/>
  <c r="J736" i="1"/>
  <c r="K736" i="1" s="1"/>
  <c r="I736" i="1"/>
  <c r="M735" i="1"/>
  <c r="K735" i="1"/>
  <c r="J735" i="1"/>
  <c r="I735" i="1"/>
  <c r="L735" i="1" s="1"/>
  <c r="M734" i="1"/>
  <c r="L734" i="1"/>
  <c r="J734" i="1"/>
  <c r="K734" i="1" s="1"/>
  <c r="I734" i="1"/>
  <c r="M733" i="1"/>
  <c r="K733" i="1"/>
  <c r="J733" i="1"/>
  <c r="I733" i="1"/>
  <c r="L733" i="1" s="1"/>
  <c r="M732" i="1"/>
  <c r="L732" i="1"/>
  <c r="J732" i="1"/>
  <c r="K732" i="1" s="1"/>
  <c r="I732" i="1"/>
  <c r="M731" i="1"/>
  <c r="K731" i="1"/>
  <c r="J731" i="1"/>
  <c r="I731" i="1"/>
  <c r="L731" i="1" s="1"/>
  <c r="M730" i="1"/>
  <c r="L730" i="1"/>
  <c r="J730" i="1"/>
  <c r="K730" i="1" s="1"/>
  <c r="I730" i="1"/>
  <c r="M729" i="1"/>
  <c r="K729" i="1"/>
  <c r="J729" i="1"/>
  <c r="I729" i="1"/>
  <c r="L729" i="1" s="1"/>
  <c r="M728" i="1"/>
  <c r="L728" i="1"/>
  <c r="J728" i="1"/>
  <c r="K728" i="1" s="1"/>
  <c r="I728" i="1"/>
  <c r="M727" i="1"/>
  <c r="K727" i="1"/>
  <c r="J727" i="1"/>
  <c r="I727" i="1"/>
  <c r="L727" i="1" s="1"/>
  <c r="M726" i="1"/>
  <c r="L726" i="1"/>
  <c r="J726" i="1"/>
  <c r="K726" i="1" s="1"/>
  <c r="I726" i="1"/>
  <c r="M725" i="1"/>
  <c r="K725" i="1"/>
  <c r="J725" i="1"/>
  <c r="I725" i="1"/>
  <c r="L725" i="1" s="1"/>
  <c r="M724" i="1"/>
  <c r="L724" i="1"/>
  <c r="J724" i="1"/>
  <c r="K724" i="1" s="1"/>
  <c r="I724" i="1"/>
  <c r="M723" i="1"/>
  <c r="K723" i="1"/>
  <c r="J723" i="1"/>
  <c r="I723" i="1"/>
  <c r="L723" i="1" s="1"/>
  <c r="M722" i="1"/>
  <c r="L722" i="1"/>
  <c r="J722" i="1"/>
  <c r="K722" i="1" s="1"/>
  <c r="I722" i="1"/>
  <c r="M721" i="1"/>
  <c r="K721" i="1"/>
  <c r="J721" i="1"/>
  <c r="I721" i="1"/>
  <c r="L721" i="1" s="1"/>
  <c r="M720" i="1"/>
  <c r="L720" i="1"/>
  <c r="J720" i="1"/>
  <c r="K720" i="1" s="1"/>
  <c r="I720" i="1"/>
  <c r="M719" i="1"/>
  <c r="K719" i="1"/>
  <c r="J719" i="1"/>
  <c r="I719" i="1"/>
  <c r="L719" i="1" s="1"/>
  <c r="M718" i="1"/>
  <c r="L718" i="1"/>
  <c r="J718" i="1"/>
  <c r="K718" i="1" s="1"/>
  <c r="I718" i="1"/>
  <c r="M717" i="1"/>
  <c r="K717" i="1"/>
  <c r="J717" i="1"/>
  <c r="I717" i="1"/>
  <c r="L717" i="1" s="1"/>
  <c r="M716" i="1"/>
  <c r="L716" i="1"/>
  <c r="J716" i="1"/>
  <c r="K716" i="1" s="1"/>
  <c r="I716" i="1"/>
  <c r="M715" i="1"/>
  <c r="K715" i="1"/>
  <c r="J715" i="1"/>
  <c r="I715" i="1"/>
  <c r="L715" i="1" s="1"/>
  <c r="M714" i="1"/>
  <c r="L714" i="1"/>
  <c r="J714" i="1"/>
  <c r="K714" i="1" s="1"/>
  <c r="I714" i="1"/>
  <c r="M713" i="1"/>
  <c r="K713" i="1"/>
  <c r="J713" i="1"/>
  <c r="I713" i="1"/>
  <c r="L713" i="1" s="1"/>
  <c r="M712" i="1"/>
  <c r="L712" i="1"/>
  <c r="J712" i="1"/>
  <c r="K712" i="1" s="1"/>
  <c r="I712" i="1"/>
  <c r="M711" i="1"/>
  <c r="K711" i="1"/>
  <c r="J711" i="1"/>
  <c r="I711" i="1"/>
  <c r="L711" i="1" s="1"/>
  <c r="M710" i="1"/>
  <c r="L710" i="1"/>
  <c r="J710" i="1"/>
  <c r="K710" i="1" s="1"/>
  <c r="I710" i="1"/>
  <c r="M709" i="1"/>
  <c r="K709" i="1"/>
  <c r="J709" i="1"/>
  <c r="I709" i="1"/>
  <c r="L709" i="1" s="1"/>
  <c r="M708" i="1"/>
  <c r="L708" i="1"/>
  <c r="J708" i="1"/>
  <c r="K708" i="1" s="1"/>
  <c r="I708" i="1"/>
  <c r="M707" i="1"/>
  <c r="K707" i="1"/>
  <c r="J707" i="1"/>
  <c r="I707" i="1"/>
  <c r="L707" i="1" s="1"/>
  <c r="M706" i="1"/>
  <c r="L706" i="1"/>
  <c r="J706" i="1"/>
  <c r="K706" i="1" s="1"/>
  <c r="I706" i="1"/>
  <c r="M705" i="1"/>
  <c r="K705" i="1"/>
  <c r="J705" i="1"/>
  <c r="I705" i="1"/>
  <c r="L705" i="1" s="1"/>
  <c r="M704" i="1"/>
  <c r="L704" i="1"/>
  <c r="J704" i="1"/>
  <c r="K704" i="1" s="1"/>
  <c r="I704" i="1"/>
  <c r="M703" i="1"/>
  <c r="K703" i="1"/>
  <c r="J703" i="1"/>
  <c r="I703" i="1"/>
  <c r="L703" i="1" s="1"/>
  <c r="M702" i="1"/>
  <c r="L702" i="1"/>
  <c r="J702" i="1"/>
  <c r="K702" i="1" s="1"/>
  <c r="I702" i="1"/>
  <c r="M701" i="1"/>
  <c r="K701" i="1"/>
  <c r="J701" i="1"/>
  <c r="I701" i="1"/>
  <c r="L701" i="1" s="1"/>
  <c r="M700" i="1"/>
  <c r="L700" i="1"/>
  <c r="J700" i="1"/>
  <c r="K700" i="1" s="1"/>
  <c r="I700" i="1"/>
  <c r="M699" i="1"/>
  <c r="K699" i="1"/>
  <c r="J699" i="1"/>
  <c r="I699" i="1"/>
  <c r="L699" i="1" s="1"/>
  <c r="M698" i="1"/>
  <c r="L698" i="1"/>
  <c r="J698" i="1"/>
  <c r="K698" i="1" s="1"/>
  <c r="I698" i="1"/>
  <c r="M697" i="1"/>
  <c r="K697" i="1"/>
  <c r="J697" i="1"/>
  <c r="I697" i="1"/>
  <c r="L697" i="1" s="1"/>
  <c r="M696" i="1"/>
  <c r="L696" i="1"/>
  <c r="J696" i="1"/>
  <c r="K696" i="1" s="1"/>
  <c r="I696" i="1"/>
  <c r="M695" i="1"/>
  <c r="K695" i="1"/>
  <c r="J695" i="1"/>
  <c r="I695" i="1"/>
  <c r="L695" i="1" s="1"/>
  <c r="M694" i="1"/>
  <c r="L694" i="1"/>
  <c r="J694" i="1"/>
  <c r="K694" i="1" s="1"/>
  <c r="I694" i="1"/>
  <c r="M693" i="1"/>
  <c r="K693" i="1"/>
  <c r="J693" i="1"/>
  <c r="I693" i="1"/>
  <c r="L693" i="1" s="1"/>
  <c r="M692" i="1"/>
  <c r="L692" i="1"/>
  <c r="J692" i="1"/>
  <c r="K692" i="1" s="1"/>
  <c r="I692" i="1"/>
  <c r="M691" i="1"/>
  <c r="K691" i="1"/>
  <c r="J691" i="1"/>
  <c r="I691" i="1"/>
  <c r="L691" i="1" s="1"/>
  <c r="M690" i="1"/>
  <c r="L690" i="1"/>
  <c r="J690" i="1"/>
  <c r="K690" i="1" s="1"/>
  <c r="I690" i="1"/>
  <c r="M689" i="1"/>
  <c r="K689" i="1"/>
  <c r="J689" i="1"/>
  <c r="I689" i="1"/>
  <c r="L689" i="1" s="1"/>
  <c r="M688" i="1"/>
  <c r="L688" i="1"/>
  <c r="J688" i="1"/>
  <c r="K688" i="1" s="1"/>
  <c r="I688" i="1"/>
  <c r="M687" i="1"/>
  <c r="K687" i="1"/>
  <c r="J687" i="1"/>
  <c r="I687" i="1"/>
  <c r="L687" i="1" s="1"/>
  <c r="M686" i="1"/>
  <c r="L686" i="1"/>
  <c r="J686" i="1"/>
  <c r="K686" i="1" s="1"/>
  <c r="I686" i="1"/>
  <c r="M685" i="1"/>
  <c r="K685" i="1"/>
  <c r="J685" i="1"/>
  <c r="I685" i="1"/>
  <c r="L685" i="1" s="1"/>
  <c r="M684" i="1"/>
  <c r="L684" i="1"/>
  <c r="J684" i="1"/>
  <c r="K684" i="1" s="1"/>
  <c r="I684" i="1"/>
  <c r="M683" i="1"/>
  <c r="J683" i="1"/>
  <c r="K683" i="1" s="1"/>
  <c r="I683" i="1"/>
  <c r="L683" i="1" s="1"/>
  <c r="M682" i="1"/>
  <c r="L682" i="1"/>
  <c r="K682" i="1"/>
  <c r="J682" i="1"/>
  <c r="I682" i="1"/>
  <c r="M681" i="1"/>
  <c r="L681" i="1"/>
  <c r="K681" i="1"/>
  <c r="J681" i="1"/>
  <c r="I681" i="1"/>
  <c r="M680" i="1"/>
  <c r="L680" i="1"/>
  <c r="J680" i="1"/>
  <c r="K680" i="1" s="1"/>
  <c r="I680" i="1"/>
  <c r="M679" i="1"/>
  <c r="K679" i="1"/>
  <c r="J679" i="1"/>
  <c r="I679" i="1"/>
  <c r="L679" i="1" s="1"/>
  <c r="M678" i="1"/>
  <c r="L678" i="1"/>
  <c r="J678" i="1"/>
  <c r="K678" i="1" s="1"/>
  <c r="I678" i="1"/>
  <c r="M677" i="1"/>
  <c r="K677" i="1"/>
  <c r="J677" i="1"/>
  <c r="I677" i="1"/>
  <c r="L677" i="1" s="1"/>
  <c r="M676" i="1"/>
  <c r="J676" i="1"/>
  <c r="K676" i="1" s="1"/>
  <c r="I676" i="1"/>
  <c r="L676" i="1" s="1"/>
  <c r="M675" i="1"/>
  <c r="J675" i="1"/>
  <c r="K675" i="1" s="1"/>
  <c r="I675" i="1"/>
  <c r="L675" i="1" s="1"/>
  <c r="M674" i="1"/>
  <c r="L674" i="1"/>
  <c r="K674" i="1"/>
  <c r="J674" i="1"/>
  <c r="I674" i="1"/>
  <c r="M673" i="1"/>
  <c r="L673" i="1"/>
  <c r="K673" i="1"/>
  <c r="J673" i="1"/>
  <c r="I673" i="1"/>
  <c r="M672" i="1"/>
  <c r="L672" i="1"/>
  <c r="J672" i="1"/>
  <c r="K672" i="1" s="1"/>
  <c r="I672" i="1"/>
  <c r="M671" i="1"/>
  <c r="K671" i="1"/>
  <c r="J671" i="1"/>
  <c r="I671" i="1"/>
  <c r="L671" i="1" s="1"/>
  <c r="M670" i="1"/>
  <c r="L670" i="1"/>
  <c r="J670" i="1"/>
  <c r="K670" i="1" s="1"/>
  <c r="I670" i="1"/>
  <c r="M669" i="1"/>
  <c r="K669" i="1"/>
  <c r="J669" i="1"/>
  <c r="I669" i="1"/>
  <c r="L669" i="1" s="1"/>
  <c r="M668" i="1"/>
  <c r="J668" i="1"/>
  <c r="K668" i="1" s="1"/>
  <c r="I668" i="1"/>
  <c r="L668" i="1" s="1"/>
  <c r="M667" i="1"/>
  <c r="J667" i="1"/>
  <c r="K667" i="1" s="1"/>
  <c r="I667" i="1"/>
  <c r="L667" i="1" s="1"/>
  <c r="M666" i="1"/>
  <c r="L666" i="1"/>
  <c r="K666" i="1"/>
  <c r="J666" i="1"/>
  <c r="I666" i="1"/>
  <c r="M665" i="1"/>
  <c r="L665" i="1"/>
  <c r="K665" i="1"/>
  <c r="J665" i="1"/>
  <c r="I665" i="1"/>
  <c r="M664" i="1"/>
  <c r="L664" i="1"/>
  <c r="J664" i="1"/>
  <c r="K664" i="1" s="1"/>
  <c r="I664" i="1"/>
  <c r="M663" i="1"/>
  <c r="K663" i="1"/>
  <c r="J663" i="1"/>
  <c r="I663" i="1"/>
  <c r="L663" i="1" s="1"/>
  <c r="M662" i="1"/>
  <c r="L662" i="1"/>
  <c r="J662" i="1"/>
  <c r="K662" i="1" s="1"/>
  <c r="I662" i="1"/>
  <c r="M661" i="1"/>
  <c r="K661" i="1"/>
  <c r="J661" i="1"/>
  <c r="I661" i="1"/>
  <c r="L661" i="1" s="1"/>
  <c r="M660" i="1"/>
  <c r="J660" i="1"/>
  <c r="K660" i="1" s="1"/>
  <c r="I660" i="1"/>
  <c r="L660" i="1" s="1"/>
  <c r="M659" i="1"/>
  <c r="J659" i="1"/>
  <c r="K659" i="1" s="1"/>
  <c r="I659" i="1"/>
  <c r="L659" i="1" s="1"/>
  <c r="M658" i="1"/>
  <c r="L658" i="1"/>
  <c r="K658" i="1"/>
  <c r="J658" i="1"/>
  <c r="I658" i="1"/>
  <c r="M657" i="1"/>
  <c r="L657" i="1"/>
  <c r="K657" i="1"/>
  <c r="J657" i="1"/>
  <c r="I657" i="1"/>
  <c r="M656" i="1"/>
  <c r="L656" i="1"/>
  <c r="J656" i="1"/>
  <c r="K656" i="1" s="1"/>
  <c r="I656" i="1"/>
  <c r="M655" i="1"/>
  <c r="K655" i="1"/>
  <c r="J655" i="1"/>
  <c r="I655" i="1"/>
  <c r="L655" i="1" s="1"/>
  <c r="M654" i="1"/>
  <c r="L654" i="1"/>
  <c r="J654" i="1"/>
  <c r="K654" i="1" s="1"/>
  <c r="I654" i="1"/>
  <c r="M653" i="1"/>
  <c r="K653" i="1"/>
  <c r="J653" i="1"/>
  <c r="I653" i="1"/>
  <c r="L653" i="1" s="1"/>
  <c r="M652" i="1"/>
  <c r="J652" i="1"/>
  <c r="K652" i="1" s="1"/>
  <c r="I652" i="1"/>
  <c r="L652" i="1" s="1"/>
  <c r="M651" i="1"/>
  <c r="J651" i="1"/>
  <c r="K651" i="1" s="1"/>
  <c r="I651" i="1"/>
  <c r="L651" i="1" s="1"/>
  <c r="M650" i="1"/>
  <c r="L650" i="1"/>
  <c r="J650" i="1"/>
  <c r="K650" i="1" s="1"/>
  <c r="I650" i="1"/>
  <c r="M649" i="1"/>
  <c r="L649" i="1"/>
  <c r="K649" i="1"/>
  <c r="J649" i="1"/>
  <c r="I649" i="1"/>
  <c r="M648" i="1"/>
  <c r="L648" i="1"/>
  <c r="J648" i="1"/>
  <c r="K648" i="1" s="1"/>
  <c r="I648" i="1"/>
  <c r="M647" i="1"/>
  <c r="K647" i="1"/>
  <c r="J647" i="1"/>
  <c r="I647" i="1"/>
  <c r="L647" i="1" s="1"/>
  <c r="M646" i="1"/>
  <c r="L646" i="1"/>
  <c r="J646" i="1"/>
  <c r="K646" i="1" s="1"/>
  <c r="I646" i="1"/>
  <c r="M645" i="1"/>
  <c r="K645" i="1"/>
  <c r="J645" i="1"/>
  <c r="I645" i="1"/>
  <c r="L645" i="1" s="1"/>
  <c r="M644" i="1"/>
  <c r="J644" i="1"/>
  <c r="K644" i="1" s="1"/>
  <c r="I644" i="1"/>
  <c r="L644" i="1" s="1"/>
  <c r="M643" i="1"/>
  <c r="J643" i="1"/>
  <c r="K643" i="1" s="1"/>
  <c r="I643" i="1"/>
  <c r="L643" i="1" s="1"/>
  <c r="M642" i="1"/>
  <c r="L642" i="1"/>
  <c r="J642" i="1"/>
  <c r="K642" i="1" s="1"/>
  <c r="I642" i="1"/>
  <c r="M641" i="1"/>
  <c r="L641" i="1"/>
  <c r="K641" i="1"/>
  <c r="J641" i="1"/>
  <c r="I641" i="1"/>
  <c r="M640" i="1"/>
  <c r="L640" i="1"/>
  <c r="J640" i="1"/>
  <c r="K640" i="1" s="1"/>
  <c r="I640" i="1"/>
  <c r="M639" i="1"/>
  <c r="K639" i="1"/>
  <c r="J639" i="1"/>
  <c r="I639" i="1"/>
  <c r="L639" i="1" s="1"/>
  <c r="M638" i="1"/>
  <c r="L638" i="1"/>
  <c r="J638" i="1"/>
  <c r="K638" i="1" s="1"/>
  <c r="I638" i="1"/>
  <c r="M637" i="1"/>
  <c r="K637" i="1"/>
  <c r="J637" i="1"/>
  <c r="I637" i="1"/>
  <c r="L637" i="1" s="1"/>
  <c r="M636" i="1"/>
  <c r="J636" i="1"/>
  <c r="K636" i="1" s="1"/>
  <c r="I636" i="1"/>
  <c r="L636" i="1" s="1"/>
  <c r="M635" i="1"/>
  <c r="J635" i="1"/>
  <c r="K635" i="1" s="1"/>
  <c r="I635" i="1"/>
  <c r="L635" i="1" s="1"/>
  <c r="M634" i="1"/>
  <c r="L634" i="1"/>
  <c r="J634" i="1"/>
  <c r="K634" i="1" s="1"/>
  <c r="I634" i="1"/>
  <c r="M633" i="1"/>
  <c r="L633" i="1"/>
  <c r="K633" i="1"/>
  <c r="J633" i="1"/>
  <c r="I633" i="1"/>
  <c r="M632" i="1"/>
  <c r="L632" i="1"/>
  <c r="J632" i="1"/>
  <c r="K632" i="1" s="1"/>
  <c r="I632" i="1"/>
  <c r="M631" i="1"/>
  <c r="K631" i="1"/>
  <c r="J631" i="1"/>
  <c r="I631" i="1"/>
  <c r="L631" i="1" s="1"/>
  <c r="M630" i="1"/>
  <c r="L630" i="1"/>
  <c r="J630" i="1"/>
  <c r="K630" i="1" s="1"/>
  <c r="I630" i="1"/>
  <c r="M629" i="1"/>
  <c r="K629" i="1"/>
  <c r="J629" i="1"/>
  <c r="I629" i="1"/>
  <c r="L629" i="1" s="1"/>
  <c r="M628" i="1"/>
  <c r="J628" i="1"/>
  <c r="K628" i="1" s="1"/>
  <c r="I628" i="1"/>
  <c r="L628" i="1" s="1"/>
  <c r="M627" i="1"/>
  <c r="J627" i="1"/>
  <c r="K627" i="1" s="1"/>
  <c r="I627" i="1"/>
  <c r="L627" i="1" s="1"/>
  <c r="M626" i="1"/>
  <c r="L626" i="1"/>
  <c r="J626" i="1"/>
  <c r="K626" i="1" s="1"/>
  <c r="I626" i="1"/>
  <c r="M625" i="1"/>
  <c r="L625" i="1"/>
  <c r="K625" i="1"/>
  <c r="J625" i="1"/>
  <c r="I625" i="1"/>
  <c r="M624" i="1"/>
  <c r="L624" i="1"/>
  <c r="J624" i="1"/>
  <c r="K624" i="1" s="1"/>
  <c r="I624" i="1"/>
  <c r="M623" i="1"/>
  <c r="K623" i="1"/>
  <c r="J623" i="1"/>
  <c r="I623" i="1"/>
  <c r="L623" i="1" s="1"/>
  <c r="M622" i="1"/>
  <c r="L622" i="1"/>
  <c r="J622" i="1"/>
  <c r="K622" i="1" s="1"/>
  <c r="I622" i="1"/>
  <c r="M621" i="1"/>
  <c r="K621" i="1"/>
  <c r="J621" i="1"/>
  <c r="I621" i="1"/>
  <c r="L621" i="1" s="1"/>
  <c r="M620" i="1"/>
  <c r="J620" i="1"/>
  <c r="K620" i="1" s="1"/>
  <c r="I620" i="1"/>
  <c r="L620" i="1" s="1"/>
  <c r="M619" i="1"/>
  <c r="J619" i="1"/>
  <c r="K619" i="1" s="1"/>
  <c r="I619" i="1"/>
  <c r="L619" i="1" s="1"/>
  <c r="M618" i="1"/>
  <c r="L618" i="1"/>
  <c r="J618" i="1"/>
  <c r="K618" i="1" s="1"/>
  <c r="I618" i="1"/>
  <c r="M617" i="1"/>
  <c r="L617" i="1"/>
  <c r="K617" i="1"/>
  <c r="J617" i="1"/>
  <c r="I617" i="1"/>
  <c r="M616" i="1"/>
  <c r="L616" i="1"/>
  <c r="J616" i="1"/>
  <c r="K616" i="1" s="1"/>
  <c r="I616" i="1"/>
  <c r="M615" i="1"/>
  <c r="K615" i="1"/>
  <c r="J615" i="1"/>
  <c r="I615" i="1"/>
  <c r="L615" i="1" s="1"/>
  <c r="M614" i="1"/>
  <c r="L614" i="1"/>
  <c r="J614" i="1"/>
  <c r="K614" i="1" s="1"/>
  <c r="I614" i="1"/>
  <c r="M613" i="1"/>
  <c r="K613" i="1"/>
  <c r="J613" i="1"/>
  <c r="I613" i="1"/>
  <c r="L613" i="1" s="1"/>
  <c r="M612" i="1"/>
  <c r="J612" i="1"/>
  <c r="K612" i="1" s="1"/>
  <c r="I612" i="1"/>
  <c r="L612" i="1" s="1"/>
  <c r="M611" i="1"/>
  <c r="J611" i="1"/>
  <c r="K611" i="1" s="1"/>
  <c r="I611" i="1"/>
  <c r="L611" i="1" s="1"/>
  <c r="M610" i="1"/>
  <c r="L610" i="1"/>
  <c r="J610" i="1"/>
  <c r="K610" i="1" s="1"/>
  <c r="I610" i="1"/>
  <c r="M609" i="1"/>
  <c r="L609" i="1"/>
  <c r="K609" i="1"/>
  <c r="J609" i="1"/>
  <c r="I609" i="1"/>
  <c r="M608" i="1"/>
  <c r="L608" i="1"/>
  <c r="J608" i="1"/>
  <c r="K608" i="1" s="1"/>
  <c r="I608" i="1"/>
  <c r="M607" i="1"/>
  <c r="K607" i="1"/>
  <c r="J607" i="1"/>
  <c r="I607" i="1"/>
  <c r="L607" i="1" s="1"/>
  <c r="M606" i="1"/>
  <c r="L606" i="1"/>
  <c r="J606" i="1"/>
  <c r="K606" i="1" s="1"/>
  <c r="I606" i="1"/>
  <c r="M605" i="1"/>
  <c r="K605" i="1"/>
  <c r="J605" i="1"/>
  <c r="I605" i="1"/>
  <c r="L605" i="1" s="1"/>
  <c r="M604" i="1"/>
  <c r="J604" i="1"/>
  <c r="K604" i="1" s="1"/>
  <c r="I604" i="1"/>
  <c r="L604" i="1" s="1"/>
  <c r="M603" i="1"/>
  <c r="J603" i="1"/>
  <c r="K603" i="1" s="1"/>
  <c r="I603" i="1"/>
  <c r="L603" i="1" s="1"/>
  <c r="M602" i="1"/>
  <c r="L602" i="1"/>
  <c r="J602" i="1"/>
  <c r="K602" i="1" s="1"/>
  <c r="I602" i="1"/>
  <c r="M601" i="1"/>
  <c r="L601" i="1"/>
  <c r="K601" i="1"/>
  <c r="J601" i="1"/>
  <c r="I601" i="1"/>
  <c r="M600" i="1"/>
  <c r="L600" i="1"/>
  <c r="J600" i="1"/>
  <c r="K600" i="1" s="1"/>
  <c r="I600" i="1"/>
  <c r="M599" i="1"/>
  <c r="K599" i="1"/>
  <c r="J599" i="1"/>
  <c r="I599" i="1"/>
  <c r="L599" i="1" s="1"/>
  <c r="M598" i="1"/>
  <c r="L598" i="1"/>
  <c r="J598" i="1"/>
  <c r="K598" i="1" s="1"/>
  <c r="I598" i="1"/>
  <c r="M597" i="1"/>
  <c r="K597" i="1"/>
  <c r="J597" i="1"/>
  <c r="I597" i="1"/>
  <c r="L597" i="1" s="1"/>
  <c r="M596" i="1"/>
  <c r="J596" i="1"/>
  <c r="K596" i="1" s="1"/>
  <c r="I596" i="1"/>
  <c r="L596" i="1" s="1"/>
  <c r="M595" i="1"/>
  <c r="J595" i="1"/>
  <c r="K595" i="1" s="1"/>
  <c r="I595" i="1"/>
  <c r="L595" i="1" s="1"/>
  <c r="M594" i="1"/>
  <c r="L594" i="1"/>
  <c r="J594" i="1"/>
  <c r="K594" i="1" s="1"/>
  <c r="I594" i="1"/>
  <c r="M593" i="1"/>
  <c r="L593" i="1"/>
  <c r="K593" i="1"/>
  <c r="J593" i="1"/>
  <c r="I593" i="1"/>
  <c r="M592" i="1"/>
  <c r="L592" i="1"/>
  <c r="J592" i="1"/>
  <c r="K592" i="1" s="1"/>
  <c r="I592" i="1"/>
  <c r="M591" i="1"/>
  <c r="K591" i="1"/>
  <c r="J591" i="1"/>
  <c r="I591" i="1"/>
  <c r="L591" i="1" s="1"/>
  <c r="M590" i="1"/>
  <c r="L590" i="1"/>
  <c r="J590" i="1"/>
  <c r="K590" i="1" s="1"/>
  <c r="I590" i="1"/>
  <c r="M589" i="1"/>
  <c r="K589" i="1"/>
  <c r="J589" i="1"/>
  <c r="I589" i="1"/>
  <c r="L589" i="1" s="1"/>
  <c r="M588" i="1"/>
  <c r="J588" i="1"/>
  <c r="K588" i="1" s="1"/>
  <c r="I588" i="1"/>
  <c r="L588" i="1" s="1"/>
  <c r="M587" i="1"/>
  <c r="J587" i="1"/>
  <c r="K587" i="1" s="1"/>
  <c r="I587" i="1"/>
  <c r="L587" i="1" s="1"/>
  <c r="M586" i="1"/>
  <c r="L586" i="1"/>
  <c r="J586" i="1"/>
  <c r="K586" i="1" s="1"/>
  <c r="I586" i="1"/>
  <c r="M585" i="1"/>
  <c r="L585" i="1"/>
  <c r="K585" i="1"/>
  <c r="J585" i="1"/>
  <c r="I585" i="1"/>
  <c r="M584" i="1"/>
  <c r="L584" i="1"/>
  <c r="J584" i="1"/>
  <c r="K584" i="1" s="1"/>
  <c r="I584" i="1"/>
  <c r="M583" i="1"/>
  <c r="K583" i="1"/>
  <c r="J583" i="1"/>
  <c r="I583" i="1"/>
  <c r="L583" i="1" s="1"/>
  <c r="M582" i="1"/>
  <c r="L582" i="1"/>
  <c r="J582" i="1"/>
  <c r="K582" i="1" s="1"/>
  <c r="I582" i="1"/>
  <c r="M581" i="1"/>
  <c r="K581" i="1"/>
  <c r="J581" i="1"/>
  <c r="I581" i="1"/>
  <c r="L581" i="1" s="1"/>
  <c r="M580" i="1"/>
  <c r="J580" i="1"/>
  <c r="K580" i="1" s="1"/>
  <c r="I580" i="1"/>
  <c r="L580" i="1" s="1"/>
  <c r="M579" i="1"/>
  <c r="J579" i="1"/>
  <c r="K579" i="1" s="1"/>
  <c r="I579" i="1"/>
  <c r="L579" i="1" s="1"/>
  <c r="M578" i="1"/>
  <c r="L578" i="1"/>
  <c r="J578" i="1"/>
  <c r="K578" i="1" s="1"/>
  <c r="I578" i="1"/>
  <c r="M577" i="1"/>
  <c r="L577" i="1"/>
  <c r="K577" i="1"/>
  <c r="J577" i="1"/>
  <c r="I577" i="1"/>
  <c r="M576" i="1"/>
  <c r="L576" i="1"/>
  <c r="J576" i="1"/>
  <c r="K576" i="1" s="1"/>
  <c r="I576" i="1"/>
  <c r="M575" i="1"/>
  <c r="K575" i="1"/>
  <c r="J575" i="1"/>
  <c r="I575" i="1"/>
  <c r="L575" i="1" s="1"/>
  <c r="M574" i="1"/>
  <c r="L574" i="1"/>
  <c r="J574" i="1"/>
  <c r="K574" i="1" s="1"/>
  <c r="I574" i="1"/>
  <c r="M573" i="1"/>
  <c r="K573" i="1"/>
  <c r="J573" i="1"/>
  <c r="I573" i="1"/>
  <c r="L573" i="1" s="1"/>
  <c r="M572" i="1"/>
  <c r="J572" i="1"/>
  <c r="K572" i="1" s="1"/>
  <c r="I572" i="1"/>
  <c r="L572" i="1" s="1"/>
  <c r="M571" i="1"/>
  <c r="J571" i="1"/>
  <c r="K571" i="1" s="1"/>
  <c r="I571" i="1"/>
  <c r="L571" i="1" s="1"/>
  <c r="M570" i="1"/>
  <c r="L570" i="1"/>
  <c r="J570" i="1"/>
  <c r="K570" i="1" s="1"/>
  <c r="I570" i="1"/>
  <c r="M569" i="1"/>
  <c r="L569" i="1"/>
  <c r="K569" i="1"/>
  <c r="J569" i="1"/>
  <c r="I569" i="1"/>
  <c r="M568" i="1"/>
  <c r="L568" i="1"/>
  <c r="J568" i="1"/>
  <c r="K568" i="1" s="1"/>
  <c r="I568" i="1"/>
  <c r="M567" i="1"/>
  <c r="K567" i="1"/>
  <c r="J567" i="1"/>
  <c r="I567" i="1"/>
  <c r="L567" i="1" s="1"/>
  <c r="M566" i="1"/>
  <c r="L566" i="1"/>
  <c r="J566" i="1"/>
  <c r="K566" i="1" s="1"/>
  <c r="I566" i="1"/>
  <c r="M565" i="1"/>
  <c r="K565" i="1"/>
  <c r="J565" i="1"/>
  <c r="I565" i="1"/>
  <c r="L565" i="1" s="1"/>
  <c r="M564" i="1"/>
  <c r="J564" i="1"/>
  <c r="K564" i="1" s="1"/>
  <c r="I564" i="1"/>
  <c r="L564" i="1" s="1"/>
  <c r="M563" i="1"/>
  <c r="J563" i="1"/>
  <c r="K563" i="1" s="1"/>
  <c r="I563" i="1"/>
  <c r="L563" i="1" s="1"/>
  <c r="M562" i="1"/>
  <c r="L562" i="1"/>
  <c r="J562" i="1"/>
  <c r="K562" i="1" s="1"/>
  <c r="I562" i="1"/>
  <c r="M561" i="1"/>
  <c r="L561" i="1"/>
  <c r="K561" i="1"/>
  <c r="J561" i="1"/>
  <c r="I561" i="1"/>
  <c r="M560" i="1"/>
  <c r="L560" i="1"/>
  <c r="J560" i="1"/>
  <c r="K560" i="1" s="1"/>
  <c r="I560" i="1"/>
  <c r="M559" i="1"/>
  <c r="K559" i="1"/>
  <c r="J559" i="1"/>
  <c r="I559" i="1"/>
  <c r="L559" i="1" s="1"/>
  <c r="M558" i="1"/>
  <c r="L558" i="1"/>
  <c r="J558" i="1"/>
  <c r="K558" i="1" s="1"/>
  <c r="I558" i="1"/>
  <c r="M557" i="1"/>
  <c r="K557" i="1"/>
  <c r="J557" i="1"/>
  <c r="I557" i="1"/>
  <c r="L557" i="1" s="1"/>
  <c r="M556" i="1"/>
  <c r="J556" i="1"/>
  <c r="K556" i="1" s="1"/>
  <c r="I556" i="1"/>
  <c r="L556" i="1" s="1"/>
  <c r="M555" i="1"/>
  <c r="J555" i="1"/>
  <c r="K555" i="1" s="1"/>
  <c r="I555" i="1"/>
  <c r="L555" i="1" s="1"/>
  <c r="M554" i="1"/>
  <c r="L554" i="1"/>
  <c r="J554" i="1"/>
  <c r="K554" i="1" s="1"/>
  <c r="I554" i="1"/>
  <c r="M553" i="1"/>
  <c r="L553" i="1"/>
  <c r="K553" i="1"/>
  <c r="J553" i="1"/>
  <c r="I553" i="1"/>
  <c r="M552" i="1"/>
  <c r="L552" i="1"/>
  <c r="J552" i="1"/>
  <c r="K552" i="1" s="1"/>
  <c r="I552" i="1"/>
  <c r="M551" i="1"/>
  <c r="K551" i="1"/>
  <c r="J551" i="1"/>
  <c r="I551" i="1"/>
  <c r="L551" i="1" s="1"/>
  <c r="M550" i="1"/>
  <c r="L550" i="1"/>
  <c r="J550" i="1"/>
  <c r="K550" i="1" s="1"/>
  <c r="I550" i="1"/>
  <c r="M549" i="1"/>
  <c r="K549" i="1"/>
  <c r="J549" i="1"/>
  <c r="I549" i="1"/>
  <c r="L549" i="1" s="1"/>
  <c r="M548" i="1"/>
  <c r="J548" i="1"/>
  <c r="K548" i="1" s="1"/>
  <c r="I548" i="1"/>
  <c r="L548" i="1" s="1"/>
  <c r="M547" i="1"/>
  <c r="J547" i="1"/>
  <c r="K547" i="1" s="1"/>
  <c r="I547" i="1"/>
  <c r="L547" i="1" s="1"/>
  <c r="M546" i="1"/>
  <c r="L546" i="1"/>
  <c r="J546" i="1"/>
  <c r="K546" i="1" s="1"/>
  <c r="I546" i="1"/>
  <c r="M545" i="1"/>
  <c r="L545" i="1"/>
  <c r="K545" i="1"/>
  <c r="J545" i="1"/>
  <c r="I545" i="1"/>
  <c r="M544" i="1"/>
  <c r="L544" i="1"/>
  <c r="J544" i="1"/>
  <c r="K544" i="1" s="1"/>
  <c r="I544" i="1"/>
  <c r="M543" i="1"/>
  <c r="K543" i="1"/>
  <c r="J543" i="1"/>
  <c r="I543" i="1"/>
  <c r="L543" i="1" s="1"/>
  <c r="M542" i="1"/>
  <c r="L542" i="1"/>
  <c r="J542" i="1"/>
  <c r="K542" i="1" s="1"/>
  <c r="I542" i="1"/>
  <c r="M541" i="1"/>
  <c r="K541" i="1"/>
  <c r="J541" i="1"/>
  <c r="I541" i="1"/>
  <c r="L541" i="1" s="1"/>
  <c r="M540" i="1"/>
  <c r="J540" i="1"/>
  <c r="K540" i="1" s="1"/>
  <c r="I540" i="1"/>
  <c r="L540" i="1" s="1"/>
  <c r="M539" i="1"/>
  <c r="J539" i="1"/>
  <c r="K539" i="1" s="1"/>
  <c r="I539" i="1"/>
  <c r="L539" i="1" s="1"/>
  <c r="M538" i="1"/>
  <c r="L538" i="1"/>
  <c r="J538" i="1"/>
  <c r="K538" i="1" s="1"/>
  <c r="I538" i="1"/>
  <c r="M537" i="1"/>
  <c r="L537" i="1"/>
  <c r="K537" i="1"/>
  <c r="J537" i="1"/>
  <c r="I537" i="1"/>
  <c r="M536" i="1"/>
  <c r="L536" i="1"/>
  <c r="J536" i="1"/>
  <c r="K536" i="1" s="1"/>
  <c r="I536" i="1"/>
  <c r="M535" i="1"/>
  <c r="K535" i="1"/>
  <c r="J535" i="1"/>
  <c r="I535" i="1"/>
  <c r="L535" i="1" s="1"/>
  <c r="M534" i="1"/>
  <c r="L534" i="1"/>
  <c r="J534" i="1"/>
  <c r="K534" i="1" s="1"/>
  <c r="I534" i="1"/>
  <c r="M533" i="1"/>
  <c r="K533" i="1"/>
  <c r="J533" i="1"/>
  <c r="I533" i="1"/>
  <c r="L533" i="1" s="1"/>
  <c r="M532" i="1"/>
  <c r="J532" i="1"/>
  <c r="K532" i="1" s="1"/>
  <c r="I532" i="1"/>
  <c r="L532" i="1" s="1"/>
  <c r="M531" i="1"/>
  <c r="J531" i="1"/>
  <c r="K531" i="1" s="1"/>
  <c r="I531" i="1"/>
  <c r="L531" i="1" s="1"/>
  <c r="M530" i="1"/>
  <c r="L530" i="1"/>
  <c r="J530" i="1"/>
  <c r="K530" i="1" s="1"/>
  <c r="I530" i="1"/>
  <c r="M529" i="1"/>
  <c r="L529" i="1"/>
  <c r="K529" i="1"/>
  <c r="J529" i="1"/>
  <c r="I529" i="1"/>
  <c r="M528" i="1"/>
  <c r="L528" i="1"/>
  <c r="J528" i="1"/>
  <c r="K528" i="1" s="1"/>
  <c r="I528" i="1"/>
  <c r="M527" i="1"/>
  <c r="K527" i="1"/>
  <c r="J527" i="1"/>
  <c r="I527" i="1"/>
  <c r="L527" i="1" s="1"/>
  <c r="M526" i="1"/>
  <c r="L526" i="1"/>
  <c r="J526" i="1"/>
  <c r="K526" i="1" s="1"/>
  <c r="I526" i="1"/>
  <c r="M525" i="1"/>
  <c r="K525" i="1"/>
  <c r="J525" i="1"/>
  <c r="I525" i="1"/>
  <c r="L525" i="1" s="1"/>
  <c r="M524" i="1"/>
  <c r="J524" i="1"/>
  <c r="K524" i="1" s="1"/>
  <c r="I524" i="1"/>
  <c r="L524" i="1" s="1"/>
  <c r="M523" i="1"/>
  <c r="J523" i="1"/>
  <c r="K523" i="1" s="1"/>
  <c r="I523" i="1"/>
  <c r="L523" i="1" s="1"/>
  <c r="M522" i="1"/>
  <c r="L522" i="1"/>
  <c r="J522" i="1"/>
  <c r="K522" i="1" s="1"/>
  <c r="I522" i="1"/>
  <c r="M521" i="1"/>
  <c r="L521" i="1"/>
  <c r="K521" i="1"/>
  <c r="J521" i="1"/>
  <c r="I521" i="1"/>
  <c r="M520" i="1"/>
  <c r="L520" i="1"/>
  <c r="J520" i="1"/>
  <c r="K520" i="1" s="1"/>
  <c r="I520" i="1"/>
  <c r="M519" i="1"/>
  <c r="K519" i="1"/>
  <c r="J519" i="1"/>
  <c r="I519" i="1"/>
  <c r="L519" i="1" s="1"/>
  <c r="M518" i="1"/>
  <c r="L518" i="1"/>
  <c r="J518" i="1"/>
  <c r="K518" i="1" s="1"/>
  <c r="I518" i="1"/>
  <c r="M517" i="1"/>
  <c r="K517" i="1"/>
  <c r="J517" i="1"/>
  <c r="I517" i="1"/>
  <c r="L517" i="1" s="1"/>
  <c r="M516" i="1"/>
  <c r="J516" i="1"/>
  <c r="K516" i="1" s="1"/>
  <c r="I516" i="1"/>
  <c r="L516" i="1" s="1"/>
  <c r="M515" i="1"/>
  <c r="J515" i="1"/>
  <c r="K515" i="1" s="1"/>
  <c r="I515" i="1"/>
  <c r="L515" i="1" s="1"/>
  <c r="M514" i="1"/>
  <c r="L514" i="1"/>
  <c r="J514" i="1"/>
  <c r="K514" i="1" s="1"/>
  <c r="I514" i="1"/>
  <c r="M513" i="1"/>
  <c r="L513" i="1"/>
  <c r="K513" i="1"/>
  <c r="J513" i="1"/>
  <c r="I513" i="1"/>
  <c r="M512" i="1"/>
  <c r="L512" i="1"/>
  <c r="J512" i="1"/>
  <c r="K512" i="1" s="1"/>
  <c r="I512" i="1"/>
  <c r="M511" i="1"/>
  <c r="K511" i="1"/>
  <c r="J511" i="1"/>
  <c r="I511" i="1"/>
  <c r="L511" i="1" s="1"/>
  <c r="M510" i="1"/>
  <c r="L510" i="1"/>
  <c r="J510" i="1"/>
  <c r="K510" i="1" s="1"/>
  <c r="I510" i="1"/>
  <c r="M509" i="1"/>
  <c r="K509" i="1"/>
  <c r="J509" i="1"/>
  <c r="I509" i="1"/>
  <c r="L509" i="1" s="1"/>
  <c r="M508" i="1"/>
  <c r="J508" i="1"/>
  <c r="K508" i="1" s="1"/>
  <c r="I508" i="1"/>
  <c r="L508" i="1" s="1"/>
  <c r="M507" i="1"/>
  <c r="J507" i="1"/>
  <c r="K507" i="1" s="1"/>
  <c r="I507" i="1"/>
  <c r="L507" i="1" s="1"/>
  <c r="M506" i="1"/>
  <c r="L506" i="1"/>
  <c r="J506" i="1"/>
  <c r="K506" i="1" s="1"/>
  <c r="I506" i="1"/>
  <c r="M505" i="1"/>
  <c r="L505" i="1"/>
  <c r="K505" i="1"/>
  <c r="J505" i="1"/>
  <c r="I505" i="1"/>
  <c r="M504" i="1"/>
  <c r="L504" i="1"/>
  <c r="J504" i="1"/>
  <c r="K504" i="1" s="1"/>
  <c r="I504" i="1"/>
  <c r="M503" i="1"/>
  <c r="K503" i="1"/>
  <c r="J503" i="1"/>
  <c r="I503" i="1"/>
  <c r="L503" i="1" s="1"/>
  <c r="M502" i="1"/>
  <c r="L502" i="1"/>
  <c r="J502" i="1"/>
  <c r="K502" i="1" s="1"/>
  <c r="I502" i="1"/>
  <c r="M501" i="1"/>
  <c r="K501" i="1"/>
  <c r="J501" i="1"/>
  <c r="I501" i="1"/>
  <c r="L501" i="1" s="1"/>
  <c r="M500" i="1"/>
  <c r="J500" i="1"/>
  <c r="K500" i="1" s="1"/>
  <c r="I500" i="1"/>
  <c r="L500" i="1" s="1"/>
  <c r="M499" i="1"/>
  <c r="J499" i="1"/>
  <c r="K499" i="1" s="1"/>
  <c r="I499" i="1"/>
  <c r="L499" i="1" s="1"/>
  <c r="M498" i="1"/>
  <c r="L498" i="1"/>
  <c r="J498" i="1"/>
  <c r="K498" i="1" s="1"/>
  <c r="I498" i="1"/>
  <c r="M497" i="1"/>
  <c r="L497" i="1"/>
  <c r="K497" i="1"/>
  <c r="J497" i="1"/>
  <c r="I497" i="1"/>
  <c r="M496" i="1"/>
  <c r="L496" i="1"/>
  <c r="J496" i="1"/>
  <c r="K496" i="1" s="1"/>
  <c r="I496" i="1"/>
  <c r="M495" i="1"/>
  <c r="K495" i="1"/>
  <c r="J495" i="1"/>
  <c r="I495" i="1"/>
  <c r="L495" i="1" s="1"/>
  <c r="M494" i="1"/>
  <c r="L494" i="1"/>
  <c r="J494" i="1"/>
  <c r="K494" i="1" s="1"/>
  <c r="I494" i="1"/>
  <c r="M493" i="1"/>
  <c r="K493" i="1"/>
  <c r="J493" i="1"/>
  <c r="I493" i="1"/>
  <c r="L493" i="1" s="1"/>
  <c r="M492" i="1"/>
  <c r="J492" i="1"/>
  <c r="K492" i="1" s="1"/>
  <c r="I492" i="1"/>
  <c r="L492" i="1" s="1"/>
  <c r="M491" i="1"/>
  <c r="J491" i="1"/>
  <c r="K491" i="1" s="1"/>
  <c r="I491" i="1"/>
  <c r="L491" i="1" s="1"/>
  <c r="M490" i="1"/>
  <c r="L490" i="1"/>
  <c r="J490" i="1"/>
  <c r="K490" i="1" s="1"/>
  <c r="I490" i="1"/>
  <c r="M489" i="1"/>
  <c r="L489" i="1"/>
  <c r="K489" i="1"/>
  <c r="J489" i="1"/>
  <c r="I489" i="1"/>
  <c r="M488" i="1"/>
  <c r="L488" i="1"/>
  <c r="J488" i="1"/>
  <c r="K488" i="1" s="1"/>
  <c r="I488" i="1"/>
  <c r="M487" i="1"/>
  <c r="K487" i="1"/>
  <c r="J487" i="1"/>
  <c r="I487" i="1"/>
  <c r="L487" i="1" s="1"/>
  <c r="M486" i="1"/>
  <c r="L486" i="1"/>
  <c r="J486" i="1"/>
  <c r="K486" i="1" s="1"/>
  <c r="I486" i="1"/>
  <c r="M485" i="1"/>
  <c r="J485" i="1"/>
  <c r="K485" i="1" s="1"/>
  <c r="I485" i="1"/>
  <c r="L485" i="1" s="1"/>
  <c r="M484" i="1"/>
  <c r="L484" i="1"/>
  <c r="J484" i="1"/>
  <c r="K484" i="1" s="1"/>
  <c r="I484" i="1"/>
  <c r="M483" i="1"/>
  <c r="L483" i="1"/>
  <c r="K483" i="1"/>
  <c r="J483" i="1"/>
  <c r="I483" i="1"/>
  <c r="M482" i="1"/>
  <c r="L482" i="1"/>
  <c r="J482" i="1"/>
  <c r="K482" i="1" s="1"/>
  <c r="I482" i="1"/>
  <c r="M481" i="1"/>
  <c r="J481" i="1"/>
  <c r="K481" i="1" s="1"/>
  <c r="I481" i="1"/>
  <c r="L481" i="1" s="1"/>
  <c r="M480" i="1"/>
  <c r="L480" i="1"/>
  <c r="J480" i="1"/>
  <c r="K480" i="1" s="1"/>
  <c r="I480" i="1"/>
  <c r="M479" i="1"/>
  <c r="L479" i="1"/>
  <c r="K479" i="1"/>
  <c r="J479" i="1"/>
  <c r="I479" i="1"/>
  <c r="M478" i="1"/>
  <c r="L478" i="1"/>
  <c r="J478" i="1"/>
  <c r="K478" i="1" s="1"/>
  <c r="I478" i="1"/>
  <c r="M477" i="1"/>
  <c r="J477" i="1"/>
  <c r="K477" i="1" s="1"/>
  <c r="I477" i="1"/>
  <c r="L477" i="1" s="1"/>
  <c r="M476" i="1"/>
  <c r="L476" i="1"/>
  <c r="J476" i="1"/>
  <c r="K476" i="1" s="1"/>
  <c r="I476" i="1"/>
  <c r="M475" i="1"/>
  <c r="L475" i="1"/>
  <c r="K475" i="1"/>
  <c r="J475" i="1"/>
  <c r="I475" i="1"/>
  <c r="M474" i="1"/>
  <c r="L474" i="1"/>
  <c r="J474" i="1"/>
  <c r="K474" i="1" s="1"/>
  <c r="I474" i="1"/>
  <c r="M473" i="1"/>
  <c r="J473" i="1"/>
  <c r="K473" i="1" s="1"/>
  <c r="I473" i="1"/>
  <c r="L473" i="1" s="1"/>
  <c r="M472" i="1"/>
  <c r="L472" i="1"/>
  <c r="J472" i="1"/>
  <c r="K472" i="1" s="1"/>
  <c r="I472" i="1"/>
  <c r="M471" i="1"/>
  <c r="L471" i="1"/>
  <c r="K471" i="1"/>
  <c r="J471" i="1"/>
  <c r="I471" i="1"/>
  <c r="M470" i="1"/>
  <c r="L470" i="1"/>
  <c r="J470" i="1"/>
  <c r="K470" i="1" s="1"/>
  <c r="I470" i="1"/>
  <c r="M469" i="1"/>
  <c r="J469" i="1"/>
  <c r="K469" i="1" s="1"/>
  <c r="I469" i="1"/>
  <c r="L469" i="1" s="1"/>
  <c r="M468" i="1"/>
  <c r="L468" i="1"/>
  <c r="J468" i="1"/>
  <c r="K468" i="1" s="1"/>
  <c r="I468" i="1"/>
  <c r="M467" i="1"/>
  <c r="L467" i="1"/>
  <c r="K467" i="1"/>
  <c r="J467" i="1"/>
  <c r="I467" i="1"/>
  <c r="M466" i="1"/>
  <c r="L466" i="1"/>
  <c r="J466" i="1"/>
  <c r="K466" i="1" s="1"/>
  <c r="I466" i="1"/>
  <c r="M465" i="1"/>
  <c r="J465" i="1"/>
  <c r="K465" i="1" s="1"/>
  <c r="I465" i="1"/>
  <c r="L465" i="1" s="1"/>
  <c r="M464" i="1"/>
  <c r="L464" i="1"/>
  <c r="J464" i="1"/>
  <c r="K464" i="1" s="1"/>
  <c r="I464" i="1"/>
  <c r="M463" i="1"/>
  <c r="L463" i="1"/>
  <c r="K463" i="1"/>
  <c r="J463" i="1"/>
  <c r="I463" i="1"/>
  <c r="M462" i="1"/>
  <c r="L462" i="1"/>
  <c r="J462" i="1"/>
  <c r="K462" i="1" s="1"/>
  <c r="I462" i="1"/>
  <c r="M461" i="1"/>
  <c r="J461" i="1"/>
  <c r="K461" i="1" s="1"/>
  <c r="I461" i="1"/>
  <c r="L461" i="1" s="1"/>
  <c r="M460" i="1"/>
  <c r="L460" i="1"/>
  <c r="J460" i="1"/>
  <c r="K460" i="1" s="1"/>
  <c r="I460" i="1"/>
  <c r="M459" i="1"/>
  <c r="L459" i="1"/>
  <c r="K459" i="1"/>
  <c r="J459" i="1"/>
  <c r="I459" i="1"/>
  <c r="M458" i="1"/>
  <c r="L458" i="1"/>
  <c r="J458" i="1"/>
  <c r="K458" i="1" s="1"/>
  <c r="I458" i="1"/>
  <c r="M457" i="1"/>
  <c r="J457" i="1"/>
  <c r="K457" i="1" s="1"/>
  <c r="I457" i="1"/>
  <c r="L457" i="1" s="1"/>
  <c r="M456" i="1"/>
  <c r="L456" i="1"/>
  <c r="J456" i="1"/>
  <c r="K456" i="1" s="1"/>
  <c r="I456" i="1"/>
  <c r="M455" i="1"/>
  <c r="L455" i="1"/>
  <c r="K455" i="1"/>
  <c r="J455" i="1"/>
  <c r="I455" i="1"/>
  <c r="M454" i="1"/>
  <c r="L454" i="1"/>
  <c r="J454" i="1"/>
  <c r="K454" i="1" s="1"/>
  <c r="I454" i="1"/>
  <c r="M453" i="1"/>
  <c r="J453" i="1"/>
  <c r="K453" i="1" s="1"/>
  <c r="I453" i="1"/>
  <c r="L453" i="1" s="1"/>
  <c r="M452" i="1"/>
  <c r="L452" i="1"/>
  <c r="J452" i="1"/>
  <c r="K452" i="1" s="1"/>
  <c r="I452" i="1"/>
  <c r="M451" i="1"/>
  <c r="L451" i="1"/>
  <c r="K451" i="1"/>
  <c r="J451" i="1"/>
  <c r="I451" i="1"/>
  <c r="M450" i="1"/>
  <c r="L450" i="1"/>
  <c r="J450" i="1"/>
  <c r="K450" i="1" s="1"/>
  <c r="I450" i="1"/>
  <c r="M449" i="1"/>
  <c r="J449" i="1"/>
  <c r="K449" i="1" s="1"/>
  <c r="I449" i="1"/>
  <c r="L449" i="1" s="1"/>
  <c r="M448" i="1"/>
  <c r="L448" i="1"/>
  <c r="J448" i="1"/>
  <c r="K448" i="1" s="1"/>
  <c r="I448" i="1"/>
  <c r="M447" i="1"/>
  <c r="L447" i="1"/>
  <c r="K447" i="1"/>
  <c r="J447" i="1"/>
  <c r="I447" i="1"/>
  <c r="M446" i="1"/>
  <c r="L446" i="1"/>
  <c r="J446" i="1"/>
  <c r="K446" i="1" s="1"/>
  <c r="I446" i="1"/>
  <c r="M445" i="1"/>
  <c r="J445" i="1"/>
  <c r="K445" i="1" s="1"/>
  <c r="I445" i="1"/>
  <c r="L445" i="1" s="1"/>
  <c r="M444" i="1"/>
  <c r="L444" i="1"/>
  <c r="J444" i="1"/>
  <c r="K444" i="1" s="1"/>
  <c r="I444" i="1"/>
  <c r="M443" i="1"/>
  <c r="L443" i="1"/>
  <c r="K443" i="1"/>
  <c r="J443" i="1"/>
  <c r="I443" i="1"/>
  <c r="M442" i="1"/>
  <c r="L442" i="1"/>
  <c r="J442" i="1"/>
  <c r="K442" i="1" s="1"/>
  <c r="I442" i="1"/>
  <c r="M441" i="1"/>
  <c r="J441" i="1"/>
  <c r="K441" i="1" s="1"/>
  <c r="I441" i="1"/>
  <c r="L441" i="1" s="1"/>
  <c r="M440" i="1"/>
  <c r="L440" i="1"/>
  <c r="J440" i="1"/>
  <c r="K440" i="1" s="1"/>
  <c r="I440" i="1"/>
  <c r="M439" i="1"/>
  <c r="L439" i="1"/>
  <c r="K439" i="1"/>
  <c r="J439" i="1"/>
  <c r="I439" i="1"/>
  <c r="M438" i="1"/>
  <c r="L438" i="1"/>
  <c r="J438" i="1"/>
  <c r="K438" i="1" s="1"/>
  <c r="I438" i="1"/>
  <c r="M437" i="1"/>
  <c r="J437" i="1"/>
  <c r="K437" i="1" s="1"/>
  <c r="I437" i="1"/>
  <c r="L437" i="1" s="1"/>
  <c r="M436" i="1"/>
  <c r="L436" i="1"/>
  <c r="J436" i="1"/>
  <c r="K436" i="1" s="1"/>
  <c r="I436" i="1"/>
  <c r="M435" i="1"/>
  <c r="L435" i="1"/>
  <c r="K435" i="1"/>
  <c r="J435" i="1"/>
  <c r="I435" i="1"/>
  <c r="M434" i="1"/>
  <c r="L434" i="1"/>
  <c r="J434" i="1"/>
  <c r="K434" i="1" s="1"/>
  <c r="I434" i="1"/>
  <c r="M433" i="1"/>
  <c r="J433" i="1"/>
  <c r="K433" i="1" s="1"/>
  <c r="I433" i="1"/>
  <c r="L433" i="1" s="1"/>
  <c r="M432" i="1"/>
  <c r="L432" i="1"/>
  <c r="J432" i="1"/>
  <c r="K432" i="1" s="1"/>
  <c r="I432" i="1"/>
  <c r="M431" i="1"/>
  <c r="L431" i="1"/>
  <c r="K431" i="1"/>
  <c r="J431" i="1"/>
  <c r="I431" i="1"/>
  <c r="M430" i="1"/>
  <c r="L430" i="1"/>
  <c r="J430" i="1"/>
  <c r="K430" i="1" s="1"/>
  <c r="I430" i="1"/>
  <c r="M429" i="1"/>
  <c r="J429" i="1"/>
  <c r="K429" i="1" s="1"/>
  <c r="I429" i="1"/>
  <c r="L429" i="1" s="1"/>
  <c r="M428" i="1"/>
  <c r="L428" i="1"/>
  <c r="J428" i="1"/>
  <c r="K428" i="1" s="1"/>
  <c r="I428" i="1"/>
  <c r="M427" i="1"/>
  <c r="L427" i="1"/>
  <c r="K427" i="1"/>
  <c r="J427" i="1"/>
  <c r="I427" i="1"/>
  <c r="M426" i="1"/>
  <c r="L426" i="1"/>
  <c r="J426" i="1"/>
  <c r="K426" i="1" s="1"/>
  <c r="I426" i="1"/>
  <c r="M425" i="1"/>
  <c r="J425" i="1"/>
  <c r="K425" i="1" s="1"/>
  <c r="I425" i="1"/>
  <c r="L425" i="1" s="1"/>
  <c r="M424" i="1"/>
  <c r="L424" i="1"/>
  <c r="J424" i="1"/>
  <c r="K424" i="1" s="1"/>
  <c r="I424" i="1"/>
  <c r="M423" i="1"/>
  <c r="L423" i="1"/>
  <c r="K423" i="1"/>
  <c r="J423" i="1"/>
  <c r="I423" i="1"/>
  <c r="M422" i="1"/>
  <c r="L422" i="1"/>
  <c r="J422" i="1"/>
  <c r="K422" i="1" s="1"/>
  <c r="I422" i="1"/>
  <c r="M421" i="1"/>
  <c r="J421" i="1"/>
  <c r="K421" i="1" s="1"/>
  <c r="I421" i="1"/>
  <c r="L421" i="1" s="1"/>
  <c r="M420" i="1"/>
  <c r="L420" i="1"/>
  <c r="J420" i="1"/>
  <c r="K420" i="1" s="1"/>
  <c r="I420" i="1"/>
  <c r="M419" i="1"/>
  <c r="L419" i="1"/>
  <c r="K419" i="1"/>
  <c r="J419" i="1"/>
  <c r="I419" i="1"/>
  <c r="M418" i="1"/>
  <c r="L418" i="1"/>
  <c r="J418" i="1"/>
  <c r="K418" i="1" s="1"/>
  <c r="I418" i="1"/>
  <c r="M417" i="1"/>
  <c r="J417" i="1"/>
  <c r="K417" i="1" s="1"/>
  <c r="I417" i="1"/>
  <c r="L417" i="1" s="1"/>
  <c r="M416" i="1"/>
  <c r="L416" i="1"/>
  <c r="J416" i="1"/>
  <c r="K416" i="1" s="1"/>
  <c r="I416" i="1"/>
  <c r="M415" i="1"/>
  <c r="L415" i="1"/>
  <c r="K415" i="1"/>
  <c r="J415" i="1"/>
  <c r="I415" i="1"/>
  <c r="M414" i="1"/>
  <c r="L414" i="1"/>
  <c r="J414" i="1"/>
  <c r="K414" i="1" s="1"/>
  <c r="I414" i="1"/>
  <c r="M413" i="1"/>
  <c r="J413" i="1"/>
  <c r="K413" i="1" s="1"/>
  <c r="I413" i="1"/>
  <c r="L413" i="1" s="1"/>
  <c r="M412" i="1"/>
  <c r="L412" i="1"/>
  <c r="J412" i="1"/>
  <c r="K412" i="1" s="1"/>
  <c r="I412" i="1"/>
  <c r="M411" i="1"/>
  <c r="L411" i="1"/>
  <c r="K411" i="1"/>
  <c r="J411" i="1"/>
  <c r="I411" i="1"/>
  <c r="M410" i="1"/>
  <c r="L410" i="1"/>
  <c r="J410" i="1"/>
  <c r="K410" i="1" s="1"/>
  <c r="I410" i="1"/>
  <c r="M409" i="1"/>
  <c r="J409" i="1"/>
  <c r="K409" i="1" s="1"/>
  <c r="I409" i="1"/>
  <c r="L409" i="1" s="1"/>
  <c r="M408" i="1"/>
  <c r="L408" i="1"/>
  <c r="J408" i="1"/>
  <c r="K408" i="1" s="1"/>
  <c r="I408" i="1"/>
  <c r="M407" i="1"/>
  <c r="L407" i="1"/>
  <c r="K407" i="1"/>
  <c r="J407" i="1"/>
  <c r="I407" i="1"/>
  <c r="M406" i="1"/>
  <c r="L406" i="1"/>
  <c r="J406" i="1"/>
  <c r="K406" i="1" s="1"/>
  <c r="I406" i="1"/>
  <c r="M405" i="1"/>
  <c r="J405" i="1"/>
  <c r="K405" i="1" s="1"/>
  <c r="I405" i="1"/>
  <c r="L405" i="1" s="1"/>
  <c r="M404" i="1"/>
  <c r="L404" i="1"/>
  <c r="J404" i="1"/>
  <c r="K404" i="1" s="1"/>
  <c r="I404" i="1"/>
  <c r="M403" i="1"/>
  <c r="L403" i="1"/>
  <c r="K403" i="1"/>
  <c r="J403" i="1"/>
  <c r="I403" i="1"/>
  <c r="M402" i="1"/>
  <c r="L402" i="1"/>
  <c r="J402" i="1"/>
  <c r="K402" i="1" s="1"/>
  <c r="I402" i="1"/>
  <c r="M401" i="1"/>
  <c r="J401" i="1"/>
  <c r="K401" i="1" s="1"/>
  <c r="I401" i="1"/>
  <c r="L401" i="1" s="1"/>
  <c r="M400" i="1"/>
  <c r="L400" i="1"/>
  <c r="J400" i="1"/>
  <c r="K400" i="1" s="1"/>
  <c r="I400" i="1"/>
  <c r="M399" i="1"/>
  <c r="L399" i="1"/>
  <c r="K399" i="1"/>
  <c r="J399" i="1"/>
  <c r="I399" i="1"/>
  <c r="M398" i="1"/>
  <c r="L398" i="1"/>
  <c r="J398" i="1"/>
  <c r="K398" i="1" s="1"/>
  <c r="I398" i="1"/>
  <c r="M397" i="1"/>
  <c r="J397" i="1"/>
  <c r="K397" i="1" s="1"/>
  <c r="I397" i="1"/>
  <c r="L397" i="1" s="1"/>
  <c r="M396" i="1"/>
  <c r="L396" i="1"/>
  <c r="J396" i="1"/>
  <c r="K396" i="1" s="1"/>
  <c r="I396" i="1"/>
  <c r="M395" i="1"/>
  <c r="L395" i="1"/>
  <c r="K395" i="1"/>
  <c r="J395" i="1"/>
  <c r="I395" i="1"/>
  <c r="M394" i="1"/>
  <c r="L394" i="1"/>
  <c r="J394" i="1"/>
  <c r="K394" i="1" s="1"/>
  <c r="I394" i="1"/>
  <c r="M393" i="1"/>
  <c r="J393" i="1"/>
  <c r="K393" i="1" s="1"/>
  <c r="I393" i="1"/>
  <c r="L393" i="1" s="1"/>
  <c r="M392" i="1"/>
  <c r="L392" i="1"/>
  <c r="J392" i="1"/>
  <c r="K392" i="1" s="1"/>
  <c r="I392" i="1"/>
  <c r="M391" i="1"/>
  <c r="L391" i="1"/>
  <c r="K391" i="1"/>
  <c r="J391" i="1"/>
  <c r="I391" i="1"/>
  <c r="M390" i="1"/>
  <c r="L390" i="1"/>
  <c r="J390" i="1"/>
  <c r="K390" i="1" s="1"/>
  <c r="I390" i="1"/>
  <c r="M389" i="1"/>
  <c r="J389" i="1"/>
  <c r="K389" i="1" s="1"/>
  <c r="I389" i="1"/>
  <c r="L389" i="1" s="1"/>
  <c r="M388" i="1"/>
  <c r="L388" i="1"/>
  <c r="J388" i="1"/>
  <c r="K388" i="1" s="1"/>
  <c r="I388" i="1"/>
  <c r="M387" i="1"/>
  <c r="L387" i="1"/>
  <c r="K387" i="1"/>
  <c r="J387" i="1"/>
  <c r="I387" i="1"/>
  <c r="M386" i="1"/>
  <c r="L386" i="1"/>
  <c r="J386" i="1"/>
  <c r="K386" i="1" s="1"/>
  <c r="I386" i="1"/>
  <c r="M385" i="1"/>
  <c r="J385" i="1"/>
  <c r="K385" i="1" s="1"/>
  <c r="I385" i="1"/>
  <c r="L385" i="1" s="1"/>
  <c r="M384" i="1"/>
  <c r="L384" i="1"/>
  <c r="J384" i="1"/>
  <c r="K384" i="1" s="1"/>
  <c r="I384" i="1"/>
  <c r="M383" i="1"/>
  <c r="L383" i="1"/>
  <c r="K383" i="1"/>
  <c r="J383" i="1"/>
  <c r="I383" i="1"/>
  <c r="M382" i="1"/>
  <c r="L382" i="1"/>
  <c r="J382" i="1"/>
  <c r="K382" i="1" s="1"/>
  <c r="I382" i="1"/>
  <c r="M381" i="1"/>
  <c r="J381" i="1"/>
  <c r="K381" i="1" s="1"/>
  <c r="I381" i="1"/>
  <c r="L381" i="1" s="1"/>
  <c r="M380" i="1"/>
  <c r="L380" i="1"/>
  <c r="J380" i="1"/>
  <c r="K380" i="1" s="1"/>
  <c r="I380" i="1"/>
  <c r="M379" i="1"/>
  <c r="L379" i="1"/>
  <c r="K379" i="1"/>
  <c r="J379" i="1"/>
  <c r="I379" i="1"/>
  <c r="M378" i="1"/>
  <c r="L378" i="1"/>
  <c r="J378" i="1"/>
  <c r="K378" i="1" s="1"/>
  <c r="I378" i="1"/>
  <c r="M377" i="1"/>
  <c r="J377" i="1"/>
  <c r="K377" i="1" s="1"/>
  <c r="I377" i="1"/>
  <c r="L377" i="1" s="1"/>
  <c r="M376" i="1"/>
  <c r="L376" i="1"/>
  <c r="J376" i="1"/>
  <c r="K376" i="1" s="1"/>
  <c r="I376" i="1"/>
  <c r="M375" i="1"/>
  <c r="L375" i="1"/>
  <c r="K375" i="1"/>
  <c r="J375" i="1"/>
  <c r="I375" i="1"/>
  <c r="M374" i="1"/>
  <c r="L374" i="1"/>
  <c r="J374" i="1"/>
  <c r="K374" i="1" s="1"/>
  <c r="I374" i="1"/>
  <c r="M373" i="1"/>
  <c r="J373" i="1"/>
  <c r="K373" i="1" s="1"/>
  <c r="I373" i="1"/>
  <c r="L373" i="1" s="1"/>
  <c r="M372" i="1"/>
  <c r="L372" i="1"/>
  <c r="J372" i="1"/>
  <c r="K372" i="1" s="1"/>
  <c r="I372" i="1"/>
  <c r="M371" i="1"/>
  <c r="L371" i="1"/>
  <c r="K371" i="1"/>
  <c r="J371" i="1"/>
  <c r="I371" i="1"/>
  <c r="M370" i="1"/>
  <c r="L370" i="1"/>
  <c r="J370" i="1"/>
  <c r="K370" i="1" s="1"/>
  <c r="I370" i="1"/>
  <c r="M369" i="1"/>
  <c r="J369" i="1"/>
  <c r="K369" i="1" s="1"/>
  <c r="I369" i="1"/>
  <c r="L369" i="1" s="1"/>
  <c r="M368" i="1"/>
  <c r="L368" i="1"/>
  <c r="J368" i="1"/>
  <c r="K368" i="1" s="1"/>
  <c r="I368" i="1"/>
  <c r="M367" i="1"/>
  <c r="L367" i="1"/>
  <c r="K367" i="1"/>
  <c r="J367" i="1"/>
  <c r="I367" i="1"/>
  <c r="M366" i="1"/>
  <c r="L366" i="1"/>
  <c r="J366" i="1"/>
  <c r="K366" i="1" s="1"/>
  <c r="I366" i="1"/>
  <c r="M365" i="1"/>
  <c r="J365" i="1"/>
  <c r="K365" i="1" s="1"/>
  <c r="I365" i="1"/>
  <c r="L365" i="1" s="1"/>
  <c r="M364" i="1"/>
  <c r="L364" i="1"/>
  <c r="J364" i="1"/>
  <c r="K364" i="1" s="1"/>
  <c r="I364" i="1"/>
  <c r="M363" i="1"/>
  <c r="L363" i="1"/>
  <c r="K363" i="1"/>
  <c r="J363" i="1"/>
  <c r="I363" i="1"/>
  <c r="M362" i="1"/>
  <c r="L362" i="1"/>
  <c r="J362" i="1"/>
  <c r="K362" i="1" s="1"/>
  <c r="I362" i="1"/>
  <c r="M361" i="1"/>
  <c r="J361" i="1"/>
  <c r="K361" i="1" s="1"/>
  <c r="I361" i="1"/>
  <c r="L361" i="1" s="1"/>
  <c r="M360" i="1"/>
  <c r="L360" i="1"/>
  <c r="J360" i="1"/>
  <c r="K360" i="1" s="1"/>
  <c r="I360" i="1"/>
  <c r="M359" i="1"/>
  <c r="L359" i="1"/>
  <c r="K359" i="1"/>
  <c r="J359" i="1"/>
  <c r="I359" i="1"/>
  <c r="M358" i="1"/>
  <c r="L358" i="1"/>
  <c r="J358" i="1"/>
  <c r="K358" i="1" s="1"/>
  <c r="I358" i="1"/>
  <c r="M357" i="1"/>
  <c r="J357" i="1"/>
  <c r="K357" i="1" s="1"/>
  <c r="I357" i="1"/>
  <c r="L357" i="1" s="1"/>
  <c r="M356" i="1"/>
  <c r="L356" i="1"/>
  <c r="J356" i="1"/>
  <c r="K356" i="1" s="1"/>
  <c r="I356" i="1"/>
  <c r="M355" i="1"/>
  <c r="L355" i="1"/>
  <c r="K355" i="1"/>
  <c r="J355" i="1"/>
  <c r="I355" i="1"/>
  <c r="M354" i="1"/>
  <c r="L354" i="1"/>
  <c r="J354" i="1"/>
  <c r="K354" i="1" s="1"/>
  <c r="I354" i="1"/>
  <c r="M353" i="1"/>
  <c r="J353" i="1"/>
  <c r="K353" i="1" s="1"/>
  <c r="I353" i="1"/>
  <c r="L353" i="1" s="1"/>
  <c r="M352" i="1"/>
  <c r="L352" i="1"/>
  <c r="J352" i="1"/>
  <c r="K352" i="1" s="1"/>
  <c r="I352" i="1"/>
  <c r="M351" i="1"/>
  <c r="L351" i="1"/>
  <c r="K351" i="1"/>
  <c r="J351" i="1"/>
  <c r="I351" i="1"/>
  <c r="M350" i="1"/>
  <c r="L350" i="1"/>
  <c r="J350" i="1"/>
  <c r="K350" i="1" s="1"/>
  <c r="I350" i="1"/>
  <c r="M349" i="1"/>
  <c r="J349" i="1"/>
  <c r="K349" i="1" s="1"/>
  <c r="I349" i="1"/>
  <c r="L349" i="1" s="1"/>
  <c r="M348" i="1"/>
  <c r="L348" i="1"/>
  <c r="J348" i="1"/>
  <c r="K348" i="1" s="1"/>
  <c r="I348" i="1"/>
  <c r="M347" i="1"/>
  <c r="L347" i="1"/>
  <c r="K347" i="1"/>
  <c r="J347" i="1"/>
  <c r="I347" i="1"/>
  <c r="M346" i="1"/>
  <c r="L346" i="1"/>
  <c r="J346" i="1"/>
  <c r="K346" i="1" s="1"/>
  <c r="I346" i="1"/>
  <c r="M345" i="1"/>
  <c r="J345" i="1"/>
  <c r="K345" i="1" s="1"/>
  <c r="I345" i="1"/>
  <c r="L345" i="1" s="1"/>
  <c r="M344" i="1"/>
  <c r="L344" i="1"/>
  <c r="J344" i="1"/>
  <c r="K344" i="1" s="1"/>
  <c r="I344" i="1"/>
  <c r="M343" i="1"/>
  <c r="L343" i="1"/>
  <c r="K343" i="1"/>
  <c r="J343" i="1"/>
  <c r="I343" i="1"/>
  <c r="M342" i="1"/>
  <c r="L342" i="1"/>
  <c r="J342" i="1"/>
  <c r="K342" i="1" s="1"/>
  <c r="I342" i="1"/>
  <c r="M341" i="1"/>
  <c r="J341" i="1"/>
  <c r="K341" i="1" s="1"/>
  <c r="I341" i="1"/>
  <c r="L341" i="1" s="1"/>
  <c r="M340" i="1"/>
  <c r="L340" i="1"/>
  <c r="J340" i="1"/>
  <c r="K340" i="1" s="1"/>
  <c r="I340" i="1"/>
  <c r="M339" i="1"/>
  <c r="L339" i="1"/>
  <c r="K339" i="1"/>
  <c r="J339" i="1"/>
  <c r="I339" i="1"/>
  <c r="M338" i="1"/>
  <c r="L338" i="1"/>
  <c r="J338" i="1"/>
  <c r="K338" i="1" s="1"/>
  <c r="I338" i="1"/>
  <c r="M337" i="1"/>
  <c r="J337" i="1"/>
  <c r="K337" i="1" s="1"/>
  <c r="I337" i="1"/>
  <c r="L337" i="1" s="1"/>
  <c r="M336" i="1"/>
  <c r="L336" i="1"/>
  <c r="J336" i="1"/>
  <c r="K336" i="1" s="1"/>
  <c r="I336" i="1"/>
  <c r="M335" i="1"/>
  <c r="L335" i="1"/>
  <c r="K335" i="1"/>
  <c r="J335" i="1"/>
  <c r="I335" i="1"/>
  <c r="M334" i="1"/>
  <c r="L334" i="1"/>
  <c r="J334" i="1"/>
  <c r="K334" i="1" s="1"/>
  <c r="I334" i="1"/>
  <c r="M333" i="1"/>
  <c r="J333" i="1"/>
  <c r="K333" i="1" s="1"/>
  <c r="I333" i="1"/>
  <c r="L333" i="1" s="1"/>
  <c r="M332" i="1"/>
  <c r="L332" i="1"/>
  <c r="J332" i="1"/>
  <c r="K332" i="1" s="1"/>
  <c r="I332" i="1"/>
  <c r="M331" i="1"/>
  <c r="L331" i="1"/>
  <c r="K331" i="1"/>
  <c r="J331" i="1"/>
  <c r="I331" i="1"/>
  <c r="M330" i="1"/>
  <c r="L330" i="1"/>
  <c r="J330" i="1"/>
  <c r="K330" i="1" s="1"/>
  <c r="I330" i="1"/>
  <c r="M329" i="1"/>
  <c r="J329" i="1"/>
  <c r="K329" i="1" s="1"/>
  <c r="I329" i="1"/>
  <c r="L329" i="1" s="1"/>
  <c r="M328" i="1"/>
  <c r="L328" i="1"/>
  <c r="J328" i="1"/>
  <c r="K328" i="1" s="1"/>
  <c r="I328" i="1"/>
  <c r="M327" i="1"/>
  <c r="L327" i="1"/>
  <c r="K327" i="1"/>
  <c r="J327" i="1"/>
  <c r="I327" i="1"/>
  <c r="M326" i="1"/>
  <c r="L326" i="1"/>
  <c r="J326" i="1"/>
  <c r="K326" i="1" s="1"/>
  <c r="I326" i="1"/>
  <c r="M325" i="1"/>
  <c r="J325" i="1"/>
  <c r="K325" i="1" s="1"/>
  <c r="I325" i="1"/>
  <c r="L325" i="1" s="1"/>
  <c r="M324" i="1"/>
  <c r="L324" i="1"/>
  <c r="J324" i="1"/>
  <c r="K324" i="1" s="1"/>
  <c r="I324" i="1"/>
  <c r="M323" i="1"/>
  <c r="L323" i="1"/>
  <c r="K323" i="1"/>
  <c r="J323" i="1"/>
  <c r="I323" i="1"/>
  <c r="M322" i="1"/>
  <c r="L322" i="1"/>
  <c r="J322" i="1"/>
  <c r="K322" i="1" s="1"/>
  <c r="I322" i="1"/>
  <c r="M321" i="1"/>
  <c r="J321" i="1"/>
  <c r="K321" i="1" s="1"/>
  <c r="I321" i="1"/>
  <c r="L321" i="1" s="1"/>
  <c r="M320" i="1"/>
  <c r="L320" i="1"/>
  <c r="J320" i="1"/>
  <c r="K320" i="1" s="1"/>
  <c r="I320" i="1"/>
  <c r="M319" i="1"/>
  <c r="L319" i="1"/>
  <c r="K319" i="1"/>
  <c r="J319" i="1"/>
  <c r="I319" i="1"/>
  <c r="M318" i="1"/>
  <c r="L318" i="1"/>
  <c r="J318" i="1"/>
  <c r="K318" i="1" s="1"/>
  <c r="I318" i="1"/>
  <c r="M317" i="1"/>
  <c r="J317" i="1"/>
  <c r="K317" i="1" s="1"/>
  <c r="I317" i="1"/>
  <c r="L317" i="1" s="1"/>
  <c r="M316" i="1"/>
  <c r="L316" i="1"/>
  <c r="J316" i="1"/>
  <c r="K316" i="1" s="1"/>
  <c r="I316" i="1"/>
  <c r="M315" i="1"/>
  <c r="L315" i="1"/>
  <c r="K315" i="1"/>
  <c r="J315" i="1"/>
  <c r="I315" i="1"/>
  <c r="M314" i="1"/>
  <c r="L314" i="1"/>
  <c r="J314" i="1"/>
  <c r="K314" i="1" s="1"/>
  <c r="I314" i="1"/>
  <c r="M313" i="1"/>
  <c r="J313" i="1"/>
  <c r="K313" i="1" s="1"/>
  <c r="I313" i="1"/>
  <c r="L313" i="1" s="1"/>
  <c r="M312" i="1"/>
  <c r="L312" i="1"/>
  <c r="J312" i="1"/>
  <c r="K312" i="1" s="1"/>
  <c r="I312" i="1"/>
  <c r="M311" i="1"/>
  <c r="L311" i="1"/>
  <c r="K311" i="1"/>
  <c r="J311" i="1"/>
  <c r="I311" i="1"/>
  <c r="M310" i="1"/>
  <c r="L310" i="1"/>
  <c r="J310" i="1"/>
  <c r="K310" i="1" s="1"/>
  <c r="I310" i="1"/>
  <c r="M309" i="1"/>
  <c r="J309" i="1"/>
  <c r="K309" i="1" s="1"/>
  <c r="I309" i="1"/>
  <c r="L309" i="1" s="1"/>
  <c r="M308" i="1"/>
  <c r="L308" i="1"/>
  <c r="J308" i="1"/>
  <c r="K308" i="1" s="1"/>
  <c r="I308" i="1"/>
  <c r="M307" i="1"/>
  <c r="L307" i="1"/>
  <c r="K307" i="1"/>
  <c r="J307" i="1"/>
  <c r="I307" i="1"/>
  <c r="M306" i="1"/>
  <c r="L306" i="1"/>
  <c r="J306" i="1"/>
  <c r="K306" i="1" s="1"/>
  <c r="I306" i="1"/>
  <c r="M305" i="1"/>
  <c r="J305" i="1"/>
  <c r="K305" i="1" s="1"/>
  <c r="I305" i="1"/>
  <c r="L305" i="1" s="1"/>
  <c r="M304" i="1"/>
  <c r="L304" i="1"/>
  <c r="J304" i="1"/>
  <c r="K304" i="1" s="1"/>
  <c r="I304" i="1"/>
  <c r="M303" i="1"/>
  <c r="L303" i="1"/>
  <c r="K303" i="1"/>
  <c r="J303" i="1"/>
  <c r="I303" i="1"/>
  <c r="M302" i="1"/>
  <c r="L302" i="1"/>
  <c r="J302" i="1"/>
  <c r="K302" i="1" s="1"/>
  <c r="I302" i="1"/>
  <c r="M301" i="1"/>
  <c r="J301" i="1"/>
  <c r="K301" i="1" s="1"/>
  <c r="I301" i="1"/>
  <c r="L301" i="1" s="1"/>
  <c r="M300" i="1"/>
  <c r="L300" i="1"/>
  <c r="J300" i="1"/>
  <c r="K300" i="1" s="1"/>
  <c r="I300" i="1"/>
  <c r="M299" i="1"/>
  <c r="L299" i="1"/>
  <c r="K299" i="1"/>
  <c r="J299" i="1"/>
  <c r="I299" i="1"/>
  <c r="M298" i="1"/>
  <c r="L298" i="1"/>
  <c r="J298" i="1"/>
  <c r="K298" i="1" s="1"/>
  <c r="I298" i="1"/>
  <c r="M297" i="1"/>
  <c r="J297" i="1"/>
  <c r="K297" i="1" s="1"/>
  <c r="I297" i="1"/>
  <c r="L297" i="1" s="1"/>
  <c r="M296" i="1"/>
  <c r="L296" i="1"/>
  <c r="J296" i="1"/>
  <c r="K296" i="1" s="1"/>
  <c r="I296" i="1"/>
  <c r="M295" i="1"/>
  <c r="L295" i="1"/>
  <c r="K295" i="1"/>
  <c r="J295" i="1"/>
  <c r="I295" i="1"/>
  <c r="M294" i="1"/>
  <c r="L294" i="1"/>
  <c r="J294" i="1"/>
  <c r="K294" i="1" s="1"/>
  <c r="I294" i="1"/>
  <c r="M293" i="1"/>
  <c r="J293" i="1"/>
  <c r="K293" i="1" s="1"/>
  <c r="I293" i="1"/>
  <c r="L293" i="1" s="1"/>
  <c r="M292" i="1"/>
  <c r="L292" i="1"/>
  <c r="J292" i="1"/>
  <c r="K292" i="1" s="1"/>
  <c r="I292" i="1"/>
  <c r="M291" i="1"/>
  <c r="L291" i="1"/>
  <c r="K291" i="1"/>
  <c r="J291" i="1"/>
  <c r="I291" i="1"/>
  <c r="M290" i="1"/>
  <c r="L290" i="1"/>
  <c r="J290" i="1"/>
  <c r="K290" i="1" s="1"/>
  <c r="I290" i="1"/>
  <c r="M289" i="1"/>
  <c r="J289" i="1"/>
  <c r="K289" i="1" s="1"/>
  <c r="I289" i="1"/>
  <c r="L289" i="1" s="1"/>
  <c r="M288" i="1"/>
  <c r="L288" i="1"/>
  <c r="J288" i="1"/>
  <c r="K288" i="1" s="1"/>
  <c r="I288" i="1"/>
  <c r="M287" i="1"/>
  <c r="L287" i="1"/>
  <c r="K287" i="1"/>
  <c r="J287" i="1"/>
  <c r="I287" i="1"/>
  <c r="M286" i="1"/>
  <c r="L286" i="1"/>
  <c r="J286" i="1"/>
  <c r="K286" i="1" s="1"/>
  <c r="I286" i="1"/>
  <c r="M285" i="1"/>
  <c r="J285" i="1"/>
  <c r="K285" i="1" s="1"/>
  <c r="I285" i="1"/>
  <c r="L285" i="1" s="1"/>
  <c r="M284" i="1"/>
  <c r="L284" i="1"/>
  <c r="J284" i="1"/>
  <c r="K284" i="1" s="1"/>
  <c r="I284" i="1"/>
  <c r="M283" i="1"/>
  <c r="L283" i="1"/>
  <c r="K283" i="1"/>
  <c r="J283" i="1"/>
  <c r="I283" i="1"/>
  <c r="M282" i="1"/>
  <c r="L282" i="1"/>
  <c r="J282" i="1"/>
  <c r="K282" i="1" s="1"/>
  <c r="I282" i="1"/>
  <c r="M281" i="1"/>
  <c r="J281" i="1"/>
  <c r="K281" i="1" s="1"/>
  <c r="I281" i="1"/>
  <c r="L281" i="1" s="1"/>
  <c r="M280" i="1"/>
  <c r="L280" i="1"/>
  <c r="J280" i="1"/>
  <c r="K280" i="1" s="1"/>
  <c r="I280" i="1"/>
  <c r="M279" i="1"/>
  <c r="L279" i="1"/>
  <c r="K279" i="1"/>
  <c r="J279" i="1"/>
  <c r="I279" i="1"/>
  <c r="M278" i="1"/>
  <c r="L278" i="1"/>
  <c r="J278" i="1"/>
  <c r="K278" i="1" s="1"/>
  <c r="I278" i="1"/>
  <c r="M277" i="1"/>
  <c r="J277" i="1"/>
  <c r="K277" i="1" s="1"/>
  <c r="I277" i="1"/>
  <c r="L277" i="1" s="1"/>
  <c r="M276" i="1"/>
  <c r="L276" i="1"/>
  <c r="J276" i="1"/>
  <c r="K276" i="1" s="1"/>
  <c r="I276" i="1"/>
  <c r="M275" i="1"/>
  <c r="L275" i="1"/>
  <c r="K275" i="1"/>
  <c r="J275" i="1"/>
  <c r="I275" i="1"/>
  <c r="M274" i="1"/>
  <c r="L274" i="1"/>
  <c r="J274" i="1"/>
  <c r="K274" i="1" s="1"/>
  <c r="I274" i="1"/>
  <c r="M273" i="1"/>
  <c r="J273" i="1"/>
  <c r="K273" i="1" s="1"/>
  <c r="I273" i="1"/>
  <c r="L273" i="1" s="1"/>
  <c r="M272" i="1"/>
  <c r="L272" i="1"/>
  <c r="J272" i="1"/>
  <c r="K272" i="1" s="1"/>
  <c r="I272" i="1"/>
  <c r="M271" i="1"/>
  <c r="L271" i="1"/>
  <c r="K271" i="1"/>
  <c r="J271" i="1"/>
  <c r="I271" i="1"/>
  <c r="M270" i="1"/>
  <c r="L270" i="1"/>
  <c r="J270" i="1"/>
  <c r="K270" i="1" s="1"/>
  <c r="I270" i="1"/>
  <c r="M269" i="1"/>
  <c r="J269" i="1"/>
  <c r="K269" i="1" s="1"/>
  <c r="I269" i="1"/>
  <c r="L269" i="1" s="1"/>
  <c r="M268" i="1"/>
  <c r="L268" i="1"/>
  <c r="J268" i="1"/>
  <c r="K268" i="1" s="1"/>
  <c r="I268" i="1"/>
  <c r="M267" i="1"/>
  <c r="L267" i="1"/>
  <c r="K267" i="1"/>
  <c r="J267" i="1"/>
  <c r="I267" i="1"/>
  <c r="M266" i="1"/>
  <c r="L266" i="1"/>
  <c r="J266" i="1"/>
  <c r="K266" i="1" s="1"/>
  <c r="I266" i="1"/>
  <c r="M265" i="1"/>
  <c r="J265" i="1"/>
  <c r="K265" i="1" s="1"/>
  <c r="I265" i="1"/>
  <c r="L265" i="1" s="1"/>
  <c r="M264" i="1"/>
  <c r="L264" i="1"/>
  <c r="J264" i="1"/>
  <c r="K264" i="1" s="1"/>
  <c r="I264" i="1"/>
  <c r="M263" i="1"/>
  <c r="L263" i="1"/>
  <c r="K263" i="1"/>
  <c r="J263" i="1"/>
  <c r="I263" i="1"/>
  <c r="M262" i="1"/>
  <c r="L262" i="1"/>
  <c r="J262" i="1"/>
  <c r="K262" i="1" s="1"/>
  <c r="I262" i="1"/>
  <c r="M261" i="1"/>
  <c r="J261" i="1"/>
  <c r="K261" i="1" s="1"/>
  <c r="I261" i="1"/>
  <c r="L261" i="1" s="1"/>
  <c r="M260" i="1"/>
  <c r="L260" i="1"/>
  <c r="J260" i="1"/>
  <c r="K260" i="1" s="1"/>
  <c r="I260" i="1"/>
  <c r="M259" i="1"/>
  <c r="L259" i="1"/>
  <c r="K259" i="1"/>
  <c r="J259" i="1"/>
  <c r="I259" i="1"/>
  <c r="M258" i="1"/>
  <c r="L258" i="1"/>
  <c r="J258" i="1"/>
  <c r="K258" i="1" s="1"/>
  <c r="I258" i="1"/>
  <c r="M257" i="1"/>
  <c r="J257" i="1"/>
  <c r="K257" i="1" s="1"/>
  <c r="I257" i="1"/>
  <c r="L257" i="1" s="1"/>
  <c r="M256" i="1"/>
  <c r="L256" i="1"/>
  <c r="J256" i="1"/>
  <c r="K256" i="1" s="1"/>
  <c r="I256" i="1"/>
  <c r="M255" i="1"/>
  <c r="L255" i="1"/>
  <c r="K255" i="1"/>
  <c r="J255" i="1"/>
  <c r="I255" i="1"/>
  <c r="M254" i="1"/>
  <c r="L254" i="1"/>
  <c r="J254" i="1"/>
  <c r="K254" i="1" s="1"/>
  <c r="I254" i="1"/>
  <c r="M253" i="1"/>
  <c r="J253" i="1"/>
  <c r="K253" i="1" s="1"/>
  <c r="I253" i="1"/>
  <c r="L253" i="1" s="1"/>
  <c r="M252" i="1"/>
  <c r="L252" i="1"/>
  <c r="J252" i="1"/>
  <c r="K252" i="1" s="1"/>
  <c r="I252" i="1"/>
  <c r="M251" i="1"/>
  <c r="L251" i="1"/>
  <c r="K251" i="1"/>
  <c r="J251" i="1"/>
  <c r="I251" i="1"/>
  <c r="M250" i="1"/>
  <c r="L250" i="1"/>
  <c r="J250" i="1"/>
  <c r="K250" i="1" s="1"/>
  <c r="I250" i="1"/>
  <c r="M249" i="1"/>
  <c r="J249" i="1"/>
  <c r="K249" i="1" s="1"/>
  <c r="I249" i="1"/>
  <c r="L249" i="1" s="1"/>
  <c r="M248" i="1"/>
  <c r="L248" i="1"/>
  <c r="J248" i="1"/>
  <c r="K248" i="1" s="1"/>
  <c r="I248" i="1"/>
  <c r="M247" i="1"/>
  <c r="L247" i="1"/>
  <c r="K247" i="1"/>
  <c r="J247" i="1"/>
  <c r="I247" i="1"/>
  <c r="M246" i="1"/>
  <c r="L246" i="1"/>
  <c r="J246" i="1"/>
  <c r="K246" i="1" s="1"/>
  <c r="I246" i="1"/>
  <c r="M245" i="1"/>
  <c r="J245" i="1"/>
  <c r="K245" i="1" s="1"/>
  <c r="I245" i="1"/>
  <c r="L245" i="1" s="1"/>
  <c r="M244" i="1"/>
  <c r="L244" i="1"/>
  <c r="J244" i="1"/>
  <c r="K244" i="1" s="1"/>
  <c r="I244" i="1"/>
  <c r="M243" i="1"/>
  <c r="L243" i="1"/>
  <c r="K243" i="1"/>
  <c r="J243" i="1"/>
  <c r="I243" i="1"/>
  <c r="M242" i="1"/>
  <c r="L242" i="1"/>
  <c r="J242" i="1"/>
  <c r="K242" i="1" s="1"/>
  <c r="I242" i="1"/>
  <c r="M241" i="1"/>
  <c r="J241" i="1"/>
  <c r="K241" i="1" s="1"/>
  <c r="I241" i="1"/>
  <c r="L241" i="1" s="1"/>
  <c r="M240" i="1"/>
  <c r="L240" i="1"/>
  <c r="J240" i="1"/>
  <c r="K240" i="1" s="1"/>
  <c r="I240" i="1"/>
  <c r="M239" i="1"/>
  <c r="L239" i="1"/>
  <c r="K239" i="1"/>
  <c r="J239" i="1"/>
  <c r="I239" i="1"/>
  <c r="M238" i="1"/>
  <c r="L238" i="1"/>
  <c r="J238" i="1"/>
  <c r="K238" i="1" s="1"/>
  <c r="I238" i="1"/>
  <c r="M237" i="1"/>
  <c r="J237" i="1"/>
  <c r="K237" i="1" s="1"/>
  <c r="I237" i="1"/>
  <c r="L237" i="1" s="1"/>
  <c r="M236" i="1"/>
  <c r="L236" i="1"/>
  <c r="J236" i="1"/>
  <c r="K236" i="1" s="1"/>
  <c r="I236" i="1"/>
  <c r="M235" i="1"/>
  <c r="L235" i="1"/>
  <c r="K235" i="1"/>
  <c r="J235" i="1"/>
  <c r="I235" i="1"/>
  <c r="M234" i="1"/>
  <c r="L234" i="1"/>
  <c r="J234" i="1"/>
  <c r="K234" i="1" s="1"/>
  <c r="I234" i="1"/>
  <c r="M233" i="1"/>
  <c r="J233" i="1"/>
  <c r="K233" i="1" s="1"/>
  <c r="I233" i="1"/>
  <c r="L233" i="1" s="1"/>
  <c r="M232" i="1"/>
  <c r="L232" i="1"/>
  <c r="J232" i="1"/>
  <c r="K232" i="1" s="1"/>
  <c r="I232" i="1"/>
  <c r="M231" i="1"/>
  <c r="L231" i="1"/>
  <c r="K231" i="1"/>
  <c r="J231" i="1"/>
  <c r="I231" i="1"/>
  <c r="M230" i="1"/>
  <c r="L230" i="1"/>
  <c r="J230" i="1"/>
  <c r="K230" i="1" s="1"/>
  <c r="I230" i="1"/>
  <c r="M229" i="1"/>
  <c r="J229" i="1"/>
  <c r="K229" i="1" s="1"/>
  <c r="I229" i="1"/>
  <c r="L229" i="1" s="1"/>
  <c r="M228" i="1"/>
  <c r="L228" i="1"/>
  <c r="J228" i="1"/>
  <c r="K228" i="1" s="1"/>
  <c r="I228" i="1"/>
  <c r="M227" i="1"/>
  <c r="L227" i="1"/>
  <c r="K227" i="1"/>
  <c r="J227" i="1"/>
  <c r="I227" i="1"/>
  <c r="M226" i="1"/>
  <c r="L226" i="1"/>
  <c r="J226" i="1"/>
  <c r="K226" i="1" s="1"/>
  <c r="I226" i="1"/>
  <c r="M225" i="1"/>
  <c r="J225" i="1"/>
  <c r="K225" i="1" s="1"/>
  <c r="I225" i="1"/>
  <c r="L225" i="1" s="1"/>
  <c r="M224" i="1"/>
  <c r="L224" i="1"/>
  <c r="J224" i="1"/>
  <c r="K224" i="1" s="1"/>
  <c r="I224" i="1"/>
  <c r="M223" i="1"/>
  <c r="L223" i="1"/>
  <c r="K223" i="1"/>
  <c r="J223" i="1"/>
  <c r="I223" i="1"/>
  <c r="M222" i="1"/>
  <c r="L222" i="1"/>
  <c r="J222" i="1"/>
  <c r="K222" i="1" s="1"/>
  <c r="I222" i="1"/>
  <c r="M221" i="1"/>
  <c r="J221" i="1"/>
  <c r="K221" i="1" s="1"/>
  <c r="I221" i="1"/>
  <c r="L221" i="1" s="1"/>
  <c r="M220" i="1"/>
  <c r="L220" i="1"/>
  <c r="J220" i="1"/>
  <c r="K220" i="1" s="1"/>
  <c r="I220" i="1"/>
  <c r="M219" i="1"/>
  <c r="L219" i="1"/>
  <c r="K219" i="1"/>
  <c r="J219" i="1"/>
  <c r="I219" i="1"/>
  <c r="M218" i="1"/>
  <c r="L218" i="1"/>
  <c r="J218" i="1"/>
  <c r="K218" i="1" s="1"/>
  <c r="I218" i="1"/>
  <c r="M217" i="1"/>
  <c r="J217" i="1"/>
  <c r="K217" i="1" s="1"/>
  <c r="I217" i="1"/>
  <c r="L217" i="1" s="1"/>
  <c r="M216" i="1"/>
  <c r="L216" i="1"/>
  <c r="J216" i="1"/>
  <c r="K216" i="1" s="1"/>
  <c r="I216" i="1"/>
  <c r="M215" i="1"/>
  <c r="L215" i="1"/>
  <c r="K215" i="1"/>
  <c r="J215" i="1"/>
  <c r="I215" i="1"/>
  <c r="M214" i="1"/>
  <c r="L214" i="1"/>
  <c r="J214" i="1"/>
  <c r="K214" i="1" s="1"/>
  <c r="I214" i="1"/>
  <c r="M213" i="1"/>
  <c r="J213" i="1"/>
  <c r="K213" i="1" s="1"/>
  <c r="I213" i="1"/>
  <c r="L213" i="1" s="1"/>
  <c r="M212" i="1"/>
  <c r="L212" i="1"/>
  <c r="J212" i="1"/>
  <c r="K212" i="1" s="1"/>
  <c r="I212" i="1"/>
  <c r="M211" i="1"/>
  <c r="L211" i="1"/>
  <c r="K211" i="1"/>
  <c r="J211" i="1"/>
  <c r="I211" i="1"/>
  <c r="M210" i="1"/>
  <c r="L210" i="1"/>
  <c r="J210" i="1"/>
  <c r="K210" i="1" s="1"/>
  <c r="I210" i="1"/>
  <c r="M209" i="1"/>
  <c r="J209" i="1"/>
  <c r="K209" i="1" s="1"/>
  <c r="I209" i="1"/>
  <c r="L209" i="1" s="1"/>
  <c r="M208" i="1"/>
  <c r="L208" i="1"/>
  <c r="J208" i="1"/>
  <c r="K208" i="1" s="1"/>
  <c r="I208" i="1"/>
  <c r="M207" i="1"/>
  <c r="L207" i="1"/>
  <c r="K207" i="1"/>
  <c r="J207" i="1"/>
  <c r="I207" i="1"/>
  <c r="M206" i="1"/>
  <c r="L206" i="1"/>
  <c r="J206" i="1"/>
  <c r="K206" i="1" s="1"/>
  <c r="I206" i="1"/>
  <c r="M205" i="1"/>
  <c r="J205" i="1"/>
  <c r="K205" i="1" s="1"/>
  <c r="I205" i="1"/>
  <c r="L205" i="1" s="1"/>
  <c r="M204" i="1"/>
  <c r="L204" i="1"/>
  <c r="J204" i="1"/>
  <c r="K204" i="1" s="1"/>
  <c r="I204" i="1"/>
  <c r="M203" i="1"/>
  <c r="L203" i="1"/>
  <c r="K203" i="1"/>
  <c r="J203" i="1"/>
  <c r="I203" i="1"/>
  <c r="M202" i="1"/>
  <c r="L202" i="1"/>
  <c r="J202" i="1"/>
  <c r="K202" i="1" s="1"/>
  <c r="I202" i="1"/>
  <c r="M201" i="1"/>
  <c r="J201" i="1"/>
  <c r="K201" i="1" s="1"/>
  <c r="I201" i="1"/>
  <c r="L201" i="1" s="1"/>
  <c r="M200" i="1"/>
  <c r="L200" i="1"/>
  <c r="J200" i="1"/>
  <c r="K200" i="1" s="1"/>
  <c r="I200" i="1"/>
  <c r="M199" i="1"/>
  <c r="L199" i="1"/>
  <c r="K199" i="1"/>
  <c r="J199" i="1"/>
  <c r="I199" i="1"/>
  <c r="M198" i="1"/>
  <c r="L198" i="1"/>
  <c r="J198" i="1"/>
  <c r="K198" i="1" s="1"/>
  <c r="I198" i="1"/>
  <c r="M197" i="1"/>
  <c r="J197" i="1"/>
  <c r="K197" i="1" s="1"/>
  <c r="I197" i="1"/>
  <c r="L197" i="1" s="1"/>
  <c r="M196" i="1"/>
  <c r="L196" i="1"/>
  <c r="J196" i="1"/>
  <c r="K196" i="1" s="1"/>
  <c r="I196" i="1"/>
  <c r="M195" i="1"/>
  <c r="L195" i="1"/>
  <c r="K195" i="1"/>
  <c r="J195" i="1"/>
  <c r="I195" i="1"/>
  <c r="M194" i="1"/>
  <c r="L194" i="1"/>
  <c r="J194" i="1"/>
  <c r="K194" i="1" s="1"/>
  <c r="I194" i="1"/>
  <c r="M193" i="1"/>
  <c r="J193" i="1"/>
  <c r="K193" i="1" s="1"/>
  <c r="I193" i="1"/>
  <c r="L193" i="1" s="1"/>
  <c r="M192" i="1"/>
  <c r="L192" i="1"/>
  <c r="J192" i="1"/>
  <c r="K192" i="1" s="1"/>
  <c r="I192" i="1"/>
  <c r="M191" i="1"/>
  <c r="L191" i="1"/>
  <c r="K191" i="1"/>
  <c r="J191" i="1"/>
  <c r="I191" i="1"/>
  <c r="M190" i="1"/>
  <c r="L190" i="1"/>
  <c r="J190" i="1"/>
  <c r="K190" i="1" s="1"/>
  <c r="I190" i="1"/>
  <c r="M189" i="1"/>
  <c r="J189" i="1"/>
  <c r="K189" i="1" s="1"/>
  <c r="I189" i="1"/>
  <c r="L189" i="1" s="1"/>
  <c r="M188" i="1"/>
  <c r="L188" i="1"/>
  <c r="J188" i="1"/>
  <c r="K188" i="1" s="1"/>
  <c r="I188" i="1"/>
  <c r="M187" i="1"/>
  <c r="L187" i="1"/>
  <c r="K187" i="1"/>
  <c r="J187" i="1"/>
  <c r="I187" i="1"/>
  <c r="M186" i="1"/>
  <c r="L186" i="1"/>
  <c r="J186" i="1"/>
  <c r="K186" i="1" s="1"/>
  <c r="I186" i="1"/>
  <c r="M185" i="1"/>
  <c r="J185" i="1"/>
  <c r="K185" i="1" s="1"/>
  <c r="I185" i="1"/>
  <c r="L185" i="1" s="1"/>
  <c r="M184" i="1"/>
  <c r="L184" i="1"/>
  <c r="J184" i="1"/>
  <c r="K184" i="1" s="1"/>
  <c r="I184" i="1"/>
  <c r="M183" i="1"/>
  <c r="L183" i="1"/>
  <c r="K183" i="1"/>
  <c r="J183" i="1"/>
  <c r="I183" i="1"/>
  <c r="M182" i="1"/>
  <c r="L182" i="1"/>
  <c r="J182" i="1"/>
  <c r="K182" i="1" s="1"/>
  <c r="I182" i="1"/>
  <c r="M181" i="1"/>
  <c r="J181" i="1"/>
  <c r="K181" i="1" s="1"/>
  <c r="I181" i="1"/>
  <c r="L181" i="1" s="1"/>
  <c r="M180" i="1"/>
  <c r="L180" i="1"/>
  <c r="J180" i="1"/>
  <c r="K180" i="1" s="1"/>
  <c r="I180" i="1"/>
  <c r="M179" i="1"/>
  <c r="L179" i="1"/>
  <c r="K179" i="1"/>
  <c r="J179" i="1"/>
  <c r="I179" i="1"/>
  <c r="M178" i="1"/>
  <c r="L178" i="1"/>
  <c r="J178" i="1"/>
  <c r="K178" i="1" s="1"/>
  <c r="I178" i="1"/>
  <c r="M177" i="1"/>
  <c r="J177" i="1"/>
  <c r="K177" i="1" s="1"/>
  <c r="I177" i="1"/>
  <c r="L177" i="1" s="1"/>
  <c r="M176" i="1"/>
  <c r="L176" i="1"/>
  <c r="J176" i="1"/>
  <c r="K176" i="1" s="1"/>
  <c r="I176" i="1"/>
  <c r="M175" i="1"/>
  <c r="L175" i="1"/>
  <c r="K175" i="1"/>
  <c r="J175" i="1"/>
  <c r="I175" i="1"/>
  <c r="M174" i="1"/>
  <c r="L174" i="1"/>
  <c r="J174" i="1"/>
  <c r="K174" i="1" s="1"/>
  <c r="I174" i="1"/>
  <c r="M173" i="1"/>
  <c r="J173" i="1"/>
  <c r="K173" i="1" s="1"/>
  <c r="I173" i="1"/>
  <c r="L173" i="1" s="1"/>
  <c r="M172" i="1"/>
  <c r="L172" i="1"/>
  <c r="J172" i="1"/>
  <c r="K172" i="1" s="1"/>
  <c r="I172" i="1"/>
  <c r="M171" i="1"/>
  <c r="L171" i="1"/>
  <c r="K171" i="1"/>
  <c r="J171" i="1"/>
  <c r="I171" i="1"/>
  <c r="M170" i="1"/>
  <c r="L170" i="1"/>
  <c r="J170" i="1"/>
  <c r="K170" i="1" s="1"/>
  <c r="I170" i="1"/>
  <c r="M169" i="1"/>
  <c r="J169" i="1"/>
  <c r="K169" i="1" s="1"/>
  <c r="I169" i="1"/>
  <c r="L169" i="1" s="1"/>
  <c r="M168" i="1"/>
  <c r="L168" i="1"/>
  <c r="J168" i="1"/>
  <c r="K168" i="1" s="1"/>
  <c r="I168" i="1"/>
  <c r="M167" i="1"/>
  <c r="L167" i="1"/>
  <c r="K167" i="1"/>
  <c r="J167" i="1"/>
  <c r="I167" i="1"/>
  <c r="M166" i="1"/>
  <c r="L166" i="1"/>
  <c r="J166" i="1"/>
  <c r="K166" i="1" s="1"/>
  <c r="I166" i="1"/>
  <c r="M165" i="1"/>
  <c r="J165" i="1"/>
  <c r="K165" i="1" s="1"/>
  <c r="I165" i="1"/>
  <c r="L165" i="1" s="1"/>
  <c r="M164" i="1"/>
  <c r="L164" i="1"/>
  <c r="J164" i="1"/>
  <c r="K164" i="1" s="1"/>
  <c r="I164" i="1"/>
  <c r="M163" i="1"/>
  <c r="L163" i="1"/>
  <c r="K163" i="1"/>
  <c r="J163" i="1"/>
  <c r="I163" i="1"/>
  <c r="M162" i="1"/>
  <c r="L162" i="1"/>
  <c r="J162" i="1"/>
  <c r="K162" i="1" s="1"/>
  <c r="I162" i="1"/>
  <c r="M161" i="1"/>
  <c r="J161" i="1"/>
  <c r="K161" i="1" s="1"/>
  <c r="I161" i="1"/>
  <c r="L161" i="1" s="1"/>
  <c r="M160" i="1"/>
  <c r="L160" i="1"/>
  <c r="J160" i="1"/>
  <c r="K160" i="1" s="1"/>
  <c r="I160" i="1"/>
  <c r="M159" i="1"/>
  <c r="L159" i="1"/>
  <c r="K159" i="1"/>
  <c r="J159" i="1"/>
  <c r="I159" i="1"/>
  <c r="M158" i="1"/>
  <c r="L158" i="1"/>
  <c r="J158" i="1"/>
  <c r="K158" i="1" s="1"/>
  <c r="I158" i="1"/>
  <c r="M157" i="1"/>
  <c r="J157" i="1"/>
  <c r="K157" i="1" s="1"/>
  <c r="I157" i="1"/>
  <c r="L157" i="1" s="1"/>
  <c r="M156" i="1"/>
  <c r="L156" i="1"/>
  <c r="J156" i="1"/>
  <c r="K156" i="1" s="1"/>
  <c r="I156" i="1"/>
  <c r="M155" i="1"/>
  <c r="L155" i="1"/>
  <c r="K155" i="1"/>
  <c r="J155" i="1"/>
  <c r="I155" i="1"/>
  <c r="M154" i="1"/>
  <c r="L154" i="1"/>
  <c r="J154" i="1"/>
  <c r="K154" i="1" s="1"/>
  <c r="I154" i="1"/>
  <c r="M153" i="1"/>
  <c r="J153" i="1"/>
  <c r="K153" i="1" s="1"/>
  <c r="I153" i="1"/>
  <c r="L153" i="1" s="1"/>
  <c r="M152" i="1"/>
  <c r="L152" i="1"/>
  <c r="J152" i="1"/>
  <c r="K152" i="1" s="1"/>
  <c r="I152" i="1"/>
  <c r="M151" i="1"/>
  <c r="L151" i="1"/>
  <c r="K151" i="1"/>
  <c r="J151" i="1"/>
  <c r="I151" i="1"/>
  <c r="M150" i="1"/>
  <c r="L150" i="1"/>
  <c r="J150" i="1"/>
  <c r="K150" i="1" s="1"/>
  <c r="I150" i="1"/>
  <c r="M149" i="1"/>
  <c r="J149" i="1"/>
  <c r="K149" i="1" s="1"/>
  <c r="I149" i="1"/>
  <c r="L149" i="1" s="1"/>
  <c r="M148" i="1"/>
  <c r="L148" i="1"/>
  <c r="J148" i="1"/>
  <c r="K148" i="1" s="1"/>
  <c r="I148" i="1"/>
  <c r="M147" i="1"/>
  <c r="L147" i="1"/>
  <c r="K147" i="1"/>
  <c r="J147" i="1"/>
  <c r="I147" i="1"/>
  <c r="M146" i="1"/>
  <c r="L146" i="1"/>
  <c r="J146" i="1"/>
  <c r="K146" i="1" s="1"/>
  <c r="I146" i="1"/>
  <c r="M145" i="1"/>
  <c r="J145" i="1"/>
  <c r="K145" i="1" s="1"/>
  <c r="I145" i="1"/>
  <c r="L145" i="1" s="1"/>
  <c r="M144" i="1"/>
  <c r="L144" i="1"/>
  <c r="J144" i="1"/>
  <c r="K144" i="1" s="1"/>
  <c r="I144" i="1"/>
  <c r="M143" i="1"/>
  <c r="L143" i="1"/>
  <c r="K143" i="1"/>
  <c r="J143" i="1"/>
  <c r="I143" i="1"/>
  <c r="M142" i="1"/>
  <c r="L142" i="1"/>
  <c r="J142" i="1"/>
  <c r="K142" i="1" s="1"/>
  <c r="I142" i="1"/>
  <c r="M141" i="1"/>
  <c r="J141" i="1"/>
  <c r="K141" i="1" s="1"/>
  <c r="I141" i="1"/>
  <c r="L141" i="1" s="1"/>
  <c r="M140" i="1"/>
  <c r="L140" i="1"/>
  <c r="J140" i="1"/>
  <c r="K140" i="1" s="1"/>
  <c r="I140" i="1"/>
  <c r="M139" i="1"/>
  <c r="L139" i="1"/>
  <c r="K139" i="1"/>
  <c r="J139" i="1"/>
  <c r="I139" i="1"/>
  <c r="M138" i="1"/>
  <c r="L138" i="1"/>
  <c r="J138" i="1"/>
  <c r="K138" i="1" s="1"/>
  <c r="I138" i="1"/>
  <c r="M137" i="1"/>
  <c r="J137" i="1"/>
  <c r="K137" i="1" s="1"/>
  <c r="I137" i="1"/>
  <c r="L137" i="1" s="1"/>
  <c r="M136" i="1"/>
  <c r="L136" i="1"/>
  <c r="J136" i="1"/>
  <c r="K136" i="1" s="1"/>
  <c r="I136" i="1"/>
  <c r="M135" i="1"/>
  <c r="L135" i="1"/>
  <c r="K135" i="1"/>
  <c r="J135" i="1"/>
  <c r="I135" i="1"/>
  <c r="M134" i="1"/>
  <c r="L134" i="1"/>
  <c r="J134" i="1"/>
  <c r="K134" i="1" s="1"/>
  <c r="I134" i="1"/>
  <c r="M133" i="1"/>
  <c r="J133" i="1"/>
  <c r="K133" i="1" s="1"/>
  <c r="I133" i="1"/>
  <c r="L133" i="1" s="1"/>
  <c r="M132" i="1"/>
  <c r="L132" i="1"/>
  <c r="J132" i="1"/>
  <c r="K132" i="1" s="1"/>
  <c r="I132" i="1"/>
  <c r="M131" i="1"/>
  <c r="L131" i="1"/>
  <c r="K131" i="1"/>
  <c r="J131" i="1"/>
  <c r="I131" i="1"/>
  <c r="M130" i="1"/>
  <c r="L130" i="1"/>
  <c r="J130" i="1"/>
  <c r="K130" i="1" s="1"/>
  <c r="I130" i="1"/>
  <c r="M129" i="1"/>
  <c r="J129" i="1"/>
  <c r="K129" i="1" s="1"/>
  <c r="I129" i="1"/>
  <c r="L129" i="1" s="1"/>
  <c r="M128" i="1"/>
  <c r="L128" i="1"/>
  <c r="J128" i="1"/>
  <c r="K128" i="1" s="1"/>
  <c r="I128" i="1"/>
  <c r="M127" i="1"/>
  <c r="L127" i="1"/>
  <c r="K127" i="1"/>
  <c r="J127" i="1"/>
  <c r="I127" i="1"/>
  <c r="M126" i="1"/>
  <c r="L126" i="1"/>
  <c r="J126" i="1"/>
  <c r="K126" i="1" s="1"/>
  <c r="I126" i="1"/>
  <c r="M125" i="1"/>
  <c r="J125" i="1"/>
  <c r="K125" i="1" s="1"/>
  <c r="I125" i="1"/>
  <c r="L125" i="1" s="1"/>
  <c r="M124" i="1"/>
  <c r="L124" i="1"/>
  <c r="J124" i="1"/>
  <c r="K124" i="1" s="1"/>
  <c r="I124" i="1"/>
  <c r="M123" i="1"/>
  <c r="L123" i="1"/>
  <c r="K123" i="1"/>
  <c r="J123" i="1"/>
  <c r="I123" i="1"/>
  <c r="M122" i="1"/>
  <c r="L122" i="1"/>
  <c r="J122" i="1"/>
  <c r="K122" i="1" s="1"/>
  <c r="I122" i="1"/>
  <c r="M121" i="1"/>
  <c r="J121" i="1"/>
  <c r="K121" i="1" s="1"/>
  <c r="I121" i="1"/>
  <c r="L121" i="1" s="1"/>
  <c r="M120" i="1"/>
  <c r="L120" i="1"/>
  <c r="J120" i="1"/>
  <c r="K120" i="1" s="1"/>
  <c r="I120" i="1"/>
  <c r="M119" i="1"/>
  <c r="L119" i="1"/>
  <c r="K119" i="1"/>
  <c r="J119" i="1"/>
  <c r="I119" i="1"/>
  <c r="M118" i="1"/>
  <c r="L118" i="1"/>
  <c r="J118" i="1"/>
  <c r="K118" i="1" s="1"/>
  <c r="I118" i="1"/>
  <c r="M117" i="1"/>
  <c r="J117" i="1"/>
  <c r="K117" i="1" s="1"/>
  <c r="I117" i="1"/>
  <c r="L117" i="1" s="1"/>
  <c r="M116" i="1"/>
  <c r="L116" i="1"/>
  <c r="J116" i="1"/>
  <c r="K116" i="1" s="1"/>
  <c r="I116" i="1"/>
  <c r="M115" i="1"/>
  <c r="L115" i="1"/>
  <c r="K115" i="1"/>
  <c r="J115" i="1"/>
  <c r="I115" i="1"/>
  <c r="M114" i="1"/>
  <c r="L114" i="1"/>
  <c r="J114" i="1"/>
  <c r="K114" i="1" s="1"/>
  <c r="I114" i="1"/>
  <c r="M113" i="1"/>
  <c r="J113" i="1"/>
  <c r="K113" i="1" s="1"/>
  <c r="I113" i="1"/>
  <c r="L113" i="1" s="1"/>
  <c r="M112" i="1"/>
  <c r="L112" i="1"/>
  <c r="J112" i="1"/>
  <c r="K112" i="1" s="1"/>
  <c r="I112" i="1"/>
  <c r="M111" i="1"/>
  <c r="L111" i="1"/>
  <c r="K111" i="1"/>
  <c r="J111" i="1"/>
  <c r="I111" i="1"/>
  <c r="M110" i="1"/>
  <c r="L110" i="1"/>
  <c r="J110" i="1"/>
  <c r="K110" i="1" s="1"/>
  <c r="I110" i="1"/>
  <c r="M109" i="1"/>
  <c r="J109" i="1"/>
  <c r="K109" i="1" s="1"/>
  <c r="I109" i="1"/>
  <c r="L109" i="1" s="1"/>
  <c r="M108" i="1"/>
  <c r="L108" i="1"/>
  <c r="J108" i="1"/>
  <c r="K108" i="1" s="1"/>
  <c r="I108" i="1"/>
  <c r="M107" i="1"/>
  <c r="L107" i="1"/>
  <c r="K107" i="1"/>
  <c r="J107" i="1"/>
  <c r="I107" i="1"/>
  <c r="M106" i="1"/>
  <c r="L106" i="1"/>
  <c r="J106" i="1"/>
  <c r="K106" i="1" s="1"/>
  <c r="I106" i="1"/>
  <c r="M105" i="1"/>
  <c r="J105" i="1"/>
  <c r="K105" i="1" s="1"/>
  <c r="I105" i="1"/>
  <c r="L105" i="1" s="1"/>
  <c r="M104" i="1"/>
  <c r="L104" i="1"/>
  <c r="J104" i="1"/>
  <c r="K104" i="1" s="1"/>
  <c r="I104" i="1"/>
  <c r="M103" i="1"/>
  <c r="L103" i="1"/>
  <c r="K103" i="1"/>
  <c r="J103" i="1"/>
  <c r="I103" i="1"/>
  <c r="M102" i="1"/>
  <c r="L102" i="1"/>
  <c r="J102" i="1"/>
  <c r="K102" i="1" s="1"/>
  <c r="I102" i="1"/>
  <c r="M101" i="1"/>
  <c r="J101" i="1"/>
  <c r="K101" i="1" s="1"/>
  <c r="I101" i="1"/>
  <c r="L101" i="1" s="1"/>
  <c r="M100" i="1"/>
  <c r="L100" i="1"/>
  <c r="J100" i="1"/>
  <c r="K100" i="1" s="1"/>
  <c r="I100" i="1"/>
  <c r="M99" i="1"/>
  <c r="L99" i="1"/>
  <c r="K99" i="1"/>
  <c r="J99" i="1"/>
  <c r="I99" i="1"/>
  <c r="M98" i="1"/>
  <c r="L98" i="1"/>
  <c r="J98" i="1"/>
  <c r="K98" i="1" s="1"/>
  <c r="I98" i="1"/>
  <c r="M97" i="1"/>
  <c r="J97" i="1"/>
  <c r="K97" i="1" s="1"/>
  <c r="I97" i="1"/>
  <c r="L97" i="1" s="1"/>
  <c r="M96" i="1"/>
  <c r="L96" i="1"/>
  <c r="J96" i="1"/>
  <c r="K96" i="1" s="1"/>
  <c r="I96" i="1"/>
  <c r="M95" i="1"/>
  <c r="L95" i="1"/>
  <c r="K95" i="1"/>
  <c r="J95" i="1"/>
  <c r="I95" i="1"/>
  <c r="M94" i="1"/>
  <c r="L94" i="1"/>
  <c r="J94" i="1"/>
  <c r="K94" i="1" s="1"/>
  <c r="I94" i="1"/>
  <c r="M93" i="1"/>
  <c r="J93" i="1"/>
  <c r="K93" i="1" s="1"/>
  <c r="I93" i="1"/>
  <c r="L93" i="1" s="1"/>
  <c r="M92" i="1"/>
  <c r="L92" i="1"/>
  <c r="J92" i="1"/>
  <c r="K92" i="1" s="1"/>
  <c r="I92" i="1"/>
  <c r="M91" i="1"/>
  <c r="L91" i="1"/>
  <c r="K91" i="1"/>
  <c r="J91" i="1"/>
  <c r="I91" i="1"/>
  <c r="M90" i="1"/>
  <c r="L90" i="1"/>
  <c r="J90" i="1"/>
  <c r="K90" i="1" s="1"/>
  <c r="I90" i="1"/>
  <c r="M89" i="1"/>
  <c r="J89" i="1"/>
  <c r="K89" i="1" s="1"/>
  <c r="I89" i="1"/>
  <c r="L89" i="1" s="1"/>
  <c r="M88" i="1"/>
  <c r="L88" i="1"/>
  <c r="J88" i="1"/>
  <c r="K88" i="1" s="1"/>
  <c r="I88" i="1"/>
  <c r="M87" i="1"/>
  <c r="L87" i="1"/>
  <c r="K87" i="1"/>
  <c r="J87" i="1"/>
  <c r="I87" i="1"/>
  <c r="M86" i="1"/>
  <c r="L86" i="1"/>
  <c r="J86" i="1"/>
  <c r="K86" i="1" s="1"/>
  <c r="I86" i="1"/>
  <c r="M85" i="1"/>
  <c r="J85" i="1"/>
  <c r="K85" i="1" s="1"/>
  <c r="I85" i="1"/>
  <c r="L85" i="1" s="1"/>
  <c r="M84" i="1"/>
  <c r="L84" i="1"/>
  <c r="J84" i="1"/>
  <c r="K84" i="1" s="1"/>
  <c r="I84" i="1"/>
  <c r="M83" i="1"/>
  <c r="L83" i="1"/>
  <c r="K83" i="1"/>
  <c r="J83" i="1"/>
  <c r="I83" i="1"/>
  <c r="M82" i="1"/>
  <c r="L82" i="1"/>
  <c r="J82" i="1"/>
  <c r="K82" i="1" s="1"/>
  <c r="I82" i="1"/>
  <c r="M81" i="1"/>
  <c r="J81" i="1"/>
  <c r="K81" i="1" s="1"/>
  <c r="I81" i="1"/>
  <c r="L81" i="1" s="1"/>
  <c r="M80" i="1"/>
  <c r="L80" i="1"/>
  <c r="J80" i="1"/>
  <c r="K80" i="1" s="1"/>
  <c r="I80" i="1"/>
  <c r="M79" i="1"/>
  <c r="L79" i="1"/>
  <c r="K79" i="1"/>
  <c r="J79" i="1"/>
  <c r="I79" i="1"/>
  <c r="M78" i="1"/>
  <c r="L78" i="1"/>
  <c r="J78" i="1"/>
  <c r="K78" i="1" s="1"/>
  <c r="I78" i="1"/>
  <c r="M77" i="1"/>
  <c r="J77" i="1"/>
  <c r="K77" i="1" s="1"/>
  <c r="I77" i="1"/>
  <c r="L77" i="1" s="1"/>
  <c r="M76" i="1"/>
  <c r="L76" i="1"/>
  <c r="J76" i="1"/>
  <c r="K76" i="1" s="1"/>
  <c r="I76" i="1"/>
  <c r="M75" i="1"/>
  <c r="L75" i="1"/>
  <c r="K75" i="1"/>
  <c r="J75" i="1"/>
  <c r="I75" i="1"/>
  <c r="M74" i="1"/>
  <c r="L74" i="1"/>
  <c r="J74" i="1"/>
  <c r="K74" i="1" s="1"/>
  <c r="I74" i="1"/>
  <c r="M73" i="1"/>
  <c r="J73" i="1"/>
  <c r="K73" i="1" s="1"/>
  <c r="I73" i="1"/>
  <c r="L73" i="1" s="1"/>
  <c r="M72" i="1"/>
  <c r="L72" i="1"/>
  <c r="J72" i="1"/>
  <c r="K72" i="1" s="1"/>
  <c r="I72" i="1"/>
  <c r="M71" i="1"/>
  <c r="L71" i="1"/>
  <c r="K71" i="1"/>
  <c r="J71" i="1"/>
  <c r="I71" i="1"/>
  <c r="M70" i="1"/>
  <c r="L70" i="1"/>
  <c r="J70" i="1"/>
  <c r="K70" i="1" s="1"/>
  <c r="I70" i="1"/>
  <c r="M69" i="1"/>
  <c r="J69" i="1"/>
  <c r="K69" i="1" s="1"/>
  <c r="I69" i="1"/>
  <c r="L69" i="1" s="1"/>
  <c r="M68" i="1"/>
  <c r="L68" i="1"/>
  <c r="J68" i="1"/>
  <c r="K68" i="1" s="1"/>
  <c r="I68" i="1"/>
  <c r="M67" i="1"/>
  <c r="L67" i="1"/>
  <c r="K67" i="1"/>
  <c r="J67" i="1"/>
  <c r="I67" i="1"/>
  <c r="M66" i="1"/>
  <c r="L66" i="1"/>
  <c r="J66" i="1"/>
  <c r="K66" i="1" s="1"/>
  <c r="I66" i="1"/>
  <c r="M65" i="1"/>
  <c r="J65" i="1"/>
  <c r="K65" i="1" s="1"/>
  <c r="I65" i="1"/>
  <c r="L65" i="1" s="1"/>
  <c r="M64" i="1"/>
  <c r="L64" i="1"/>
  <c r="J64" i="1"/>
  <c r="K64" i="1" s="1"/>
  <c r="I64" i="1"/>
  <c r="M63" i="1"/>
  <c r="L63" i="1"/>
  <c r="K63" i="1"/>
  <c r="J63" i="1"/>
  <c r="I63" i="1"/>
  <c r="M62" i="1"/>
  <c r="L62" i="1"/>
  <c r="J62" i="1"/>
  <c r="K62" i="1" s="1"/>
  <c r="I62" i="1"/>
  <c r="M61" i="1"/>
  <c r="J61" i="1"/>
  <c r="K61" i="1" s="1"/>
  <c r="I61" i="1"/>
  <c r="L61" i="1" s="1"/>
  <c r="M60" i="1"/>
  <c r="L60" i="1"/>
  <c r="J60" i="1"/>
  <c r="K60" i="1" s="1"/>
  <c r="I60" i="1"/>
  <c r="M59" i="1"/>
  <c r="L59" i="1"/>
  <c r="K59" i="1"/>
  <c r="J59" i="1"/>
  <c r="I59" i="1"/>
  <c r="M58" i="1"/>
  <c r="L58" i="1"/>
  <c r="J58" i="1"/>
  <c r="K58" i="1" s="1"/>
  <c r="I58" i="1"/>
  <c r="M57" i="1"/>
  <c r="J57" i="1"/>
  <c r="K57" i="1" s="1"/>
  <c r="I57" i="1"/>
  <c r="L57" i="1" s="1"/>
  <c r="M56" i="1"/>
  <c r="L56" i="1"/>
  <c r="J56" i="1"/>
  <c r="K56" i="1" s="1"/>
  <c r="I56" i="1"/>
  <c r="M55" i="1"/>
  <c r="L55" i="1"/>
  <c r="K55" i="1"/>
  <c r="J55" i="1"/>
  <c r="I55" i="1"/>
  <c r="M54" i="1"/>
  <c r="L54" i="1"/>
  <c r="J54" i="1"/>
  <c r="K54" i="1" s="1"/>
  <c r="I54" i="1"/>
  <c r="M53" i="1"/>
  <c r="J53" i="1"/>
  <c r="K53" i="1" s="1"/>
  <c r="I53" i="1"/>
  <c r="L53" i="1" s="1"/>
  <c r="M52" i="1"/>
  <c r="L52" i="1"/>
  <c r="J52" i="1"/>
  <c r="K52" i="1" s="1"/>
  <c r="I52" i="1"/>
  <c r="M51" i="1"/>
  <c r="L51" i="1"/>
  <c r="K51" i="1"/>
  <c r="J51" i="1"/>
  <c r="I51" i="1"/>
  <c r="M50" i="1"/>
  <c r="L50" i="1"/>
  <c r="J50" i="1"/>
  <c r="K50" i="1" s="1"/>
  <c r="I50" i="1"/>
  <c r="M49" i="1"/>
  <c r="J49" i="1"/>
  <c r="K49" i="1" s="1"/>
  <c r="I49" i="1"/>
  <c r="L49" i="1" s="1"/>
  <c r="M48" i="1"/>
  <c r="L48" i="1"/>
  <c r="J48" i="1"/>
  <c r="K48" i="1" s="1"/>
  <c r="I48" i="1"/>
  <c r="M47" i="1"/>
  <c r="L47" i="1"/>
  <c r="K47" i="1"/>
  <c r="J47" i="1"/>
  <c r="I47" i="1"/>
  <c r="M46" i="1"/>
  <c r="L46" i="1"/>
  <c r="J46" i="1"/>
  <c r="K46" i="1" s="1"/>
  <c r="I46" i="1"/>
  <c r="M45" i="1"/>
  <c r="J45" i="1"/>
  <c r="K45" i="1" s="1"/>
  <c r="I45" i="1"/>
  <c r="L45" i="1" s="1"/>
  <c r="M44" i="1"/>
  <c r="L44" i="1"/>
  <c r="J44" i="1"/>
  <c r="K44" i="1" s="1"/>
  <c r="I44" i="1"/>
  <c r="M43" i="1"/>
  <c r="L43" i="1"/>
  <c r="K43" i="1"/>
  <c r="J43" i="1"/>
  <c r="I43" i="1"/>
  <c r="M42" i="1"/>
  <c r="L42" i="1"/>
  <c r="J42" i="1"/>
  <c r="K42" i="1" s="1"/>
  <c r="I42" i="1"/>
  <c r="M41" i="1"/>
  <c r="J41" i="1"/>
  <c r="K41" i="1" s="1"/>
  <c r="I41" i="1"/>
  <c r="L41" i="1" s="1"/>
  <c r="M40" i="1"/>
  <c r="L40" i="1"/>
  <c r="J40" i="1"/>
  <c r="K40" i="1" s="1"/>
  <c r="I40" i="1"/>
  <c r="M39" i="1"/>
  <c r="L39" i="1"/>
  <c r="K39" i="1"/>
  <c r="J39" i="1"/>
  <c r="I39" i="1"/>
  <c r="M38" i="1"/>
  <c r="L38" i="1"/>
  <c r="J38" i="1"/>
  <c r="K38" i="1" s="1"/>
  <c r="I38" i="1"/>
  <c r="M37" i="1"/>
  <c r="J37" i="1"/>
  <c r="K37" i="1" s="1"/>
  <c r="I37" i="1"/>
  <c r="L37" i="1" s="1"/>
  <c r="M36" i="1"/>
  <c r="L36" i="1"/>
  <c r="J36" i="1"/>
  <c r="K36" i="1" s="1"/>
  <c r="I36" i="1"/>
  <c r="M35" i="1"/>
  <c r="L35" i="1"/>
  <c r="K35" i="1"/>
  <c r="J35" i="1"/>
  <c r="I35" i="1"/>
  <c r="M34" i="1"/>
  <c r="L34" i="1"/>
  <c r="J34" i="1"/>
  <c r="K34" i="1" s="1"/>
  <c r="I34" i="1"/>
  <c r="M33" i="1"/>
  <c r="J33" i="1"/>
  <c r="K33" i="1" s="1"/>
  <c r="I33" i="1"/>
  <c r="L33" i="1" s="1"/>
  <c r="M32" i="1"/>
  <c r="L32" i="1"/>
  <c r="J32" i="1"/>
  <c r="K32" i="1" s="1"/>
  <c r="I32" i="1"/>
  <c r="M31" i="1"/>
  <c r="L31" i="1"/>
  <c r="K31" i="1"/>
  <c r="J31" i="1"/>
  <c r="I31" i="1"/>
  <c r="M30" i="1"/>
  <c r="L30" i="1"/>
  <c r="J30" i="1"/>
  <c r="K30" i="1" s="1"/>
  <c r="I30" i="1"/>
  <c r="M29" i="1"/>
  <c r="J29" i="1"/>
  <c r="K29" i="1" s="1"/>
  <c r="I29" i="1"/>
  <c r="L29" i="1" s="1"/>
  <c r="M28" i="1"/>
  <c r="L28" i="1"/>
  <c r="J28" i="1"/>
  <c r="K28" i="1" s="1"/>
  <c r="I28" i="1"/>
  <c r="M27" i="1"/>
  <c r="L27" i="1"/>
  <c r="K27" i="1"/>
  <c r="J27" i="1"/>
  <c r="I27" i="1"/>
  <c r="M26" i="1"/>
  <c r="L26" i="1"/>
  <c r="J26" i="1"/>
  <c r="K26" i="1" s="1"/>
  <c r="I26" i="1"/>
  <c r="M25" i="1"/>
  <c r="J25" i="1"/>
  <c r="K25" i="1" s="1"/>
  <c r="I25" i="1"/>
  <c r="L25" i="1" s="1"/>
  <c r="M24" i="1"/>
  <c r="L24" i="1"/>
  <c r="J24" i="1"/>
  <c r="K24" i="1" s="1"/>
  <c r="I24" i="1"/>
  <c r="M23" i="1"/>
  <c r="L23" i="1"/>
  <c r="K23" i="1"/>
  <c r="J23" i="1"/>
  <c r="I23" i="1"/>
  <c r="M22" i="1"/>
  <c r="L22" i="1"/>
  <c r="J22" i="1"/>
  <c r="K22" i="1" s="1"/>
  <c r="I22" i="1"/>
  <c r="M21" i="1"/>
  <c r="J21" i="1"/>
  <c r="K21" i="1" s="1"/>
  <c r="I21" i="1"/>
  <c r="L21" i="1" s="1"/>
  <c r="M20" i="1"/>
  <c r="L20" i="1"/>
  <c r="J20" i="1"/>
  <c r="K20" i="1" s="1"/>
  <c r="I20" i="1"/>
  <c r="M19" i="1"/>
  <c r="L19" i="1"/>
  <c r="K19" i="1"/>
  <c r="J19" i="1"/>
  <c r="I19" i="1"/>
  <c r="M18" i="1"/>
  <c r="L18" i="1"/>
  <c r="J18" i="1"/>
  <c r="K18" i="1" s="1"/>
  <c r="I18" i="1"/>
  <c r="M17" i="1"/>
  <c r="J17" i="1"/>
  <c r="K17" i="1" s="1"/>
  <c r="I17" i="1"/>
  <c r="L17" i="1" s="1"/>
  <c r="M16" i="1"/>
  <c r="L16" i="1"/>
  <c r="J16" i="1"/>
  <c r="K16" i="1" s="1"/>
  <c r="I16" i="1"/>
  <c r="M15" i="1"/>
  <c r="L15" i="1"/>
  <c r="K15" i="1"/>
  <c r="J15" i="1"/>
  <c r="I15" i="1"/>
  <c r="M14" i="1"/>
  <c r="L14" i="1"/>
  <c r="J14" i="1"/>
  <c r="K14" i="1" s="1"/>
  <c r="I14" i="1"/>
  <c r="M13" i="1"/>
  <c r="J13" i="1"/>
  <c r="K13" i="1" s="1"/>
  <c r="I13" i="1"/>
  <c r="L13" i="1" s="1"/>
  <c r="M12" i="1"/>
  <c r="L12" i="1"/>
  <c r="J12" i="1"/>
  <c r="K12" i="1" s="1"/>
  <c r="I12" i="1"/>
  <c r="M11" i="1"/>
  <c r="L11" i="1"/>
  <c r="K11" i="1"/>
  <c r="J11" i="1"/>
  <c r="I11" i="1"/>
  <c r="M10" i="1"/>
  <c r="L10" i="1"/>
  <c r="J10" i="1"/>
  <c r="K10" i="1" s="1"/>
  <c r="I10" i="1"/>
  <c r="M9" i="1"/>
  <c r="J9" i="1"/>
  <c r="K9" i="1" s="1"/>
  <c r="I9" i="1"/>
  <c r="L9" i="1" s="1"/>
  <c r="M8" i="1"/>
  <c r="L8" i="1"/>
  <c r="J8" i="1"/>
  <c r="K8" i="1" s="1"/>
  <c r="I8" i="1"/>
  <c r="M7" i="1"/>
  <c r="L7" i="1"/>
  <c r="K7" i="1"/>
  <c r="J7" i="1"/>
  <c r="I7" i="1"/>
  <c r="M6" i="1"/>
  <c r="L6" i="1"/>
  <c r="J6" i="1"/>
  <c r="K6" i="1" s="1"/>
  <c r="I6" i="1"/>
  <c r="M5" i="1"/>
  <c r="J5" i="1"/>
  <c r="K5" i="1" s="1"/>
  <c r="I5" i="1"/>
  <c r="L5" i="1" s="1"/>
  <c r="M4" i="1" l="1"/>
  <c r="J4" i="1" l="1"/>
  <c r="K4" i="1" s="1"/>
  <c r="I4" i="1"/>
  <c r="L4" i="1" s="1"/>
</calcChain>
</file>

<file path=xl/sharedStrings.xml><?xml version="1.0" encoding="utf-8"?>
<sst xmlns="http://schemas.openxmlformats.org/spreadsheetml/2006/main" count="15546" uniqueCount="3648">
  <si>
    <t>Идентификатор</t>
  </si>
  <si>
    <t>Кадастровый номер</t>
  </si>
  <si>
    <t>Материал стен в расчет</t>
  </si>
  <si>
    <t>Источник Материал стен в расчет</t>
  </si>
  <si>
    <t>Флаг Материал стен в расчет</t>
  </si>
  <si>
    <t>Статус расчета КС</t>
  </si>
  <si>
    <t>Материал стен физ.</t>
  </si>
  <si>
    <t>Материал стен код</t>
  </si>
  <si>
    <t>не готов</t>
  </si>
  <si>
    <t>НЕ ГОТОВ</t>
  </si>
  <si>
    <t>Смешанные</t>
  </si>
  <si>
    <t>61001003000</t>
  </si>
  <si>
    <t>61001008000</t>
  </si>
  <si>
    <t>SourcelocMaterial</t>
  </si>
  <si>
    <t>Материал по ЕГРН</t>
  </si>
  <si>
    <t>Смешанные по допущению</t>
  </si>
  <si>
    <t>Прочие по допущению</t>
  </si>
  <si>
    <t>SourcelocMaterial1</t>
  </si>
  <si>
    <t>FlaglocMaterial</t>
  </si>
  <si>
    <t>locMaterial</t>
  </si>
  <si>
    <t>Сведения ЕГРН по состоянию на 01.01.2019</t>
  </si>
  <si>
    <t>OldlocMaterial</t>
  </si>
  <si>
    <t>CADASTRALNUMBER</t>
  </si>
  <si>
    <t>FLAGLOCMATERIAL</t>
  </si>
  <si>
    <t>SOURCELOCMATERIAL</t>
  </si>
  <si>
    <t>STATUS_KC</t>
  </si>
  <si>
    <t>BUILDINGCONSTRUCTMATERIALFIZ</t>
  </si>
  <si>
    <t>Buildings</t>
  </si>
  <si>
    <t>ID</t>
  </si>
  <si>
    <t>BuildingConstructMaterialCode</t>
  </si>
  <si>
    <t>BuildingConstructMaterial</t>
  </si>
  <si>
    <t>LOCMATERIAL</t>
  </si>
  <si>
    <t>66:34:0502034:353</t>
  </si>
  <si>
    <t>61001005000</t>
  </si>
  <si>
    <t>Деревянные</t>
  </si>
  <si>
    <t>61001002000</t>
  </si>
  <si>
    <t>66:52:0108001:417</t>
  </si>
  <si>
    <t>ГОТОВ</t>
  </si>
  <si>
    <t>Из прочих материалов</t>
  </si>
  <si>
    <t>66:52:0107003:524</t>
  </si>
  <si>
    <t>66:36:1301009:153</t>
  </si>
  <si>
    <t>66:52:0107001:265</t>
  </si>
  <si>
    <t>61001002001</t>
  </si>
  <si>
    <t>Рубленые</t>
  </si>
  <si>
    <t>66:28:2601001:274</t>
  </si>
  <si>
    <t>66:19:0000000:7875</t>
  </si>
  <si>
    <t>66:59:0101005:1511</t>
  </si>
  <si>
    <t>66:52:0106012:227</t>
  </si>
  <si>
    <t>66:01:3601001:324</t>
  </si>
  <si>
    <t>66:52:0106012:241</t>
  </si>
  <si>
    <t>66:41:0000000:66521</t>
  </si>
  <si>
    <t>66:50:0000000:5162</t>
  </si>
  <si>
    <t>66:25:2721002:4559</t>
  </si>
  <si>
    <t>66:04:0501004:333</t>
  </si>
  <si>
    <t>66:12:4801003:1405</t>
  </si>
  <si>
    <t>66:25:1201010:877</t>
  </si>
  <si>
    <t>66:25:4201002:318</t>
  </si>
  <si>
    <t>66:41:0614066:4363</t>
  </si>
  <si>
    <t>66:57:0102072:530</t>
  </si>
  <si>
    <t>Кирпичные</t>
  </si>
  <si>
    <t>61001001001</t>
  </si>
  <si>
    <t>66:65:0301029:638</t>
  </si>
  <si>
    <t>Из мелких бетонных блоков</t>
  </si>
  <si>
    <t>61001006002</t>
  </si>
  <si>
    <t>66:17:0801004:427</t>
  </si>
  <si>
    <t>Каркасно-обшивные</t>
  </si>
  <si>
    <t>61001002003</t>
  </si>
  <si>
    <t>66:59:0209001:1551</t>
  </si>
  <si>
    <t>66:25:1201015:315</t>
  </si>
  <si>
    <t>66:45:0200005:323</t>
  </si>
  <si>
    <t>66:34:0502034:490</t>
  </si>
  <si>
    <t>66:07:2801001:2069</t>
  </si>
  <si>
    <t>66:25:2201015:862</t>
  </si>
  <si>
    <t>Бетонные</t>
  </si>
  <si>
    <t>61001006000</t>
  </si>
  <si>
    <t>66:41:0513032:5168</t>
  </si>
  <si>
    <t>66:45:0200008:569</t>
  </si>
  <si>
    <t>66:42:0000000:1256</t>
  </si>
  <si>
    <t>66:52:0108001:424</t>
  </si>
  <si>
    <t>66:52:0107004:616</t>
  </si>
  <si>
    <t>66:52:0107006:466</t>
  </si>
  <si>
    <t>66:31:2301002:271</t>
  </si>
  <si>
    <t>66:34:0502027:4940</t>
  </si>
  <si>
    <t>66:41:0209114:246</t>
  </si>
  <si>
    <t>66:41:0513005:728</t>
  </si>
  <si>
    <t>66:45:0200058:922</t>
  </si>
  <si>
    <t>Кирпичные, Шлакобетонные</t>
  </si>
  <si>
    <t>61001001001, 61001008000</t>
  </si>
  <si>
    <t>66:59:0101029:845</t>
  </si>
  <si>
    <t>66:63:0101054:2347</t>
  </si>
  <si>
    <t>Шлакобетонные</t>
  </si>
  <si>
    <t>66:01:5001001:625</t>
  </si>
  <si>
    <t>66:06:4501021:12195</t>
  </si>
  <si>
    <t>66:15:2401001:345</t>
  </si>
  <si>
    <t>66:28:2801018:719</t>
  </si>
  <si>
    <t>66:35:0202008:1603</t>
  </si>
  <si>
    <t>66:41:0204002:490</t>
  </si>
  <si>
    <t>66:41:0310029:149</t>
  </si>
  <si>
    <t>66:41:0712003:283</t>
  </si>
  <si>
    <t>Кирпичные, Деревянные</t>
  </si>
  <si>
    <t>61001001001, 61001002000</t>
  </si>
  <si>
    <t>66:49:0000000:3698</t>
  </si>
  <si>
    <t>66:50:0510017:1032</t>
  </si>
  <si>
    <t>66:58:0101002:423</t>
  </si>
  <si>
    <t>66:65:0502001:113</t>
  </si>
  <si>
    <t>66:06:4501043:619</t>
  </si>
  <si>
    <t>66:25:1321002:973</t>
  </si>
  <si>
    <t>66:25:2901001:1358</t>
  </si>
  <si>
    <t>66:41:0111003:413</t>
  </si>
  <si>
    <t>66:06:0000000:768</t>
  </si>
  <si>
    <t>61001007001</t>
  </si>
  <si>
    <t>Крупнопанельные</t>
  </si>
  <si>
    <t>66:07:0801002:618</t>
  </si>
  <si>
    <t>66:52:0108001:391</t>
  </si>
  <si>
    <t>66:16:0000000:1919</t>
  </si>
  <si>
    <t>66:14:2701002:2411</t>
  </si>
  <si>
    <t>66:35:0221001:8314</t>
  </si>
  <si>
    <t>66:41:0614015:4133</t>
  </si>
  <si>
    <t>66:34:0501017:264</t>
  </si>
  <si>
    <t>66:55:0303007:1757</t>
  </si>
  <si>
    <t>66:28:1201001:595</t>
  </si>
  <si>
    <t>66:25:1002003:792</t>
  </si>
  <si>
    <t>66:07:1801004:871</t>
  </si>
  <si>
    <t>66:21:1204005:371</t>
  </si>
  <si>
    <t>66:41:0513005:733</t>
  </si>
  <si>
    <t>Крупноблочные</t>
  </si>
  <si>
    <t>61001007004</t>
  </si>
  <si>
    <t>66:54:0116005:1565</t>
  </si>
  <si>
    <t>66:59:0102013:1213</t>
  </si>
  <si>
    <t>66:41:0609047:380</t>
  </si>
  <si>
    <t>66:46:0108003:2097</t>
  </si>
  <si>
    <t>66:06:0601001:824</t>
  </si>
  <si>
    <t>66:32:1001005:396</t>
  </si>
  <si>
    <t>Из легкобетонных панелей</t>
  </si>
  <si>
    <t>61001006003</t>
  </si>
  <si>
    <t>66:54:0109007:467</t>
  </si>
  <si>
    <t>66:41:0513124:227</t>
  </si>
  <si>
    <t>66:25:1701003:840</t>
  </si>
  <si>
    <t>66:56:0502013:937</t>
  </si>
  <si>
    <t>Иное</t>
  </si>
  <si>
    <t>61001999000</t>
  </si>
  <si>
    <t>66:50:0000000:5164</t>
  </si>
  <si>
    <t>66:52:0107002:896</t>
  </si>
  <si>
    <t>66:50:0000000:5176</t>
  </si>
  <si>
    <t>66:50:0000000:6834</t>
  </si>
  <si>
    <t>66:50:0000000:6876</t>
  </si>
  <si>
    <t>Стены</t>
  </si>
  <si>
    <t>61001000000</t>
  </si>
  <si>
    <t>66:35:0103008:1621</t>
  </si>
  <si>
    <t>Железобетонные</t>
  </si>
  <si>
    <t>61001007000</t>
  </si>
  <si>
    <t>66:01:0801001:456</t>
  </si>
  <si>
    <t>66:06:1701006:831</t>
  </si>
  <si>
    <t>66:11:6904018:342</t>
  </si>
  <si>
    <t>66:19:1901009:2209</t>
  </si>
  <si>
    <t>66:21:0601001:2936</t>
  </si>
  <si>
    <t>66:25:2901022:793</t>
  </si>
  <si>
    <t>66:33:0101002:3950</t>
  </si>
  <si>
    <t>66:36:3103007:498</t>
  </si>
  <si>
    <t>Дощатые</t>
  </si>
  <si>
    <t>61001002005</t>
  </si>
  <si>
    <t>66:41:0313010:25004</t>
  </si>
  <si>
    <t>66:44:0102005:485</t>
  </si>
  <si>
    <t>66:56:0401009:1800</t>
  </si>
  <si>
    <t>66:58:1301008:1542</t>
  </si>
  <si>
    <t>66:59:0207002:1415</t>
  </si>
  <si>
    <t>66:06:1701038:784</t>
  </si>
  <si>
    <t>66:19:5001001:282</t>
  </si>
  <si>
    <t>66:27:1102057:372</t>
  </si>
  <si>
    <t>66:36:0701013:360</t>
  </si>
  <si>
    <t>Каменные</t>
  </si>
  <si>
    <t>61001001000</t>
  </si>
  <si>
    <t>66:41:0309012:1192</t>
  </si>
  <si>
    <t>66:44:0102006:4157</t>
  </si>
  <si>
    <t>66:56:0206002:1238</t>
  </si>
  <si>
    <t>66:66:0101026:232</t>
  </si>
  <si>
    <t>66:32:0407006:546</t>
  </si>
  <si>
    <t>66:52:0104018:619</t>
  </si>
  <si>
    <t>66:06:4501018:9936</t>
  </si>
  <si>
    <t>66:21:0101022:748</t>
  </si>
  <si>
    <t>Металлические</t>
  </si>
  <si>
    <t>61001009000</t>
  </si>
  <si>
    <t>66:25:3401010:267</t>
  </si>
  <si>
    <t>66:36:0701013:363</t>
  </si>
  <si>
    <t>66:41:0307097:203</t>
  </si>
  <si>
    <t>66:41:0513032:5639</t>
  </si>
  <si>
    <t>66:47:0403001:1519</t>
  </si>
  <si>
    <t>66:58:0119005:448</t>
  </si>
  <si>
    <t>66:01:3701001:2193</t>
  </si>
  <si>
    <t>66:12:3001002:726</t>
  </si>
  <si>
    <t>66:25:0104002:940</t>
  </si>
  <si>
    <t>66:32:0406017:602</t>
  </si>
  <si>
    <t>66:41:0109013:225</t>
  </si>
  <si>
    <t>66:41:0513040:2406</t>
  </si>
  <si>
    <t>66:54:0116006:1906</t>
  </si>
  <si>
    <t>66:59:0216001:4843</t>
  </si>
  <si>
    <t>66:67:0101031:1735</t>
  </si>
  <si>
    <t>66:06:1701063:599</t>
  </si>
  <si>
    <t>66:11:0109003:899</t>
  </si>
  <si>
    <t>66:28:2901010:1756</t>
  </si>
  <si>
    <t>66:35:0221001:8283</t>
  </si>
  <si>
    <t>66:41:0710012:353</t>
  </si>
  <si>
    <t>66:53:0303004:960</t>
  </si>
  <si>
    <t>66:59:0101019:12295</t>
  </si>
  <si>
    <t>66:63:2301001:631</t>
  </si>
  <si>
    <t>66:52:0106003:228</t>
  </si>
  <si>
    <t>66:04:0000000:604</t>
  </si>
  <si>
    <t>66:52:0104019:440</t>
  </si>
  <si>
    <t>66:19:4401007:658</t>
  </si>
  <si>
    <t>66:41:0403026:150</t>
  </si>
  <si>
    <t>66:56:0115001:3988</t>
  </si>
  <si>
    <t>66:11:1301002:604</t>
  </si>
  <si>
    <t>66:41:0109040:249</t>
  </si>
  <si>
    <t>66:45:0000000:24791</t>
  </si>
  <si>
    <t>66:54:0102005:980</t>
  </si>
  <si>
    <t>66:02:1601002:997</t>
  </si>
  <si>
    <t>66:17:0809004:830</t>
  </si>
  <si>
    <t>66:31:2201002:1940</t>
  </si>
  <si>
    <t>66:36:3201002:527</t>
  </si>
  <si>
    <t>66:41:0307013:304</t>
  </si>
  <si>
    <t>66:02:1701013:664</t>
  </si>
  <si>
    <t>66:15:3401014:262</t>
  </si>
  <si>
    <t>66:35:0105003:1191</t>
  </si>
  <si>
    <t>66:45:0100016:707</t>
  </si>
  <si>
    <t>66:67:0101002:1184</t>
  </si>
  <si>
    <t>66:41:0502042:323</t>
  </si>
  <si>
    <t>66:58:1701001:439</t>
  </si>
  <si>
    <t>66:41:0711067:238</t>
  </si>
  <si>
    <t>66:06:0501003:989</t>
  </si>
  <si>
    <t>66:18:0907001:581</t>
  </si>
  <si>
    <t>66:36:3101003:503</t>
  </si>
  <si>
    <t>66:41:0614006:363</t>
  </si>
  <si>
    <t>66:62:0504001:1262</t>
  </si>
  <si>
    <t>66:07:1002025:786</t>
  </si>
  <si>
    <t>66:25:0201004:191</t>
  </si>
  <si>
    <t>66:59:0210001:976</t>
  </si>
  <si>
    <t>66:52:0107004:652</t>
  </si>
  <si>
    <t>66:52:0108001:383</t>
  </si>
  <si>
    <t>66:16:0000000:2088</t>
  </si>
  <si>
    <t>66:41:0310085:234</t>
  </si>
  <si>
    <t>66:50:0517004:761</t>
  </si>
  <si>
    <t>66:12:4301002:524</t>
  </si>
  <si>
    <t>66:28:2801028:723</t>
  </si>
  <si>
    <t>66:42:0102001:4538</t>
  </si>
  <si>
    <t>66:21:0101008:667</t>
  </si>
  <si>
    <t>66:40:0101040:172</t>
  </si>
  <si>
    <t>66:06:4501020:9582</t>
  </si>
  <si>
    <t>66:15:0401001:554</t>
  </si>
  <si>
    <t>66:56:0115002:340</t>
  </si>
  <si>
    <t>66:63:0101028:521</t>
  </si>
  <si>
    <t>66:25:2601040:400</t>
  </si>
  <si>
    <t>66:36:0000000:22222</t>
  </si>
  <si>
    <t>66:41:0507025:266</t>
  </si>
  <si>
    <t>66:46:0102002:2539</t>
  </si>
  <si>
    <t>66:25:2501002:389</t>
  </si>
  <si>
    <t>66:29:2201006:1286</t>
  </si>
  <si>
    <t>66:36:0701004:335</t>
  </si>
  <si>
    <t>66:41:0102024:246</t>
  </si>
  <si>
    <t>66:56:0205004:690</t>
  </si>
  <si>
    <t>66:66:0101032:236</t>
  </si>
  <si>
    <t>66:41:0509064:1019</t>
  </si>
  <si>
    <t>66:41:0711054:143</t>
  </si>
  <si>
    <t>66:52:0101004:1132</t>
  </si>
  <si>
    <t>66:04:2501001:516</t>
  </si>
  <si>
    <t>66:11:0106004:915</t>
  </si>
  <si>
    <t>66:20:1501004:362</t>
  </si>
  <si>
    <t>66:24:2001002:1471</t>
  </si>
  <si>
    <t>66:36:1301015:246</t>
  </si>
  <si>
    <t>66:06:1701031:190</t>
  </si>
  <si>
    <t>66:50:0000000:5260</t>
  </si>
  <si>
    <t>66:12:4801002:627</t>
  </si>
  <si>
    <t>66:23:1001001:1618</t>
  </si>
  <si>
    <t>66:29:3001001:243</t>
  </si>
  <si>
    <t>66:35:0207002:513</t>
  </si>
  <si>
    <t>66:07:1002004:125</t>
  </si>
  <si>
    <t>66:06:1001002:439</t>
  </si>
  <si>
    <t>66:52:0107003:606</t>
  </si>
  <si>
    <t>66:52:0106011:84</t>
  </si>
  <si>
    <t>66:36:1301014:391</t>
  </si>
  <si>
    <t>66:50:0000000:4927</t>
  </si>
  <si>
    <t>66:16:2101019:339</t>
  </si>
  <si>
    <t>66:59:0209001:936</t>
  </si>
  <si>
    <t>66:52:0106012:234</t>
  </si>
  <si>
    <t>66:19:0000000:7879</t>
  </si>
  <si>
    <t>66:52:0107001:271</t>
  </si>
  <si>
    <t>66:50:0000000:5057</t>
  </si>
  <si>
    <t>66:50:0000000:5191</t>
  </si>
  <si>
    <t>66:41:0310076:305</t>
  </si>
  <si>
    <t>66:04:1801001:293</t>
  </si>
  <si>
    <t>66:15:1501004:1485</t>
  </si>
  <si>
    <t>Из прочих материалов, Каркасно-обшивные</t>
  </si>
  <si>
    <t>61001002003, 61001005000</t>
  </si>
  <si>
    <t>66:25:1307001:2632</t>
  </si>
  <si>
    <t>66:32:0301005:733</t>
  </si>
  <si>
    <t>66:49:0000000:3696</t>
  </si>
  <si>
    <t>66:58:0120007:1627</t>
  </si>
  <si>
    <t>66:02:1701016:759</t>
  </si>
  <si>
    <t>66:25:1307004:957</t>
  </si>
  <si>
    <t>66:62:0502004:337</t>
  </si>
  <si>
    <t>66:42:0201003:2855</t>
  </si>
  <si>
    <t>66:45:0200220:394</t>
  </si>
  <si>
    <t>66:41:0707008:171</t>
  </si>
  <si>
    <t>66:15:1501008:1043</t>
  </si>
  <si>
    <t>66:29:2201004:1200</t>
  </si>
  <si>
    <t>66:41:0513032:5603</t>
  </si>
  <si>
    <t>66:45:0200212:141</t>
  </si>
  <si>
    <t>Каркасно-засыпные</t>
  </si>
  <si>
    <t>61001002002</t>
  </si>
  <si>
    <t>66:16:2501001:140</t>
  </si>
  <si>
    <t>66:07:1901003:766</t>
  </si>
  <si>
    <t>66:52:0107004:612</t>
  </si>
  <si>
    <t>66:52:0107006:459</t>
  </si>
  <si>
    <t>66:25:1501004:1112</t>
  </si>
  <si>
    <t>66:34:0502039:3157</t>
  </si>
  <si>
    <t>66:41:0309012:1169</t>
  </si>
  <si>
    <t>66:41:0514005:330</t>
  </si>
  <si>
    <t>66:48:0317001:2404</t>
  </si>
  <si>
    <t>66:60:0901008:2261</t>
  </si>
  <si>
    <t>66:63:0101067:554</t>
  </si>
  <si>
    <t>66:06:0401004:1578</t>
  </si>
  <si>
    <t>66:06:4501050:368</t>
  </si>
  <si>
    <t>66:19:0000000:20026</t>
  </si>
  <si>
    <t>66:28:2901026:520</t>
  </si>
  <si>
    <t>66:35:0217001:575</t>
  </si>
  <si>
    <t>66:41:0306089:548</t>
  </si>
  <si>
    <t>66:41:0314014:323</t>
  </si>
  <si>
    <t>66:45:0100202:154</t>
  </si>
  <si>
    <t>66:49:0502010:560</t>
  </si>
  <si>
    <t>66:50:0510019:1012</t>
  </si>
  <si>
    <t>66:59:0215002:2535</t>
  </si>
  <si>
    <t>66:72:0101003:738</t>
  </si>
  <si>
    <t>66:11:5201001:604</t>
  </si>
  <si>
    <t>66:25:1405001:2731</t>
  </si>
  <si>
    <t>66:25:2901017:1409</t>
  </si>
  <si>
    <t>66:41:0306089:550</t>
  </si>
  <si>
    <t>66:04:0000000:1092</t>
  </si>
  <si>
    <t>66:06:2001002:83</t>
  </si>
  <si>
    <t>66:45:0200229:52</t>
  </si>
  <si>
    <t>66:38:0000000:511</t>
  </si>
  <si>
    <t>66:21:1201007:264</t>
  </si>
  <si>
    <t>66:36:1901001:287</t>
  </si>
  <si>
    <t>66:49:0502014:2654</t>
  </si>
  <si>
    <t>66:37:0204001:1214</t>
  </si>
  <si>
    <t>66:55:0303020:879</t>
  </si>
  <si>
    <t>66:32:0404010:477</t>
  </si>
  <si>
    <t>66:25:1901001:1195</t>
  </si>
  <si>
    <t>66:63:0101012:1000</t>
  </si>
  <si>
    <t>66:25:1307004:996</t>
  </si>
  <si>
    <t>66:41:0513037:3873</t>
  </si>
  <si>
    <t>66:54:0116007:809</t>
  </si>
  <si>
    <t>66:12:0301001:365</t>
  </si>
  <si>
    <t>66:48:0318001:2447</t>
  </si>
  <si>
    <t>66:55:0000000:2266</t>
  </si>
  <si>
    <t>66:17:0809004:831</t>
  </si>
  <si>
    <t>66:35:0103008:1670</t>
  </si>
  <si>
    <t>66:54:0114002:774</t>
  </si>
  <si>
    <t>66:45:0200167:1838</t>
  </si>
  <si>
    <t>66:34:0501005:324</t>
  </si>
  <si>
    <t>66:58:2902001:2245</t>
  </si>
  <si>
    <t>66:52:0106003:568</t>
  </si>
  <si>
    <t>66:03:0801001:855</t>
  </si>
  <si>
    <t>66:52:0108002:142</t>
  </si>
  <si>
    <t>66:50:0000000:6837</t>
  </si>
  <si>
    <t>66:51:0101003:165</t>
  </si>
  <si>
    <t>66:35:0222003:797</t>
  </si>
  <si>
    <t>Деревянные, Из мелких бетонных блоков</t>
  </si>
  <si>
    <t>61001002000, 61001006002</t>
  </si>
  <si>
    <t>66:01:2301031:332</t>
  </si>
  <si>
    <t>66:06:4501020:9469</t>
  </si>
  <si>
    <t>66:11:6904018:344</t>
  </si>
  <si>
    <t>66:19:1906010:1368</t>
  </si>
  <si>
    <t>66:25:0501001:215</t>
  </si>
  <si>
    <t>66:28:1201001:593</t>
  </si>
  <si>
    <t>66:35:0105011:6421</t>
  </si>
  <si>
    <t>66:41:0105031:1644</t>
  </si>
  <si>
    <t>66:41:0510035:248</t>
  </si>
  <si>
    <t>66:45:0200002:359</t>
  </si>
  <si>
    <t>66:56:0403008:4124</t>
  </si>
  <si>
    <t>66:58:2802006:250</t>
  </si>
  <si>
    <t>66:62:0502007:294</t>
  </si>
  <si>
    <t>66:06:4501020:9643</t>
  </si>
  <si>
    <t>66:24:2001004:1196</t>
  </si>
  <si>
    <t>66:29:2201016:393</t>
  </si>
  <si>
    <t>66:41:0101008:561</t>
  </si>
  <si>
    <t>66:41:0309100:388</t>
  </si>
  <si>
    <t>66:45:0000000:24805</t>
  </si>
  <si>
    <t>Кирпичные, Кирпичные</t>
  </si>
  <si>
    <t>66:56:0601007:570</t>
  </si>
  <si>
    <t>66:06:3801001:227</t>
  </si>
  <si>
    <t>66:05:3701001:231</t>
  </si>
  <si>
    <t>66:07:2001001:609</t>
  </si>
  <si>
    <t>66:41:0509006:149</t>
  </si>
  <si>
    <t>66:06:4501021:12199</t>
  </si>
  <si>
    <t>66:22:1001001:807</t>
  </si>
  <si>
    <t>66:30:1101001:958</t>
  </si>
  <si>
    <t>66:36:3101010:255</t>
  </si>
  <si>
    <t>66:41:0309100:389</t>
  </si>
  <si>
    <t>66:41:0513037:3863</t>
  </si>
  <si>
    <t>66:50:0000000:6907</t>
  </si>
  <si>
    <t>66:58:2902019:1469</t>
  </si>
  <si>
    <t>66:02:2301009:387</t>
  </si>
  <si>
    <t>66:17:0803003:1655</t>
  </si>
  <si>
    <t>66:25:2721002:4685</t>
  </si>
  <si>
    <t>66:35:0101012:496</t>
  </si>
  <si>
    <t>66:41:0306093:589</t>
  </si>
  <si>
    <t>66:41:0609014:436</t>
  </si>
  <si>
    <t>66:56:0208008:9026</t>
  </si>
  <si>
    <t>66:59:0216001:4955</t>
  </si>
  <si>
    <t>66:11:6911003:663</t>
  </si>
  <si>
    <t>66:06:4501021:12201</t>
  </si>
  <si>
    <t>66:15:1501029:1668</t>
  </si>
  <si>
    <t>66:30:1201119:499</t>
  </si>
  <si>
    <t>66:36:0103010:577</t>
  </si>
  <si>
    <t>66:44:0101010:712</t>
  </si>
  <si>
    <t>66:53:0307009:4069</t>
  </si>
  <si>
    <t>66:59:0209002:2015</t>
  </si>
  <si>
    <t>66:50:0513001:207</t>
  </si>
  <si>
    <t>66:42:0102001:1991</t>
  </si>
  <si>
    <t>66:03:3101001:534</t>
  </si>
  <si>
    <t>66:50:0000000:5248</t>
  </si>
  <si>
    <t>66:52:0107003:635</t>
  </si>
  <si>
    <t>66:35:0203002:1580</t>
  </si>
  <si>
    <t>66:41:0513005:726</t>
  </si>
  <si>
    <t>66:63:0101068:1468</t>
  </si>
  <si>
    <t>66:15:1501028:999</t>
  </si>
  <si>
    <t>66:41:0310075:389</t>
  </si>
  <si>
    <t>66:46:0000000:2710</t>
  </si>
  <si>
    <t>66:56:0000000:31443</t>
  </si>
  <si>
    <t>66:06:4301011:829</t>
  </si>
  <si>
    <t>66:19:0101023:792</t>
  </si>
  <si>
    <t>66:32:0407006:866</t>
  </si>
  <si>
    <t>66:40:0101010:543</t>
  </si>
  <si>
    <t>66:58:2903001:1329</t>
  </si>
  <si>
    <t>66:06:2501023:349</t>
  </si>
  <si>
    <t>66:21:0101076:1931</t>
  </si>
  <si>
    <t>66:35:0207013:741</t>
  </si>
  <si>
    <t>66:47:0000000:2927</t>
  </si>
  <si>
    <t>66:58:2101005:471</t>
  </si>
  <si>
    <t>66:41:0513032:5604</t>
  </si>
  <si>
    <t>66:06:4501018:9920</t>
  </si>
  <si>
    <t>66:59:0201002:2260</t>
  </si>
  <si>
    <t>66:06:2701007:293</t>
  </si>
  <si>
    <t>66:19:4401007:659</t>
  </si>
  <si>
    <t>66:41:0310058:271</t>
  </si>
  <si>
    <t>66:49:0502019:2935</t>
  </si>
  <si>
    <t>66:68:0201003:1362</t>
  </si>
  <si>
    <t>66:11:0108003:434</t>
  </si>
  <si>
    <t>66:25:3501001:240</t>
  </si>
  <si>
    <t>66:01:3601001:538</t>
  </si>
  <si>
    <t>66:52:0107004:632</t>
  </si>
  <si>
    <t>66:36:1301012:526</t>
  </si>
  <si>
    <t>66:36:0701017:128</t>
  </si>
  <si>
    <t>66:41:0511021:4179</t>
  </si>
  <si>
    <t>66:52:0107002:1805</t>
  </si>
  <si>
    <t>Деревянные, Из прочих материалов</t>
  </si>
  <si>
    <t>61001002000, 61001005000</t>
  </si>
  <si>
    <t>66:15:3401010:170</t>
  </si>
  <si>
    <t>66:32:0406009:445</t>
  </si>
  <si>
    <t>66:58:2101001:707</t>
  </si>
  <si>
    <t>66:25:1201024:588</t>
  </si>
  <si>
    <t>66:41:0306093:586</t>
  </si>
  <si>
    <t>66:41:0614066:4385</t>
  </si>
  <si>
    <t>66:19:4401001:567</t>
  </si>
  <si>
    <t>66:58:0108005:383</t>
  </si>
  <si>
    <t>66:25:0801002:282</t>
  </si>
  <si>
    <t>66:25:2721002:4354</t>
  </si>
  <si>
    <t>66:36:0111027:326</t>
  </si>
  <si>
    <t>Кирпичные, Монолитные, Из мелких бетонных блоков</t>
  </si>
  <si>
    <t>61001001001, 61001006001, 61001006002</t>
  </si>
  <si>
    <t>66:41:0511021:5825</t>
  </si>
  <si>
    <t>66:56:0000000:31129</t>
  </si>
  <si>
    <t>66:25:2721002:4663</t>
  </si>
  <si>
    <t>66:32:0402012:909</t>
  </si>
  <si>
    <t>66:36:0701011:304</t>
  </si>
  <si>
    <t>66:41:0106008:193</t>
  </si>
  <si>
    <t>66:58:0107003:873</t>
  </si>
  <si>
    <t>66:41:0309087:295</t>
  </si>
  <si>
    <t>66:41:0511020:338</t>
  </si>
  <si>
    <t>66:42:0102001:4534</t>
  </si>
  <si>
    <t>66:54:0000000:4226</t>
  </si>
  <si>
    <t>66:06:1701003:730</t>
  </si>
  <si>
    <t>66:12:1901001:699</t>
  </si>
  <si>
    <t>66:21:0101006:288</t>
  </si>
  <si>
    <t>66:19:0000000:8062</t>
  </si>
  <si>
    <t>66:06:1701061:86</t>
  </si>
  <si>
    <t>66:50:0000000:5262</t>
  </si>
  <si>
    <t>66:13:2001001:446</t>
  </si>
  <si>
    <t>66:24:2001002:1473</t>
  </si>
  <si>
    <t>66:31:1701003:575</t>
  </si>
  <si>
    <t>66:21:0101039:268</t>
  </si>
  <si>
    <t>66:41:0509062:204</t>
  </si>
  <si>
    <t>66:36:1301002:120</t>
  </si>
  <si>
    <t>66:52:0106012:246</t>
  </si>
  <si>
    <t>66:31:0000000:1181</t>
  </si>
  <si>
    <t>66:52:0107005:706</t>
  </si>
  <si>
    <t>66:52:0104019:139</t>
  </si>
  <si>
    <t>66:59:0000000:4779</t>
  </si>
  <si>
    <t>66:58:0301001:432</t>
  </si>
  <si>
    <t>66:72:0301009:151</t>
  </si>
  <si>
    <t>66:19:0000000:7881</t>
  </si>
  <si>
    <t>66:21:1801002:274</t>
  </si>
  <si>
    <t>66:50:0000000:5059</t>
  </si>
  <si>
    <t>66:04:0102008:14</t>
  </si>
  <si>
    <t>66:46:0102002:2538</t>
  </si>
  <si>
    <t>66:06:4501018:9910</t>
  </si>
  <si>
    <t>66:19:2701005:661</t>
  </si>
  <si>
    <t>66:25:1307004:969</t>
  </si>
  <si>
    <t>66:34:0501021:1245</t>
  </si>
  <si>
    <t>66:54:0000000:4219</t>
  </si>
  <si>
    <t>66:58:1301004:1311</t>
  </si>
  <si>
    <t>Из прочих материалов, Кирпичные</t>
  </si>
  <si>
    <t>61001001001, 61001005000</t>
  </si>
  <si>
    <t>66:06:0501003:987</t>
  </si>
  <si>
    <t>66:36:0701020:326</t>
  </si>
  <si>
    <t>66:67:0101003:353</t>
  </si>
  <si>
    <t>66:07:1801001:1733</t>
  </si>
  <si>
    <t>66:56:0106002:257</t>
  </si>
  <si>
    <t>66:45:0100407:6006</t>
  </si>
  <si>
    <t>66:16:2101012:269</t>
  </si>
  <si>
    <t>66:30:1203024:1131</t>
  </si>
  <si>
    <t>66:41:0521051:175</t>
  </si>
  <si>
    <t>66:52:0102001:553</t>
  </si>
  <si>
    <t>66:01:3601001:393</t>
  </si>
  <si>
    <t>66:59:0101010:1954</t>
  </si>
  <si>
    <t>66:52:0107004:322</t>
  </si>
  <si>
    <t>66:52:0107004:634</t>
  </si>
  <si>
    <t>66:52:0107002:900</t>
  </si>
  <si>
    <t>66:25:2901025:1566</t>
  </si>
  <si>
    <t>66:35:0108001:2674</t>
  </si>
  <si>
    <t>66:41:0309012:1171</t>
  </si>
  <si>
    <t>66:42:0102001:4573</t>
  </si>
  <si>
    <t>66:50:0540002:227</t>
  </si>
  <si>
    <t>66:63:0101016:618</t>
  </si>
  <si>
    <t>66:63:0101068:1447</t>
  </si>
  <si>
    <t>66:06:0701004:539</t>
  </si>
  <si>
    <t>66:08:0805028:1107</t>
  </si>
  <si>
    <t>66:19:2701009:718</t>
  </si>
  <si>
    <t>66:34:0501021:1244</t>
  </si>
  <si>
    <t>66:36:3203005:479</t>
  </si>
  <si>
    <t>66:41:0306093:587</t>
  </si>
  <si>
    <t>66:41:0513032:5634</t>
  </si>
  <si>
    <t>66:45:0200322:142</t>
  </si>
  <si>
    <t>66:49:0502019:2928</t>
  </si>
  <si>
    <t>66:50:0524005:536</t>
  </si>
  <si>
    <t>66:59:0217014:1662</t>
  </si>
  <si>
    <t>66:01:2301014:589</t>
  </si>
  <si>
    <t>66:15:1501003:1048</t>
  </si>
  <si>
    <t>66:25:2201015:863</t>
  </si>
  <si>
    <t>66:33:0101008:2546</t>
  </si>
  <si>
    <t>66:41:0309012:1184</t>
  </si>
  <si>
    <t>66:19:2201002:489</t>
  </si>
  <si>
    <t>66:06:3901002:559</t>
  </si>
  <si>
    <t>66:02:1703011:113</t>
  </si>
  <si>
    <t>66:03:0101001:237</t>
  </si>
  <si>
    <t>66:25:1201009:452</t>
  </si>
  <si>
    <t>66:41:0403008:164</t>
  </si>
  <si>
    <t>66:54:0107004:237</t>
  </si>
  <si>
    <t>66:41:0105031:1635</t>
  </si>
  <si>
    <t>66:55:0303021:698</t>
  </si>
  <si>
    <t>66:50:0000000:6925</t>
  </si>
  <si>
    <t>66:41:0513032:5657</t>
  </si>
  <si>
    <t>66:67:0101025:503</t>
  </si>
  <si>
    <t>66:25:2721002:4672</t>
  </si>
  <si>
    <t>66:41:0527001:169</t>
  </si>
  <si>
    <t>66:54:0116011:780</t>
  </si>
  <si>
    <t>66:17:0809008:181</t>
  </si>
  <si>
    <t>66:06:1701028:546</t>
  </si>
  <si>
    <t>66:55:0301003:489</t>
  </si>
  <si>
    <t>66:21:0101026:393</t>
  </si>
  <si>
    <t>66:41:0309068:700</t>
  </si>
  <si>
    <t>66:54:0312001:308</t>
  </si>
  <si>
    <t>66:59:0209003:867</t>
  </si>
  <si>
    <t>66:36:0701013:366</t>
  </si>
  <si>
    <t>66:63:0101034:726</t>
  </si>
  <si>
    <t>66:36:1301003:168</t>
  </si>
  <si>
    <t>66:52:0104018:626</t>
  </si>
  <si>
    <t>66:41:0309099:508</t>
  </si>
  <si>
    <t>66:50:0000000:6850</t>
  </si>
  <si>
    <t>66:58:0901003:414</t>
  </si>
  <si>
    <t>66:41:0309027:557</t>
  </si>
  <si>
    <t>66:01:5601001:1272</t>
  </si>
  <si>
    <t>66:06:4501020:9642</t>
  </si>
  <si>
    <t>66:12:5101003:1133</t>
  </si>
  <si>
    <t>66:19:1907002:1513</t>
  </si>
  <si>
    <t>66:25:1405001:2765</t>
  </si>
  <si>
    <t>66:28:2801021:542</t>
  </si>
  <si>
    <t>66:35:0202003:723</t>
  </si>
  <si>
    <t>66:41:0105031:1646</t>
  </si>
  <si>
    <t>66:41:0513032:5431</t>
  </si>
  <si>
    <t>66:46:0103004:4754</t>
  </si>
  <si>
    <t>66:56:0502001:2443</t>
  </si>
  <si>
    <t>66:58:2902019:1472</t>
  </si>
  <si>
    <t>66:66:0101025:1223</t>
  </si>
  <si>
    <t>66:08:0804011:1562</t>
  </si>
  <si>
    <t>66:25:0101001:1274</t>
  </si>
  <si>
    <t>66:35:0101012:495</t>
  </si>
  <si>
    <t>66:41:0105024:328</t>
  </si>
  <si>
    <t>66:41:0512001:1686</t>
  </si>
  <si>
    <t>66:45:0100318:344</t>
  </si>
  <si>
    <t>66:56:0601008:3196</t>
  </si>
  <si>
    <t>66:36:0102012:136</t>
  </si>
  <si>
    <t>Каменные, Кирпичные</t>
  </si>
  <si>
    <t>61001001000, 61001001001</t>
  </si>
  <si>
    <t>66:08:0805009:253</t>
  </si>
  <si>
    <t>66:42:0102011:1034</t>
  </si>
  <si>
    <t>66:08:0801005:1403</t>
  </si>
  <si>
    <t>66:25:1201010:849</t>
  </si>
  <si>
    <t>66:35:0105002:4544</t>
  </si>
  <si>
    <t>Из мелких бетонных блоков, Деревянные</t>
  </si>
  <si>
    <t>66:37:0202010:211</t>
  </si>
  <si>
    <t>66:41:0310030:309</t>
  </si>
  <si>
    <t>66:41:0518001:723</t>
  </si>
  <si>
    <t>66:52:0107001:1484</t>
  </si>
  <si>
    <t>66:59:0101015:2552</t>
  </si>
  <si>
    <t>66:06:1701014:588</t>
  </si>
  <si>
    <t>66:17:0805002:1428</t>
  </si>
  <si>
    <t>66:25:2901030:913</t>
  </si>
  <si>
    <t>66:35:0221001:8282</t>
  </si>
  <si>
    <t>66:41:0309068:699</t>
  </si>
  <si>
    <t>66:41:0614015:4125</t>
  </si>
  <si>
    <t>66:56:0502002:221</t>
  </si>
  <si>
    <t>66:59:0216001:4998</t>
  </si>
  <si>
    <t>66:25:1201001:1836</t>
  </si>
  <si>
    <t>66:08:0801005:1400</t>
  </si>
  <si>
    <t>66:16:2601018:401</t>
  </si>
  <si>
    <t>66:32:0401018:391</t>
  </si>
  <si>
    <t>66:36:3203001:1899</t>
  </si>
  <si>
    <t>66:46:0107001:1794</t>
  </si>
  <si>
    <t>66:54:0000000:4175</t>
  </si>
  <si>
    <t>Стены, Из прочих материалов</t>
  </si>
  <si>
    <t>61001000000, 61001005000</t>
  </si>
  <si>
    <t>66:59:0216001:4930</t>
  </si>
  <si>
    <t>66:41:0313010:24278</t>
  </si>
  <si>
    <t>66:21:0101039:269</t>
  </si>
  <si>
    <t>66:06:0301002:186</t>
  </si>
  <si>
    <t>66:50:0000000:5250</t>
  </si>
  <si>
    <t>66:56:0404001:3425</t>
  </si>
  <si>
    <t>66:52:0103001:1523</t>
  </si>
  <si>
    <t>66:41:0706001:1945</t>
  </si>
  <si>
    <t>66:66:0101003:837</t>
  </si>
  <si>
    <t>66:16:2001052:436</t>
  </si>
  <si>
    <t>66:41:0601011:417</t>
  </si>
  <si>
    <t>66:46:0104004:2652</t>
  </si>
  <si>
    <t>66:58:2902042:250</t>
  </si>
  <si>
    <t>66:07:2801001:2073</t>
  </si>
  <si>
    <t>66:19:2201002:803</t>
  </si>
  <si>
    <t>66:35:0103008:1650</t>
  </si>
  <si>
    <t>66:35:0111003:2443</t>
  </si>
  <si>
    <t>66:06:1701005:1103</t>
  </si>
  <si>
    <t>66:07:1001013:2173</t>
  </si>
  <si>
    <t>66:25:0104002:944</t>
  </si>
  <si>
    <t>66:41:0105031:1641</t>
  </si>
  <si>
    <t>66:54:0105002:1134</t>
  </si>
  <si>
    <t>66:07:2801001:2075</t>
  </si>
  <si>
    <t>66:41:0614066:4373</t>
  </si>
  <si>
    <t>66:06:4501021:12184</t>
  </si>
  <si>
    <t>66:69:0101003:2841</t>
  </si>
  <si>
    <t>66:06:4501020:9621</t>
  </si>
  <si>
    <t>66:24:2001003:1574</t>
  </si>
  <si>
    <t>66:41:0403051:408</t>
  </si>
  <si>
    <t>66:55:0303007:1780</t>
  </si>
  <si>
    <t>66:01:2301011:6620</t>
  </si>
  <si>
    <t>66:18:0907001:582</t>
  </si>
  <si>
    <t>66:30:1201088:319</t>
  </si>
  <si>
    <t>66:41:0000000:66472</t>
  </si>
  <si>
    <t>66:52:0106005:546</t>
  </si>
  <si>
    <t>66:52:0106012:236</t>
  </si>
  <si>
    <t>66:58:2902070:155</t>
  </si>
  <si>
    <t>66:41:0610006:186</t>
  </si>
  <si>
    <t>66:54:0314001:1416</t>
  </si>
  <si>
    <t>66:24:0802001:903</t>
  </si>
  <si>
    <t>66:37:0202025:304</t>
  </si>
  <si>
    <t>66:59:0216001:5014</t>
  </si>
  <si>
    <t>66:25:2721002:4653</t>
  </si>
  <si>
    <t>66:50:0514003:250</t>
  </si>
  <si>
    <t>66:25:2721002:4658</t>
  </si>
  <si>
    <t>66:22:1905017:1273</t>
  </si>
  <si>
    <t>66:59:0102004:1081</t>
  </si>
  <si>
    <t>66:25:1201022:779</t>
  </si>
  <si>
    <t>66:25:2901001:1357</t>
  </si>
  <si>
    <t>66:41:0000000:197498</t>
  </si>
  <si>
    <t>66:41:0604004:2677</t>
  </si>
  <si>
    <t>66:56:0000000:31131</t>
  </si>
  <si>
    <t>66:25:2721002:4665</t>
  </si>
  <si>
    <t>66:34:0502001:1493</t>
  </si>
  <si>
    <t>66:36:0701013:353</t>
  </si>
  <si>
    <t>66:41:0109040:251</t>
  </si>
  <si>
    <t>66:59:0216001:4945</t>
  </si>
  <si>
    <t>66:41:0310064:552</t>
  </si>
  <si>
    <t>66:41:0513037:3855</t>
  </si>
  <si>
    <t>66:42:0401002:125</t>
  </si>
  <si>
    <t>66:56:0102009:341</t>
  </si>
  <si>
    <t>66:06:4501001:4356</t>
  </si>
  <si>
    <t>66:13:1401001:727</t>
  </si>
  <si>
    <t>66:21:0101033:425</t>
  </si>
  <si>
    <t>66:41:0310051:568</t>
  </si>
  <si>
    <t>66:41:0000000:80439</t>
  </si>
  <si>
    <t>66:52:0107004:615</t>
  </si>
  <si>
    <t>66:17:0803006:2323</t>
  </si>
  <si>
    <t>66:24:2001003:1607</t>
  </si>
  <si>
    <t>66:52:0106012:300</t>
  </si>
  <si>
    <t>66:28:2901015:217</t>
  </si>
  <si>
    <t>66:52:0107004:642</t>
  </si>
  <si>
    <t>66:52:0106012:230</t>
  </si>
  <si>
    <t>66:31:2501003:233</t>
  </si>
  <si>
    <t>66:03:0000000:1381</t>
  </si>
  <si>
    <t>66:01:0801001:155</t>
  </si>
  <si>
    <t>66:02:0000000:3248</t>
  </si>
  <si>
    <t>66:52:0107003:523</t>
  </si>
  <si>
    <t>66:56:0208008:6151</t>
  </si>
  <si>
    <t>66:19:0000000:7882</t>
  </si>
  <si>
    <t>66:07:2801001:1135</t>
  </si>
  <si>
    <t>66:50:0000000:5078</t>
  </si>
  <si>
    <t>66:52:0107003:634</t>
  </si>
  <si>
    <t>66:55:0303022:1754</t>
  </si>
  <si>
    <t>66:06:4501018:9911</t>
  </si>
  <si>
    <t>66:21:1601001:294</t>
  </si>
  <si>
    <t>66:25:1307004:970</t>
  </si>
  <si>
    <t>66:35:0217001:577</t>
  </si>
  <si>
    <t>66:54:0000000:4220</t>
  </si>
  <si>
    <t>66:58:1601003:200</t>
  </si>
  <si>
    <t>66:06:4504015:305</t>
  </si>
  <si>
    <t>66:45:0200016:362</t>
  </si>
  <si>
    <t>66:67:0101019:400</t>
  </si>
  <si>
    <t>66:25:0106002:1408</t>
  </si>
  <si>
    <t>66:56:0203001:9956</t>
  </si>
  <si>
    <t>66:52:0104018:1697</t>
  </si>
  <si>
    <t>66:19:1101006:2268</t>
  </si>
  <si>
    <t>66:32:0407002:527</t>
  </si>
  <si>
    <t>66:41:0610021:715</t>
  </si>
  <si>
    <t>66:52:0109003:846</t>
  </si>
  <si>
    <t>66:01:3601001:400</t>
  </si>
  <si>
    <t>66:28:0000000:1918</t>
  </si>
  <si>
    <t>66:52:0106002:464</t>
  </si>
  <si>
    <t>66:52:0107004:606</t>
  </si>
  <si>
    <t>66:52:0107002:893</t>
  </si>
  <si>
    <t>66:25:4801001:327</t>
  </si>
  <si>
    <t>66:35:0108001:2747</t>
  </si>
  <si>
    <t>66:41:0309012:1172</t>
  </si>
  <si>
    <t>66:42:0102001:4590</t>
  </si>
  <si>
    <t>66:54:0110002:305</t>
  </si>
  <si>
    <t>66:63:0101022:2135</t>
  </si>
  <si>
    <t>66:63:0101068:1463</t>
  </si>
  <si>
    <t>66:06:1701005:1104</t>
  </si>
  <si>
    <t>66:11:1301002:605</t>
  </si>
  <si>
    <t>66:21:1204008:789</t>
  </si>
  <si>
    <t>66:35:0000000:7771</t>
  </si>
  <si>
    <t>66:41:0000000:195379</t>
  </si>
  <si>
    <t>66:41:0309012:1146</t>
  </si>
  <si>
    <t>66:41:0514018:362</t>
  </si>
  <si>
    <t>Легкие из местных материалов</t>
  </si>
  <si>
    <t>61001004000</t>
  </si>
  <si>
    <t>66:45:0200364:168</t>
  </si>
  <si>
    <t>66:49:0503026:157</t>
  </si>
  <si>
    <t>66:52:0104004:1656</t>
  </si>
  <si>
    <t>66:59:0217014:1664</t>
  </si>
  <si>
    <t>66:01:3801001:718</t>
  </si>
  <si>
    <t>66:25:0101010:399</t>
  </si>
  <si>
    <t>66:25:2401002:427</t>
  </si>
  <si>
    <t>66:33:0101012:2877</t>
  </si>
  <si>
    <t>66:41:0309012:1185</t>
  </si>
  <si>
    <t>66:31:0000000:1179</t>
  </si>
  <si>
    <t>66:06:3901002:562</t>
  </si>
  <si>
    <t>66:02:1703011:106</t>
  </si>
  <si>
    <t>66:03:0301001:281</t>
  </si>
  <si>
    <t>66:25:1201009:458</t>
  </si>
  <si>
    <t>66:41:0404021:207</t>
  </si>
  <si>
    <t>66:07:0104009:242</t>
  </si>
  <si>
    <t>66:41:0106049:382</t>
  </si>
  <si>
    <t>66:55:0303022:1734</t>
  </si>
  <si>
    <t>66:68:0201005:1884</t>
  </si>
  <si>
    <t>66:52:0106010:1293</t>
  </si>
  <si>
    <t>66:06:0401004:1586</t>
  </si>
  <si>
    <t>66:25:2901001:1363</t>
  </si>
  <si>
    <t>66:42:0102011:1555</t>
  </si>
  <si>
    <t>66:54:0116012:748</t>
  </si>
  <si>
    <t>66:28:3901004:148</t>
  </si>
  <si>
    <t>66:06:4501020:9292</t>
  </si>
  <si>
    <t>Каменные и бетонные</t>
  </si>
  <si>
    <t>61001003002</t>
  </si>
  <si>
    <t>66:55:0303022:1739</t>
  </si>
  <si>
    <t>66:21:0601001:2939</t>
  </si>
  <si>
    <t>66:41:0310112:155</t>
  </si>
  <si>
    <t>66:56:0000000:31431</t>
  </si>
  <si>
    <t>66:63:0101022:2176</t>
  </si>
  <si>
    <t>66:36:3001002:1108</t>
  </si>
  <si>
    <t>66:63:2301001:632</t>
  </si>
  <si>
    <t>66:26:1301002:477</t>
  </si>
  <si>
    <t>66:28:2901014:144</t>
  </si>
  <si>
    <t>66:03:0801001:1033</t>
  </si>
  <si>
    <t>66:41:0309100:386</t>
  </si>
  <si>
    <t>66:50:0000000:6852</t>
  </si>
  <si>
    <t>66:63:2301001:618</t>
  </si>
  <si>
    <t>66:41:0310116:145</t>
  </si>
  <si>
    <t>Бетонные, Из мелких бетонных блоков</t>
  </si>
  <si>
    <t>61001006000, 61001006002</t>
  </si>
  <si>
    <t>66:04:0101006:2803</t>
  </si>
  <si>
    <t>66:08:0801005:1402</t>
  </si>
  <si>
    <t>66:12:6801003:738</t>
  </si>
  <si>
    <t>66:19:3101004:652</t>
  </si>
  <si>
    <t>66:25:1405002:1041</t>
  </si>
  <si>
    <t>66:28:2901007:1201</t>
  </si>
  <si>
    <t>66:35:0224003:1009</t>
  </si>
  <si>
    <t>66:41:0106088:301</t>
  </si>
  <si>
    <t>Кирпичные, Железобетонные</t>
  </si>
  <si>
    <t>61001001001, 61001007000</t>
  </si>
  <si>
    <t>66:41:0513037:3862</t>
  </si>
  <si>
    <t>66:52:0106007:1017</t>
  </si>
  <si>
    <t>66:56:0502013:940</t>
  </si>
  <si>
    <t>66:58:2902043:396</t>
  </si>
  <si>
    <t>66:01:2301034:646</t>
  </si>
  <si>
    <t>66:11:5101001:318</t>
  </si>
  <si>
    <t>66:25:1405002:1045</t>
  </si>
  <si>
    <t>66:35:0105015:1408</t>
  </si>
  <si>
    <t>Кирпичные, Из железобетонных сегментов</t>
  </si>
  <si>
    <t>61001001001, 61001007006</t>
  </si>
  <si>
    <t>66:41:0108014:1940</t>
  </si>
  <si>
    <t>66:41:0512001:1687</t>
  </si>
  <si>
    <t>66:45:0200002:360</t>
  </si>
  <si>
    <t>66:58:0104001:1081</t>
  </si>
  <si>
    <t>66:17:0201004:120</t>
  </si>
  <si>
    <t>66:52:0106012:123</t>
  </si>
  <si>
    <t>66:17:0805002:859</t>
  </si>
  <si>
    <t>66:11:1801001:919</t>
  </si>
  <si>
    <t>66:25:1405001:2584</t>
  </si>
  <si>
    <t>66:35:0213002:1137</t>
  </si>
  <si>
    <t>66:40:0101002:407</t>
  </si>
  <si>
    <t>66:41:0313001:536</t>
  </si>
  <si>
    <t>66:41:0614015:4098</t>
  </si>
  <si>
    <t>66:52:0107004:870</t>
  </si>
  <si>
    <t>66:59:0216001:4857</t>
  </si>
  <si>
    <t>66:06:1701055:243</t>
  </si>
  <si>
    <t>66:19:0103001:166</t>
  </si>
  <si>
    <t>66:28:2801011:311</t>
  </si>
  <si>
    <t>66:37:0204001:1208</t>
  </si>
  <si>
    <t>66:41:0309100:391</t>
  </si>
  <si>
    <t>66:42:0401005:409</t>
  </si>
  <si>
    <t>66:56:0601008:3199</t>
  </si>
  <si>
    <t>66:59:0216001:5029</t>
  </si>
  <si>
    <t>66:28:2901045:1203</t>
  </si>
  <si>
    <t>66:08:0801009:804</t>
  </si>
  <si>
    <t>66:16:2601060:206</t>
  </si>
  <si>
    <t>66:32:0401028:478</t>
  </si>
  <si>
    <t>Каменные и деревянные</t>
  </si>
  <si>
    <t>61001003001</t>
  </si>
  <si>
    <t>66:39:0303002:360</t>
  </si>
  <si>
    <t>66:47:0403001:1410</t>
  </si>
  <si>
    <t>66:54:0116006:1896</t>
  </si>
  <si>
    <t>66:59:0216001:5033</t>
  </si>
  <si>
    <t>66:50:0000000:6899</t>
  </si>
  <si>
    <t>66:21:0101037:2044</t>
  </si>
  <si>
    <t>66:04:1301001:229</t>
  </si>
  <si>
    <t>66:50:0000000:5251</t>
  </si>
  <si>
    <t>66:56:0404005:873</t>
  </si>
  <si>
    <t>66:56:0404001:3424</t>
  </si>
  <si>
    <t>66:45:0100304:926</t>
  </si>
  <si>
    <t>66:06:4501045:173</t>
  </si>
  <si>
    <t>66:21:0101069:601</t>
  </si>
  <si>
    <t>66:41:0707008:172</t>
  </si>
  <si>
    <t>66:46:0109007:238</t>
  </si>
  <si>
    <t>66:59:0101029:843</t>
  </si>
  <si>
    <t>66:09:0401003:993</t>
  </si>
  <si>
    <t>66:21:0101076:1942</t>
  </si>
  <si>
    <t>66:35:0104006:853</t>
  </si>
  <si>
    <t>66:06:4501020:9578</t>
  </si>
  <si>
    <t>66:12:5101003:1131</t>
  </si>
  <si>
    <t>66:07:1002006:651</t>
  </si>
  <si>
    <t>66:25:0304006:491</t>
  </si>
  <si>
    <t>66:41:0309032:195</t>
  </si>
  <si>
    <t>66:56:0111011:456</t>
  </si>
  <si>
    <t>66:07:2801001:2077</t>
  </si>
  <si>
    <t>66:41:0614066:4384</t>
  </si>
  <si>
    <t>66:21:0101012:587</t>
  </si>
  <si>
    <t>66:25:1405001:2732</t>
  </si>
  <si>
    <t>66:07:0201001:446</t>
  </si>
  <si>
    <t>66:25:1405001:2755</t>
  </si>
  <si>
    <t>66:41:0504004:7411</t>
  </si>
  <si>
    <t>66:56:0000000:31447</t>
  </si>
  <si>
    <t>66:03:0000000:4992</t>
  </si>
  <si>
    <t>66:20:1701001:485</t>
  </si>
  <si>
    <t>66:30:1201097:213</t>
  </si>
  <si>
    <t>66:52:0106007:659</t>
  </si>
  <si>
    <t>66:52:0107005:924</t>
  </si>
  <si>
    <t>66:52:0106012:242</t>
  </si>
  <si>
    <t>66:06:4301006:239</t>
  </si>
  <si>
    <t>66:41:0706001:1946</t>
  </si>
  <si>
    <t>66:58:2301005:570</t>
  </si>
  <si>
    <t>66:24:2001005:1384</t>
  </si>
  <si>
    <t>66:41:0205020:487</t>
  </si>
  <si>
    <t>66:62:0101001:896</t>
  </si>
  <si>
    <t>66:25:4101001:641</t>
  </si>
  <si>
    <t>66:56:0301001:621</t>
  </si>
  <si>
    <t>66:25:2721002:4661</t>
  </si>
  <si>
    <t>66:22:2001001:1906</t>
  </si>
  <si>
    <t>66:59:0203002:2078</t>
  </si>
  <si>
    <t>66:25:1201024:589</t>
  </si>
  <si>
    <t>66:25:3501001:241</t>
  </si>
  <si>
    <t>66:41:0109071:432</t>
  </si>
  <si>
    <t>66:41:0607005:323</t>
  </si>
  <si>
    <t>66:25:1307001:2635</t>
  </si>
  <si>
    <t>66:25:2901002:1428</t>
  </si>
  <si>
    <t>66:35:0101022:244</t>
  </si>
  <si>
    <t>66:36:2001013:383</t>
  </si>
  <si>
    <t>66:41:0109071:433</t>
  </si>
  <si>
    <t>66:59:0216001:4963</t>
  </si>
  <si>
    <t>66:41:0310118:242</t>
  </si>
  <si>
    <t>66:41:0513054:1255</t>
  </si>
  <si>
    <t>66:44:0102026:386</t>
  </si>
  <si>
    <t>66:56:0106002:258</t>
  </si>
  <si>
    <t>66:06:4501020:9622</t>
  </si>
  <si>
    <t>66:13:2101001:1045</t>
  </si>
  <si>
    <t>66:21:0101040:775</t>
  </si>
  <si>
    <t>66:08:0101003:28</t>
  </si>
  <si>
    <t>66:06:3601010:294</t>
  </si>
  <si>
    <t>66:35:0218007:523</t>
  </si>
  <si>
    <t>66:19:0501001:854</t>
  </si>
  <si>
    <t>66:06:2601008:342</t>
  </si>
  <si>
    <t>66:41:0509062:197</t>
  </si>
  <si>
    <t>66:52:0107003:547</t>
  </si>
  <si>
    <t>66:52:0106011:99</t>
  </si>
  <si>
    <t>66:52:0107002:901</t>
  </si>
  <si>
    <t>66:50:0000000:4934</t>
  </si>
  <si>
    <t>66:07:1701002:390</t>
  </si>
  <si>
    <t>66:59:0000000:4880</t>
  </si>
  <si>
    <t>66:50:0000000:5216</t>
  </si>
  <si>
    <t>66:36:3002008:231</t>
  </si>
  <si>
    <t>66:19:0000000:7880</t>
  </si>
  <si>
    <t>66:12:0000000:2359</t>
  </si>
  <si>
    <t>66:50:0000000:5058</t>
  </si>
  <si>
    <t>66:03:0301001:291</t>
  </si>
  <si>
    <t>66:41:0513037:3839</t>
  </si>
  <si>
    <t>66:06:0501003:988</t>
  </si>
  <si>
    <t>66:17:0809007:1253</t>
  </si>
  <si>
    <t>66:25:1307001:2634</t>
  </si>
  <si>
    <t>66:32:0601003:380</t>
  </si>
  <si>
    <t>66:54:0000000:4216</t>
  </si>
  <si>
    <t>66:58:1301004:1310</t>
  </si>
  <si>
    <t>66:04:0901001:354</t>
  </si>
  <si>
    <t>66:25:2721002:4562</t>
  </si>
  <si>
    <t>66:63:0101026:632</t>
  </si>
  <si>
    <t>66:63:2301001:629</t>
  </si>
  <si>
    <t>66:45:0200337:397</t>
  </si>
  <si>
    <t>66:42:0201012:526</t>
  </si>
  <si>
    <t>66:15:3101001:1679</t>
  </si>
  <si>
    <t>66:30:1201109:173</t>
  </si>
  <si>
    <t>66:41:0513045:798</t>
  </si>
  <si>
    <t>66:45:0200288:1070</t>
  </si>
  <si>
    <t>66:36:1301014:384</t>
  </si>
  <si>
    <t>66:07:2001001:608</t>
  </si>
  <si>
    <t>66:52:0107004:618</t>
  </si>
  <si>
    <t>66:36:1301011:337</t>
  </si>
  <si>
    <t>66:25:2721002:4682</t>
  </si>
  <si>
    <t>66:35:0105011:6419</t>
  </si>
  <si>
    <t>66:41:0309012:1170</t>
  </si>
  <si>
    <t>66:41:0614066:4365</t>
  </si>
  <si>
    <t>66:50:0000000:6905</t>
  </si>
  <si>
    <t>66:61:0220001:1688</t>
  </si>
  <si>
    <t>66:63:0101068:1436</t>
  </si>
  <si>
    <t>66:06:0401004:1579</t>
  </si>
  <si>
    <t>66:07:1001021:982</t>
  </si>
  <si>
    <t>66:19:1906004:175</t>
  </si>
  <si>
    <t>66:28:2901042:389</t>
  </si>
  <si>
    <t>66:35:0218005:1103</t>
  </si>
  <si>
    <t>66:41:0306089:549</t>
  </si>
  <si>
    <t>66:41:0314014:324</t>
  </si>
  <si>
    <t>66:45:0100202:155</t>
  </si>
  <si>
    <t>66:49:0502012:574</t>
  </si>
  <si>
    <t>66:50:0514008:338</t>
  </si>
  <si>
    <t>66:59:0217014:1660</t>
  </si>
  <si>
    <t>66:72:0101008:672</t>
  </si>
  <si>
    <t>66:11:6904006:184</t>
  </si>
  <si>
    <t>66:25:1501005:1074</t>
  </si>
  <si>
    <t>66:25:4101002:549</t>
  </si>
  <si>
    <t>66:41:0309012:1183</t>
  </si>
  <si>
    <t>66:58:0000000:9072</t>
  </si>
  <si>
    <t>66:06:2701001:179</t>
  </si>
  <si>
    <t>66:27:1102046:306</t>
  </si>
  <si>
    <t>66:06:1701052:203</t>
  </si>
  <si>
    <t>66:22:1920002:1697</t>
  </si>
  <si>
    <t>66:38:0102007:717</t>
  </si>
  <si>
    <t>66:54:0105003:557</t>
  </si>
  <si>
    <t>66:40:0101026:3537</t>
  </si>
  <si>
    <t>66:55:0303021:693</t>
  </si>
  <si>
    <t>66:35:0107002:916</t>
  </si>
  <si>
    <t>66:25:2901001:1361</t>
  </si>
  <si>
    <t>66:63:0101022:2132</t>
  </si>
  <si>
    <t>66:25:1325007:174</t>
  </si>
  <si>
    <t>66:41:0515032:157</t>
  </si>
  <si>
    <t>66:54:0116009:680</t>
  </si>
  <si>
    <t>66:17:0000000:5601</t>
  </si>
  <si>
    <t>66:59:0216001:4819</t>
  </si>
  <si>
    <t>66:55:0000000:2274</t>
  </si>
  <si>
    <t>66:19:0103007:241</t>
  </si>
  <si>
    <t>66:41:0306083:1506</t>
  </si>
  <si>
    <t>66:54:0114002:780</t>
  </si>
  <si>
    <t>66:59:0203002:2021</t>
  </si>
  <si>
    <t>66:35:0217001:582</t>
  </si>
  <si>
    <t>66:62:0107005:229</t>
  </si>
  <si>
    <t>66:07:1002008:393</t>
  </si>
  <si>
    <t>66:03:0801001:858</t>
  </si>
  <si>
    <t>66:03:0000000:4934</t>
  </si>
  <si>
    <t>66:50:0000000:6849</t>
  </si>
  <si>
    <t>66:51:0103009:717</t>
  </si>
  <si>
    <t>66:36:0801004:156</t>
  </si>
  <si>
    <t>66:01:3901002:620</t>
  </si>
  <si>
    <t>66:06:4501020:9641</t>
  </si>
  <si>
    <t>66:12:0000000:5905</t>
  </si>
  <si>
    <t>66:19:1907001:774</t>
  </si>
  <si>
    <t>66:25:1307001:2638</t>
  </si>
  <si>
    <t>66:28:2001001:480</t>
  </si>
  <si>
    <t>66:35:0107001:997</t>
  </si>
  <si>
    <t>66:41:0105031:1645</t>
  </si>
  <si>
    <t>66:41:0512001:1685</t>
  </si>
  <si>
    <t>66:45:0200275:696</t>
  </si>
  <si>
    <t>66:56:0501001:166</t>
  </si>
  <si>
    <t>66:58:2901002:1009</t>
  </si>
  <si>
    <t>66:63:0101022:2171</t>
  </si>
  <si>
    <t>66:08:0802010:1727</t>
  </si>
  <si>
    <t>66:25:0000000:15137</t>
  </si>
  <si>
    <t>66:32:0406011:667</t>
  </si>
  <si>
    <t>66:41:0102901:416</t>
  </si>
  <si>
    <t>66:41:0508059:649</t>
  </si>
  <si>
    <t>66:45:0100106:592</t>
  </si>
  <si>
    <t>66:56:0601008:3195</t>
  </si>
  <si>
    <t>66:04:2801001:388</t>
  </si>
  <si>
    <t>66:07:2001001:615</t>
  </si>
  <si>
    <t>66:62:0201001:633</t>
  </si>
  <si>
    <t>66:07:0301001:713</t>
  </si>
  <si>
    <t>66:24:2001001:1609</t>
  </si>
  <si>
    <t>66:31:2201002:1945</t>
  </si>
  <si>
    <t>66:36:3203005:480</t>
  </si>
  <si>
    <t>66:41:0309100:390</t>
  </si>
  <si>
    <t>66:41:0513040:2405</t>
  </si>
  <si>
    <t>66:50:0532001:195</t>
  </si>
  <si>
    <t>66:59:0101003:1170</t>
  </si>
  <si>
    <t>66:03:1501001:906</t>
  </si>
  <si>
    <t>66:17:0803006:2322</t>
  </si>
  <si>
    <t>66:25:2901002:1429</t>
  </si>
  <si>
    <t>66:35:0105018:624</t>
  </si>
  <si>
    <t>66:41:0309064:620</t>
  </si>
  <si>
    <t>66:41:0614015:4119</t>
  </si>
  <si>
    <t>66:56:0401009:1801</t>
  </si>
  <si>
    <t>66:59:0216001:4964</t>
  </si>
  <si>
    <t>66:11:6911003:664</t>
  </si>
  <si>
    <t>66:07:0801002:1839</t>
  </si>
  <si>
    <t>66:15:1501029:1669</t>
  </si>
  <si>
    <t>66:32:0000000:6604</t>
  </si>
  <si>
    <t>66:36:1801012:487</t>
  </si>
  <si>
    <t>Шлакобетонные, Бетонные</t>
  </si>
  <si>
    <t>61001006000, 61001008000</t>
  </si>
  <si>
    <t>66:44:0102019:1277</t>
  </si>
  <si>
    <t>66:53:0313007:1218</t>
  </si>
  <si>
    <t>66:59:0209003:864</t>
  </si>
  <si>
    <t>66:25:2724006:113</t>
  </si>
  <si>
    <t>66:46:0101001:96</t>
  </si>
  <si>
    <t>66:16:0801001:480</t>
  </si>
  <si>
    <t>66:50:0000000:5249</t>
  </si>
  <si>
    <t>66:56:0113006:428</t>
  </si>
  <si>
    <t>66:45:0100450:473</t>
  </si>
  <si>
    <t>66:41:0513032:5501</t>
  </si>
  <si>
    <t>66:63:0201003:1172</t>
  </si>
  <si>
    <t>66:15:1901002:457</t>
  </si>
  <si>
    <t>66:41:0503015:832</t>
  </si>
  <si>
    <t>66:46:0104004:2651</t>
  </si>
  <si>
    <t>Рубленые, Из мелких бетонных блоков</t>
  </si>
  <si>
    <t>61001002001, 61001006002</t>
  </si>
  <si>
    <t>66:56:0000000:31444</t>
  </si>
  <si>
    <t>66:06:4501018:9913</t>
  </si>
  <si>
    <t>66:19:1901009:2206</t>
  </si>
  <si>
    <t>66:35:0102004:306</t>
  </si>
  <si>
    <t>66:41:0108126:5469</t>
  </si>
  <si>
    <t>66:63:1801004:1009</t>
  </si>
  <si>
    <t>66:06:4501018:9912</t>
  </si>
  <si>
    <t>66:21:1202001:668</t>
  </si>
  <si>
    <t>66:39:0302006:331</t>
  </si>
  <si>
    <t>66:50:0000000:6896</t>
  </si>
  <si>
    <t>66:58:2902042:251</t>
  </si>
  <si>
    <t>66:41:0521048:158</t>
  </si>
  <si>
    <t>66:06:4501021:12183</t>
  </si>
  <si>
    <t>66:62:0401001:632</t>
  </si>
  <si>
    <t>66:06:4501018:9921</t>
  </si>
  <si>
    <t>66:21:0101073:880</t>
  </si>
  <si>
    <t>66:41:0313084:152</t>
  </si>
  <si>
    <t>66:53:0102001:1621</t>
  </si>
  <si>
    <t>66:69:0101003:2842</t>
  </si>
  <si>
    <t>66:12:5301001:588</t>
  </si>
  <si>
    <t>66:28:2901020:1764</t>
  </si>
  <si>
    <t>66:00:0000000:986</t>
  </si>
  <si>
    <t>66:42:0201009:161</t>
  </si>
  <si>
    <t>66:36:1301012:528</t>
  </si>
  <si>
    <t>66:06:0401006:174</t>
  </si>
  <si>
    <t>66:41:0521048:160</t>
  </si>
  <si>
    <t>66:53:0102001:1620</t>
  </si>
  <si>
    <t>66:19:1907004:1032</t>
  </si>
  <si>
    <t>66:35:0221001:8268</t>
  </si>
  <si>
    <t>66:59:0216001:4979</t>
  </si>
  <si>
    <t>66:25:1405001:2757</t>
  </si>
  <si>
    <t>66:45:0200124:311</t>
  </si>
  <si>
    <t>66:54:0102001:532</t>
  </si>
  <si>
    <t>66:19:4401002:482</t>
  </si>
  <si>
    <t>66:58:0120014:259</t>
  </si>
  <si>
    <t>66:25:1201006:392</t>
  </si>
  <si>
    <t>66:25:2721002:4662</t>
  </si>
  <si>
    <t>66:36:0701013:351</t>
  </si>
  <si>
    <t>66:41:0513054:1254</t>
  </si>
  <si>
    <t>66:56:0000000:31130</t>
  </si>
  <si>
    <t>66:25:2721002:4664</t>
  </si>
  <si>
    <t>66:34:0502001:1492</t>
  </si>
  <si>
    <t>66:36:0701013:352</t>
  </si>
  <si>
    <t>66:41:0108020:709</t>
  </si>
  <si>
    <t>66:58:0116001:10212</t>
  </si>
  <si>
    <t>66:41:0309099:507</t>
  </si>
  <si>
    <t>66:41:0513032:5619</t>
  </si>
  <si>
    <t>66:42:0201004:632</t>
  </si>
  <si>
    <t>66:54:0116002:1450</t>
  </si>
  <si>
    <t>66:06:4501001:4355</t>
  </si>
  <si>
    <t>66:12:5301004:2374</t>
  </si>
  <si>
    <t>66:21:0101013:505</t>
  </si>
  <si>
    <t>66:59:0209002:1193</t>
  </si>
  <si>
    <t>66:06:3001001:519</t>
  </si>
  <si>
    <t>66:50:0000000:5263</t>
  </si>
  <si>
    <t>66:15:2601001:713</t>
  </si>
  <si>
    <t>66:24:2001002:1474</t>
  </si>
  <si>
    <t>66:32:0403024:381</t>
  </si>
  <si>
    <t>66:06:1201002:255</t>
  </si>
  <si>
    <t>66:52:0104018:651</t>
  </si>
  <si>
    <t>66:52:0107005:729</t>
  </si>
  <si>
    <t>66:52:0106012:243</t>
  </si>
  <si>
    <t>66:59:0101025:65</t>
  </si>
  <si>
    <t>66:04:1401003:282</t>
  </si>
  <si>
    <t>66:28:0000000:2084</t>
  </si>
  <si>
    <t>66:52:0107003:519</t>
  </si>
  <si>
    <t>66:27:0000000:2795</t>
  </si>
  <si>
    <t>66:08:0802002:103</t>
  </si>
  <si>
    <t>66:19:3101004:486</t>
  </si>
  <si>
    <t>66:50:0000000:5160</t>
  </si>
  <si>
    <t>66:25:1307001:2628</t>
  </si>
  <si>
    <t>66:03:1601023:380</t>
  </si>
  <si>
    <t>66:12:2001001:543</t>
  </si>
  <si>
    <t>66:25:0304006:489</t>
  </si>
  <si>
    <t>66:25:2721002:4560</t>
  </si>
  <si>
    <t>66:41:0507075:617</t>
  </si>
  <si>
    <t>66:55:0303040:492</t>
  </si>
  <si>
    <t>66:61:0208001:722</t>
  </si>
  <si>
    <t>66:15:0901003:1517</t>
  </si>
  <si>
    <t>Кирпичные, Из прочих материалов</t>
  </si>
  <si>
    <t>66:58:0601002:541</t>
  </si>
  <si>
    <t>66:21:0101076:1877</t>
  </si>
  <si>
    <t>66:45:0100407:5997</t>
  </si>
  <si>
    <t>66:25:0101005:815</t>
  </si>
  <si>
    <t>66:07:1407003:452</t>
  </si>
  <si>
    <t>66:25:1201009:453</t>
  </si>
  <si>
    <t>66:41:0204055:2182</t>
  </si>
  <si>
    <t>66:45:0100408:1146</t>
  </si>
  <si>
    <t>66:17:0901001:314</t>
  </si>
  <si>
    <t>66:41:0711024:43</t>
  </si>
  <si>
    <t>66:52:0107004:656</t>
  </si>
  <si>
    <t>66:52:0107006:470</t>
  </si>
  <si>
    <t>66:07:1001005:260</t>
  </si>
  <si>
    <t>66:32:0000000:6603</t>
  </si>
  <si>
    <t>66:40:0101034:421</t>
  </si>
  <si>
    <t>66:41:0402030:1569</t>
  </si>
  <si>
    <t>66:45:0000000:24767</t>
  </si>
  <si>
    <t>66:58:1301001:1592</t>
  </si>
  <si>
    <t>66:63:0101025:551</t>
  </si>
  <si>
    <t>66:62:0504001:1266</t>
  </si>
  <si>
    <t>66:06:4501020:9636</t>
  </si>
  <si>
    <t>66:14:4001001:515</t>
  </si>
  <si>
    <t>66:25:0104002:939</t>
  </si>
  <si>
    <t>66:35:0105015:1369</t>
  </si>
  <si>
    <t>66:41:0108091:547</t>
  </si>
  <si>
    <t>66:41:0309083:245</t>
  </si>
  <si>
    <t>66:41:0612038:140</t>
  </si>
  <si>
    <t>66:48:0308003:694</t>
  </si>
  <si>
    <t>66:50:0510014:214</t>
  </si>
  <si>
    <t>66:58:0000000:24118</t>
  </si>
  <si>
    <t>66:63:1501002:725</t>
  </si>
  <si>
    <t>66:06:4501020:9640</t>
  </si>
  <si>
    <t>66:25:1307001:2572</t>
  </si>
  <si>
    <t>66:25:2721002:4556</t>
  </si>
  <si>
    <t>66:41:0108021:199</t>
  </si>
  <si>
    <t>66:01:3601001:523</t>
  </si>
  <si>
    <t>61001002004</t>
  </si>
  <si>
    <t>Сборно-щитовые</t>
  </si>
  <si>
    <t>66:06:4501051:24</t>
  </si>
  <si>
    <t>66:15:0901001:719</t>
  </si>
  <si>
    <t>66:03:0801001:1775</t>
  </si>
  <si>
    <t>66:06:4501021:12236</t>
  </si>
  <si>
    <t>66:35:0105007:2532</t>
  </si>
  <si>
    <t>66:41:0514018:363</t>
  </si>
  <si>
    <t>66:25:1002003:733</t>
  </si>
  <si>
    <t>66:55:0303007:1744</t>
  </si>
  <si>
    <t>66:56:0401003:894</t>
  </si>
  <si>
    <t>66:15:1501003:1046</t>
  </si>
  <si>
    <t>66:56:0301006:664</t>
  </si>
  <si>
    <t>66:19:1906002:283</t>
  </si>
  <si>
    <t>66:41:0209041:186</t>
  </si>
  <si>
    <t>66:54:0116002:1448</t>
  </si>
  <si>
    <t>Стены, Кирпичные</t>
  </si>
  <si>
    <t>61001000000, 61001001001</t>
  </si>
  <si>
    <t>66:58:0601001:698</t>
  </si>
  <si>
    <t>66:41:0513040:2415</t>
  </si>
  <si>
    <t>66:41:0310112:154</t>
  </si>
  <si>
    <t>66:03:0801002:1099</t>
  </si>
  <si>
    <t>66:28:4301004:596</t>
  </si>
  <si>
    <t>66:54:0106001:324</t>
  </si>
  <si>
    <t>66:21:0101077:1488</t>
  </si>
  <si>
    <t>66:19:5401004:371</t>
  </si>
  <si>
    <t>66:56:0205001:1731</t>
  </si>
  <si>
    <t>66:52:0107001:673</t>
  </si>
  <si>
    <t>66:52:0107002:971</t>
  </si>
  <si>
    <t>66:41:0505001:432</t>
  </si>
  <si>
    <t>66:50:0000000:6831</t>
  </si>
  <si>
    <t>66:50:0000000:6871</t>
  </si>
  <si>
    <t>66:35:0101008:138</t>
  </si>
  <si>
    <t>66:65:0301042:652</t>
  </si>
  <si>
    <t>66:06:1001002:1087</t>
  </si>
  <si>
    <t>66:11:5201002:245</t>
  </si>
  <si>
    <t>66:16:1901001:1108</t>
  </si>
  <si>
    <t>66:21:0101071:1500</t>
  </si>
  <si>
    <t>66:25:2724001:210</t>
  </si>
  <si>
    <t>66:32:1001007:451</t>
  </si>
  <si>
    <t>66:36:1301004:368</t>
  </si>
  <si>
    <t>66:41:0309012:1190</t>
  </si>
  <si>
    <t>66:42:0102001:4591</t>
  </si>
  <si>
    <t>66:56:0208006:17924</t>
  </si>
  <si>
    <t>66:58:0301001:614</t>
  </si>
  <si>
    <t>66:59:0103003:385</t>
  </si>
  <si>
    <t>66:06:0501003:996</t>
  </si>
  <si>
    <t>66:19:1101006:2272</t>
  </si>
  <si>
    <t>66:25:3401006:242</t>
  </si>
  <si>
    <t>66:35:0221001:8281</t>
  </si>
  <si>
    <t>66:41:0306121:192</t>
  </si>
  <si>
    <t>66:41:0513054:1253</t>
  </si>
  <si>
    <t>66:56:0106011:458</t>
  </si>
  <si>
    <t>66:66:0101020:1847</t>
  </si>
  <si>
    <t>66:52:0106002:595</t>
  </si>
  <si>
    <t>66:52:0107003:534</t>
  </si>
  <si>
    <t>66:58:0701008:1039</t>
  </si>
  <si>
    <t>66:19:1901009:2211</t>
  </si>
  <si>
    <t>66:25:2721002:4537</t>
  </si>
  <si>
    <t>66:36:0111083:155</t>
  </si>
  <si>
    <t>66:41:0306092:271</t>
  </si>
  <si>
    <t>66:41:0513005:731</t>
  </si>
  <si>
    <t>66:45:0100407:6012</t>
  </si>
  <si>
    <t>66:58:0116001:10216</t>
  </si>
  <si>
    <t>66:67:0101031:1733</t>
  </si>
  <si>
    <t>66:10:1501002:1089</t>
  </si>
  <si>
    <t>66:24:1901001:408</t>
  </si>
  <si>
    <t>66:30:1201119:496</t>
  </si>
  <si>
    <t>66:41:0106046:217</t>
  </si>
  <si>
    <t>66:41:0513032:5642</t>
  </si>
  <si>
    <t>66:52:0107005:1513</t>
  </si>
  <si>
    <t>66:59:0101024:869</t>
  </si>
  <si>
    <t>66:62:0504002:293</t>
  </si>
  <si>
    <t>66:01:4101002:1272</t>
  </si>
  <si>
    <t>66:11:0109003:897</t>
  </si>
  <si>
    <t>66:21:0101017:502</t>
  </si>
  <si>
    <t>66:35:0207019:799</t>
  </si>
  <si>
    <t>66:41:0502021:156</t>
  </si>
  <si>
    <t>66:53:0301001:1818</t>
  </si>
  <si>
    <t>66:58:1801001:713</t>
  </si>
  <si>
    <t>66:61:0226003:1729</t>
  </si>
  <si>
    <t>66:31:0000000:1128</t>
  </si>
  <si>
    <t>66:52:0104010:636</t>
  </si>
  <si>
    <t>66:02:2401002:221</t>
  </si>
  <si>
    <t>66:14:4701001:608</t>
  </si>
  <si>
    <t>66:41:0310040:442</t>
  </si>
  <si>
    <t>66:45:0200167:1805</t>
  </si>
  <si>
    <t>66:07:1901002:1485</t>
  </si>
  <si>
    <t>66:35:0203002:1581</t>
  </si>
  <si>
    <t>66:44:0101025:338</t>
  </si>
  <si>
    <t>66:51:0401016:341</t>
  </si>
  <si>
    <t>66:66:0101020:1844</t>
  </si>
  <si>
    <t>66:15:1501029:1667</t>
  </si>
  <si>
    <t>66:25:1405002:1039</t>
  </si>
  <si>
    <t>66:35:0221001:8261</t>
  </si>
  <si>
    <t>66:24:0801003:470</t>
  </si>
  <si>
    <t>66:52:0102001:554</t>
  </si>
  <si>
    <t>66:15:0601002:677</t>
  </si>
  <si>
    <t>66:25:1405001:2754</t>
  </si>
  <si>
    <t>66:42:0701005:707</t>
  </si>
  <si>
    <t>66:59:0216001:5013</t>
  </si>
  <si>
    <t>66:41:0308023:195</t>
  </si>
  <si>
    <t>66:58:1101007:837</t>
  </si>
  <si>
    <t>66:41:0509061:2008</t>
  </si>
  <si>
    <t>66:03:0000000:4993</t>
  </si>
  <si>
    <t>66:15:1001001:402</t>
  </si>
  <si>
    <t>66:35:0109008:1221</t>
  </si>
  <si>
    <t>66:41:0610006:187</t>
  </si>
  <si>
    <t>66:58:2803002:264</t>
  </si>
  <si>
    <t>66:06:4501018:9924</t>
  </si>
  <si>
    <t>66:21:1301013:389</t>
  </si>
  <si>
    <t>66:56:0000000:13553</t>
  </si>
  <si>
    <t>66:52:0107004:619</t>
  </si>
  <si>
    <t>66:52:0108001:422</t>
  </si>
  <si>
    <t>66:52:0107001:670</t>
  </si>
  <si>
    <t>66:40:0101035:233</t>
  </si>
  <si>
    <t>66:49:0502019:2936</t>
  </si>
  <si>
    <t>66:06:1701003:735</t>
  </si>
  <si>
    <t>66:27:1101032:477</t>
  </si>
  <si>
    <t>66:41:0513041:1555</t>
  </si>
  <si>
    <t>66:12:6401001:484</t>
  </si>
  <si>
    <t>66:37:0201004:2525</t>
  </si>
  <si>
    <t>66:03:0701001:346</t>
  </si>
  <si>
    <t>66:11:6904001:606</t>
  </si>
  <si>
    <t>66:25:0501017:197</t>
  </si>
  <si>
    <t>66:61:0213003:4041</t>
  </si>
  <si>
    <t>Шлакобетонные, Металлические</t>
  </si>
  <si>
    <t>61001008000, 61001009000</t>
  </si>
  <si>
    <t>66:25:1405002:917</t>
  </si>
  <si>
    <t>66:35:0203002:1587</t>
  </si>
  <si>
    <t>66:41:0402027:6249</t>
  </si>
  <si>
    <t>66:45:0100147:138</t>
  </si>
  <si>
    <t>66:25:1901003:763</t>
  </si>
  <si>
    <t>66:28:2901045:1202</t>
  </si>
  <si>
    <t>66:36:0102012:262</t>
  </si>
  <si>
    <t>66:41:0000000:197500</t>
  </si>
  <si>
    <t>66:56:0203001:9967</t>
  </si>
  <si>
    <t>66:61:0208001:720</t>
  </si>
  <si>
    <t>66:41:0505019:612</t>
  </si>
  <si>
    <t>66:41:0610030:475</t>
  </si>
  <si>
    <t>66:52:0101001:2216</t>
  </si>
  <si>
    <t>66:01:5501001:1154</t>
  </si>
  <si>
    <t>66:08:0805028:1105</t>
  </si>
  <si>
    <t>66:19:0000000:20052</t>
  </si>
  <si>
    <t>66:22:1910011:162</t>
  </si>
  <si>
    <t>66:50:0000000:5084</t>
  </si>
  <si>
    <t>66:06:0901002:372</t>
  </si>
  <si>
    <t>66:50:0000000:5258</t>
  </si>
  <si>
    <t>66:11:4301002:1187</t>
  </si>
  <si>
    <t>66:21:0101077:1517</t>
  </si>
  <si>
    <t>66:28:2801020:804</t>
  </si>
  <si>
    <t>66:35:0105002:4545</t>
  </si>
  <si>
    <t>66:41:0111004:347</t>
  </si>
  <si>
    <t>66:59:0101028:171</t>
  </si>
  <si>
    <t>66:32:0401015:293</t>
  </si>
  <si>
    <t>66:52:0107003:535</t>
  </si>
  <si>
    <t>66:36:1301010:180</t>
  </si>
  <si>
    <t>66:52:0107002:897</t>
  </si>
  <si>
    <t>66:50:0000000:4801</t>
  </si>
  <si>
    <t>66:19:0000000:7876</t>
  </si>
  <si>
    <t>66:22:1904032:92</t>
  </si>
  <si>
    <t>66:52:0106012:229</t>
  </si>
  <si>
    <t>66:19:0000000:7877</t>
  </si>
  <si>
    <t>66:06:2001002:82</t>
  </si>
  <si>
    <t>66:50:0000000:5031</t>
  </si>
  <si>
    <t>66:50:0000000:5167</t>
  </si>
  <si>
    <t>66:29:0000000:5636</t>
  </si>
  <si>
    <t>66:04:0901001:352</t>
  </si>
  <si>
    <t>66:14:3701001:723</t>
  </si>
  <si>
    <t>66:25:1307001:2570</t>
  </si>
  <si>
    <t>66:31:2201002:1939</t>
  </si>
  <si>
    <t>66:41:0614066:4364</t>
  </si>
  <si>
    <t>66:58:0116002:11356</t>
  </si>
  <si>
    <t>66:67:0101001:317</t>
  </si>
  <si>
    <t>66:17:0803003:1643</t>
  </si>
  <si>
    <t>66:62:0107011:1433</t>
  </si>
  <si>
    <t>Железобетонные, Кирпичные</t>
  </si>
  <si>
    <t>66:25:1307004:959</t>
  </si>
  <si>
    <t>66:45:0200015:611</t>
  </si>
  <si>
    <t>66:41:0000000:196958</t>
  </si>
  <si>
    <t>66:11:0105005:181</t>
  </si>
  <si>
    <t>66:25:2721002:4531</t>
  </si>
  <si>
    <t>66:41:0513032:5602</t>
  </si>
  <si>
    <t>66:45:0200059:580</t>
  </si>
  <si>
    <t>66:42:0000000:1259</t>
  </si>
  <si>
    <t>66:52:0108001:217</t>
  </si>
  <si>
    <t>66:52:0107004:617</t>
  </si>
  <si>
    <t>66:52:0107006:494</t>
  </si>
  <si>
    <t>66:25:1501003:713</t>
  </si>
  <si>
    <t>Каркасно-панельные</t>
  </si>
  <si>
    <t>61001007002</t>
  </si>
  <si>
    <t>66:34:0502039:3156</t>
  </si>
  <si>
    <t>66:41:0309012:1168</t>
  </si>
  <si>
    <t>66:41:0513041:1484</t>
  </si>
  <si>
    <t>66:45:0200167:1821</t>
  </si>
  <si>
    <t>66:59:0216001:4724</t>
  </si>
  <si>
    <t>66:63:0101054:2372</t>
  </si>
  <si>
    <t>66:03:1601007:791</t>
  </si>
  <si>
    <t>66:06:4501021:12196</t>
  </si>
  <si>
    <t>66:15:3001004:735</t>
  </si>
  <si>
    <t>66:28:2901010:1754</t>
  </si>
  <si>
    <t>66:35:0207005:673</t>
  </si>
  <si>
    <t>66:41:0208007:1192</t>
  </si>
  <si>
    <t>66:41:0314014:322</t>
  </si>
  <si>
    <t>66:45:0100202:153</t>
  </si>
  <si>
    <t>66:49:0501005:292</t>
  </si>
  <si>
    <t>66:50:0510017:1035</t>
  </si>
  <si>
    <t>66:59:0215001:578</t>
  </si>
  <si>
    <t>66:66:0101025:1221</t>
  </si>
  <si>
    <t>66:11:4301003:2058</t>
  </si>
  <si>
    <t>66:25:1405001:2581</t>
  </si>
  <si>
    <t>66:25:2901011:1045</t>
  </si>
  <si>
    <t>66:41:0208007:1193</t>
  </si>
  <si>
    <t>66:36:0103014:85</t>
  </si>
  <si>
    <t>Монолитные</t>
  </si>
  <si>
    <t>61001007003</t>
  </si>
  <si>
    <t>66:72:0101007:656</t>
  </si>
  <si>
    <t>66:52:0108001:380</t>
  </si>
  <si>
    <t>66:16:0000000:1920</t>
  </si>
  <si>
    <t>66:19:1907004:1037</t>
  </si>
  <si>
    <t>66:36:0111032:212</t>
  </si>
  <si>
    <t>66:42:0201003:2866</t>
  </si>
  <si>
    <t>66:35:0105021:742</t>
  </si>
  <si>
    <t>66:55:0303007:1769</t>
  </si>
  <si>
    <t>66:25:2721002:4533</t>
  </si>
  <si>
    <t>66:25:1325007:173</t>
  </si>
  <si>
    <t>66:46:0103003:2268</t>
  </si>
  <si>
    <t>66:21:1701001:813</t>
  </si>
  <si>
    <t>66:41:0513005:734</t>
  </si>
  <si>
    <t>66:54:0116006:1897</t>
  </si>
  <si>
    <t>66:63:0000000:7443</t>
  </si>
  <si>
    <t>66:45:0200255:1976</t>
  </si>
  <si>
    <t>66:49:0502021:919</t>
  </si>
  <si>
    <t>66:06:4501001:4361</t>
  </si>
  <si>
    <t>66:34:0301001:402</t>
  </si>
  <si>
    <t>66:54:0110007:207</t>
  </si>
  <si>
    <t>66:45:0100144:376</t>
  </si>
  <si>
    <t>66:25:1701003:852</t>
  </si>
  <si>
    <t>66:58:0801002:961</t>
  </si>
  <si>
    <t>66:50:0523017:108</t>
  </si>
  <si>
    <t>66:36:1301015:238</t>
  </si>
  <si>
    <t>66:36:1301005:333</t>
  </si>
  <si>
    <t>66:50:0000000:6835</t>
  </si>
  <si>
    <t>66:50:0000000:6883</t>
  </si>
  <si>
    <t>66:35:0105009:734</t>
  </si>
  <si>
    <t>66:01:2301011:6637</t>
  </si>
  <si>
    <t>66:06:4501018:9502</t>
  </si>
  <si>
    <t>66:11:6904018:343</t>
  </si>
  <si>
    <t>66:19:1901009:2210</t>
  </si>
  <si>
    <t>66:23:1201001:669</t>
  </si>
  <si>
    <t>66:27:1101017:275</t>
  </si>
  <si>
    <t>66:33:0101010:1668</t>
  </si>
  <si>
    <t>66:40:0101016:868</t>
  </si>
  <si>
    <t>66:41:0504073:268</t>
  </si>
  <si>
    <t>66:45:0100258:216</t>
  </si>
  <si>
    <t>66:56:0402006:1552</t>
  </si>
  <si>
    <t>66:58:2802006:248</t>
  </si>
  <si>
    <t>66:59:0216001:5028</t>
  </si>
  <si>
    <t>66:06:1701063:603</t>
  </si>
  <si>
    <t>66:22:1901009:168</t>
  </si>
  <si>
    <t>66:28:2901045:1199</t>
  </si>
  <si>
    <t>66:36:2001014:556</t>
  </si>
  <si>
    <t>66:41:0309012:1193</t>
  </si>
  <si>
    <t>66:44:0102006:4158</t>
  </si>
  <si>
    <t>66:56:0404001:3370</t>
  </si>
  <si>
    <t>66:01:5601001:1274</t>
  </si>
  <si>
    <t>66:07:1002013:197</t>
  </si>
  <si>
    <t>66:07:2001001:570</t>
  </si>
  <si>
    <t>66:31:0000000:1178</t>
  </si>
  <si>
    <t>66:06:4501020:9542</t>
  </si>
  <si>
    <t>66:21:0101069:603</t>
  </si>
  <si>
    <t>66:28:2801028:725</t>
  </si>
  <si>
    <t>66:36:0701013:364</t>
  </si>
  <si>
    <t>66:41:0309012:1194</t>
  </si>
  <si>
    <t>66:41:0513032:5640</t>
  </si>
  <si>
    <t>66:48:0304008:642</t>
  </si>
  <si>
    <t>66:58:1301002:1633</t>
  </si>
  <si>
    <t>66:01:5601001:1275</t>
  </si>
  <si>
    <t>66:15:2701001:760</t>
  </si>
  <si>
    <t>66:25:1002003:846</t>
  </si>
  <si>
    <t>66:33:0101007:2232</t>
  </si>
  <si>
    <t>66:41:0306093:588</t>
  </si>
  <si>
    <t>66:41:0513045:811</t>
  </si>
  <si>
    <t>66:56:0111021:3180</t>
  </si>
  <si>
    <t>66:59:0216001:4949</t>
  </si>
  <si>
    <t>66:11:2601001:699</t>
  </si>
  <si>
    <t>66:06:1701063:600</t>
  </si>
  <si>
    <t>66:11:0201001:485</t>
  </si>
  <si>
    <t>66:30:1201119:498</t>
  </si>
  <si>
    <t>66:36:0101001:3541</t>
  </si>
  <si>
    <t>66:42:0401001:1818</t>
  </si>
  <si>
    <t>66:53:0306009:1170</t>
  </si>
  <si>
    <t>66:59:0206003:2184</t>
  </si>
  <si>
    <t>66:50:0505001:1947</t>
  </si>
  <si>
    <t>66:02:1801003:143</t>
  </si>
  <si>
    <t>66:36:1301003:162</t>
  </si>
  <si>
    <t>66:06:1701061:91</t>
  </si>
  <si>
    <t>66:21:0101010:541</t>
  </si>
  <si>
    <t>66:41:0507090:375</t>
  </si>
  <si>
    <t>66:63:0101022:2169</t>
  </si>
  <si>
    <t>66:15:1501008:1044</t>
  </si>
  <si>
    <t>66:41:0210087:158</t>
  </si>
  <si>
    <t>66:45:0200344:428</t>
  </si>
  <si>
    <t>66:54:0116012:753</t>
  </si>
  <si>
    <t>66:06:4301011:828</t>
  </si>
  <si>
    <t>66:18:0000000:2159</t>
  </si>
  <si>
    <t>66:32:0401033:394</t>
  </si>
  <si>
    <t>66:39:0302006:332</t>
  </si>
  <si>
    <t>66:41:0614022:1535</t>
  </si>
  <si>
    <t>66:06:1701060:365</t>
  </si>
  <si>
    <t>66:19:1907004:1036</t>
  </si>
  <si>
    <t>66:35:0111003:2441</t>
  </si>
  <si>
    <t>66:45:0200350:1024</t>
  </si>
  <si>
    <t>66:07:2801001:2076</t>
  </si>
  <si>
    <t>66:41:0513005:727</t>
  </si>
  <si>
    <t>66:58:2902042:252</t>
  </si>
  <si>
    <t>66:56:0205004:689</t>
  </si>
  <si>
    <t>66:06:1701061:865</t>
  </si>
  <si>
    <t>66:19:2701002:547</t>
  </si>
  <si>
    <t>66:41:0307042:160</t>
  </si>
  <si>
    <t>66:44:0102006:4156</t>
  </si>
  <si>
    <t>66:63:0101054:2370</t>
  </si>
  <si>
    <t>66:08:0805032:1345</t>
  </si>
  <si>
    <t>66:25:0901001:877</t>
  </si>
  <si>
    <t>66:59:0210002:906</t>
  </si>
  <si>
    <t>66:52:0107004:630</t>
  </si>
  <si>
    <t>66:52:0108001:398</t>
  </si>
  <si>
    <t>66:14:1801011:61</t>
  </si>
  <si>
    <t>66:41:0511014:188</t>
  </si>
  <si>
    <t>66:52:0106005:1021</t>
  </si>
  <si>
    <t>66:15:1501011:756</t>
  </si>
  <si>
    <t>66:31:2201002:1942</t>
  </si>
  <si>
    <t>66:47:0402019:647</t>
  </si>
  <si>
    <t>66:24:2001003:1605</t>
  </si>
  <si>
    <t>66:41:0303013:145</t>
  </si>
  <si>
    <t>66:41:0513040:2397</t>
  </si>
  <si>
    <t>66:15:3101003:270</t>
  </si>
  <si>
    <t>66:56:0208008:9043</t>
  </si>
  <si>
    <t>66:63:0101029:454</t>
  </si>
  <si>
    <t>66:25:2721002:4283</t>
  </si>
  <si>
    <t>66:36:0106002:754</t>
  </si>
  <si>
    <t>66:41:0507090:377</t>
  </si>
  <si>
    <t>66:48:0000000:3912</t>
  </si>
  <si>
    <t>66:25:2601011:192</t>
  </si>
  <si>
    <t>66:30:1201126:242</t>
  </si>
  <si>
    <t>66:36:0701004:336</t>
  </si>
  <si>
    <t>66:41:0105026:307</t>
  </si>
  <si>
    <t>66:57:0102062:2562</t>
  </si>
  <si>
    <t>66:41:0306091:618</t>
  </si>
  <si>
    <t>66:41:0511011:389</t>
  </si>
  <si>
    <t>66:42:0102001:4533</t>
  </si>
  <si>
    <t>66:52:0102001:557</t>
  </si>
  <si>
    <t>66:05:2001001:343</t>
  </si>
  <si>
    <t>66:11:0108004:1119</t>
  </si>
  <si>
    <t>66:20:1501004:363</t>
  </si>
  <si>
    <t>66:08:0805017:1521</t>
  </si>
  <si>
    <t>66:06:1701058:64</t>
  </si>
  <si>
    <t>66:50:0000000:5261</t>
  </si>
  <si>
    <t>66:12:6101001:978</t>
  </si>
  <si>
    <t>66:23:1001001:1619</t>
  </si>
  <si>
    <t>66:30:1201011:218</t>
  </si>
  <si>
    <t>66:35:0221001:8291</t>
  </si>
  <si>
    <t>Из прочих материалов, Из мелких бетонных блоков</t>
  </si>
  <si>
    <t>61001005000, 61001006002</t>
  </si>
  <si>
    <t>66:52:0108001:375</t>
  </si>
  <si>
    <t>66:52:0104018:654</t>
  </si>
  <si>
    <t>66:52:0106007:666</t>
  </si>
  <si>
    <t>66:52:0106012:233</t>
  </si>
  <si>
    <t>66:03:0801001:935</t>
  </si>
  <si>
    <t>66:02:1801001:276</t>
  </si>
  <si>
    <t>66:52:0104018:628</t>
  </si>
  <si>
    <t>66:58:1301001:1307</t>
  </si>
  <si>
    <t>66:03:0601002:99</t>
  </si>
  <si>
    <t>66:52:0107006:501</t>
  </si>
  <si>
    <t>66:03:3101002:405</t>
  </si>
  <si>
    <t>66:22:1901008:45</t>
  </si>
  <si>
    <t>66:50:0000000:5082</t>
  </si>
  <si>
    <t>66:52:0107006:530</t>
  </si>
  <si>
    <t>66:59:0201003:1776</t>
  </si>
  <si>
    <t>66:06:4501026:808</t>
  </si>
  <si>
    <t>66:24:2001003:1572</t>
  </si>
  <si>
    <t>66:25:1401002:1064</t>
  </si>
  <si>
    <t>66:41:0107095:395</t>
  </si>
  <si>
    <t>66:54:0108001:413</t>
  </si>
  <si>
    <t>66:58:2901009:180</t>
  </si>
  <si>
    <t>66:07:1002011:753</t>
  </si>
  <si>
    <t>66:49:0000000:3697</t>
  </si>
  <si>
    <t>66:12:3001001:407</t>
  </si>
  <si>
    <t>66:36:0701019:321</t>
  </si>
  <si>
    <t>66:72:0301009:296</t>
  </si>
  <si>
    <t>66:05:2601001:1438</t>
  </si>
  <si>
    <t>66:19:2301001:756</t>
  </si>
  <si>
    <t>66:33:0101007:2233</t>
  </si>
  <si>
    <t>66:42:0102001:4571</t>
  </si>
  <si>
    <t>66:56:0106001:733</t>
  </si>
  <si>
    <t>66:01:3601001:403</t>
  </si>
  <si>
    <t>66:28:2901011:557</t>
  </si>
  <si>
    <t>66:52:0107004:661</t>
  </si>
  <si>
    <t>66:52:0107006:474</t>
  </si>
  <si>
    <t>66:60:0904016:413</t>
  </si>
  <si>
    <t>66:28:2901010:1747</t>
  </si>
  <si>
    <t>66:35:0221001:8280</t>
  </si>
  <si>
    <t>66:41:0310012:241</t>
  </si>
  <si>
    <t>66:44:0101020:507</t>
  </si>
  <si>
    <t>66:57:0101015:6056</t>
  </si>
  <si>
    <t>66:63:0101022:2147</t>
  </si>
  <si>
    <t>66:63:1602020:406</t>
  </si>
  <si>
    <t>66:06:4501018:9932</t>
  </si>
  <si>
    <t>66:12:5101003:1132</t>
  </si>
  <si>
    <t>66:22:1913010:628</t>
  </si>
  <si>
    <t>66:35:0101027:922</t>
  </si>
  <si>
    <t>66:41:0000000:197552</t>
  </si>
  <si>
    <t>66:41:0309012:1148</t>
  </si>
  <si>
    <t>66:41:0606079:564</t>
  </si>
  <si>
    <t>66:48:0000000:3922</t>
  </si>
  <si>
    <t>66:50:0000000:6894</t>
  </si>
  <si>
    <t>66:54:0105002:1135</t>
  </si>
  <si>
    <t>66:60:0904028:1131</t>
  </si>
  <si>
    <t>66:06:0501002:1070</t>
  </si>
  <si>
    <t>66:25:0106001:920</t>
  </si>
  <si>
    <t>66:25:2721002:4262</t>
  </si>
  <si>
    <t>66:36:0701013:358</t>
  </si>
  <si>
    <t>66:41:0309012:1187</t>
  </si>
  <si>
    <t>66:03:3101002:406</t>
  </si>
  <si>
    <t>66:06:4501020:2665</t>
  </si>
  <si>
    <t>66:65:0401001:228</t>
  </si>
  <si>
    <t>66:31:0000000:1194</t>
  </si>
  <si>
    <t>66:25:1307004:994</t>
  </si>
  <si>
    <t>66:41:0511007:338</t>
  </si>
  <si>
    <t>66:19:1903009:493</t>
  </si>
  <si>
    <t>66:54:0102005:974</t>
  </si>
  <si>
    <t>66:56:0103005:698</t>
  </si>
  <si>
    <t>66:06:4501018:9953</t>
  </si>
  <si>
    <t>66:56:0000000:31429</t>
  </si>
  <si>
    <t>66:06:4501018:9955</t>
  </si>
  <si>
    <t>66:34:0501021:1248</t>
  </si>
  <si>
    <t>66:48:0402008:761</t>
  </si>
  <si>
    <t>66:56:0109008:265</t>
  </si>
  <si>
    <t>66:35:0221001:8316</t>
  </si>
  <si>
    <t>66:21:0101065:1975</t>
  </si>
  <si>
    <t>66:63:0000000:7416</t>
  </si>
  <si>
    <t>66:25:1405001:2772</t>
  </si>
  <si>
    <t>66:53:0000000:4674</t>
  </si>
  <si>
    <t>66:59:0201002:2258</t>
  </si>
  <si>
    <t>66:11:3701001:760</t>
  </si>
  <si>
    <t>66:41:0513005:737</t>
  </si>
  <si>
    <t>66:52:0106011:170</t>
  </si>
  <si>
    <t>66:52:0108001:389</t>
  </si>
  <si>
    <t>66:22:1601003:356</t>
  </si>
  <si>
    <t>66:41:0516003:280</t>
  </si>
  <si>
    <t>66:50:0000000:6856</t>
  </si>
  <si>
    <t>66:66:0101026:231</t>
  </si>
  <si>
    <t>66:42:0102004:737</t>
  </si>
  <si>
    <t>66:06:0401004:1580</t>
  </si>
  <si>
    <t>66:09:0401001:1132</t>
  </si>
  <si>
    <t>66:14:4401001:1557</t>
  </si>
  <si>
    <t>66:21:0101010:542</t>
  </si>
  <si>
    <t>66:25:1405002:1043</t>
  </si>
  <si>
    <t>66:29:0501001:326</t>
  </si>
  <si>
    <t>66:36:0101001:3345</t>
  </si>
  <si>
    <t>Бетонные, Монолитные</t>
  </si>
  <si>
    <t>61001006000, 61001007003</t>
  </si>
  <si>
    <t>66:41:0306088:1013</t>
  </si>
  <si>
    <t>66:41:0610027:790</t>
  </si>
  <si>
    <t>66:56:0204001:593</t>
  </si>
  <si>
    <t>66:58:0104001:1079</t>
  </si>
  <si>
    <t>66:59:0101023:1896</t>
  </si>
  <si>
    <t>66:02:2301004:739</t>
  </si>
  <si>
    <t>66:15:2905001:502</t>
  </si>
  <si>
    <t>66:25:1405002:1047</t>
  </si>
  <si>
    <t>66:35:0105015:1410</t>
  </si>
  <si>
    <t>66:41:0208007:1194</t>
  </si>
  <si>
    <t>66:41:0513032:5637</t>
  </si>
  <si>
    <t>66:48:0317001:2405</t>
  </si>
  <si>
    <t>66:60:0000000:7553</t>
  </si>
  <si>
    <t>66:48:0317001:1961</t>
  </si>
  <si>
    <t>66:52:0104019:333</t>
  </si>
  <si>
    <t>66:52:0107005:709</t>
  </si>
  <si>
    <t>66:15:1801003:1378</t>
  </si>
  <si>
    <t>66:25:1601001:1191</t>
  </si>
  <si>
    <t>66:36:0103005:556</t>
  </si>
  <si>
    <t>66:41:0106050:265</t>
  </si>
  <si>
    <t>66:41:0313029:344</t>
  </si>
  <si>
    <t>66:41:0710033:301</t>
  </si>
  <si>
    <t>66:56:0404001:3430</t>
  </si>
  <si>
    <t>66:59:0216001:5001</t>
  </si>
  <si>
    <t>66:07:1002002:842</t>
  </si>
  <si>
    <t>66:19:2201006:908</t>
  </si>
  <si>
    <t>66:28:2901039:402</t>
  </si>
  <si>
    <t>66:40:0101006:433</t>
  </si>
  <si>
    <t>66:41:0513005:732</t>
  </si>
  <si>
    <t>66:48:0000000:3945</t>
  </si>
  <si>
    <t>66:59:0101005:1694</t>
  </si>
  <si>
    <t>66:61:0211002:818</t>
  </si>
  <si>
    <t>66:41:0309064:618</t>
  </si>
  <si>
    <t>66:08:0802009:1442</t>
  </si>
  <si>
    <t>66:19:1909001:2466</t>
  </si>
  <si>
    <t>66:35:0105017:965</t>
  </si>
  <si>
    <t>66:41:0206004:1402</t>
  </si>
  <si>
    <t>66:53:0301001:1815</t>
  </si>
  <si>
    <t>66:56:0401009:1802</t>
  </si>
  <si>
    <t>66:60:0901010:507</t>
  </si>
  <si>
    <t>66:06:4501018:9928</t>
  </si>
  <si>
    <t>66:03:0000000:1394</t>
  </si>
  <si>
    <t>66:52:0106008:737</t>
  </si>
  <si>
    <t>66:50:0000000:5253</t>
  </si>
  <si>
    <t>66:63:1401001:679</t>
  </si>
  <si>
    <t>66:41:0210087:157</t>
  </si>
  <si>
    <t>66:45:0100409:840</t>
  </si>
  <si>
    <t>66:07:1407003:455</t>
  </si>
  <si>
    <t>66:25:4501001:296</t>
  </si>
  <si>
    <t>66:42:0101021:217</t>
  </si>
  <si>
    <t>66:47:0000000:2929</t>
  </si>
  <si>
    <t>66:59:0209003:857</t>
  </si>
  <si>
    <t>66:13:0301001:891</t>
  </si>
  <si>
    <t>Кирпичные, Деревянные, Из прочих материалов</t>
  </si>
  <si>
    <t>61001001001, 61001002000, 61001005000</t>
  </si>
  <si>
    <t>66:21:0101079:3024</t>
  </si>
  <si>
    <t>66:35:0106006:283</t>
  </si>
  <si>
    <t>66:11:0108004:1115</t>
  </si>
  <si>
    <t>66:13:0301001:892</t>
  </si>
  <si>
    <t>66:08:0802012:552</t>
  </si>
  <si>
    <t>66:25:1201009:457</t>
  </si>
  <si>
    <t>66:41:0309093:236</t>
  </si>
  <si>
    <t>66:56:0601008:3190</t>
  </si>
  <si>
    <t>66:35:0221001:8265</t>
  </si>
  <si>
    <t>66:58:0110001:689</t>
  </si>
  <si>
    <t>66:36:1301016:251</t>
  </si>
  <si>
    <t>66:35:0201016:412</t>
  </si>
  <si>
    <t>66:08:0802006:683</t>
  </si>
  <si>
    <t>66:26:0201002:223</t>
  </si>
  <si>
    <t>66:41:0509064:1016</t>
  </si>
  <si>
    <t>66:56:0208008:9042</t>
  </si>
  <si>
    <t>66:06:0601001:823</t>
  </si>
  <si>
    <t>66:21:0101073:881</t>
  </si>
  <si>
    <t>66:35:0221001:8266</t>
  </si>
  <si>
    <t>66:03:3101001:532</t>
  </si>
  <si>
    <t>66:52:0106011:140</t>
  </si>
  <si>
    <t>66:52:0106012:244</t>
  </si>
  <si>
    <t>66:52:0106011:139</t>
  </si>
  <si>
    <t>66:42:0102001:4521</t>
  </si>
  <si>
    <t>66:62:0107011:1436</t>
  </si>
  <si>
    <t>66:25:2721002:4651</t>
  </si>
  <si>
    <t>66:41:0306121:198</t>
  </si>
  <si>
    <t>66:12:8701002:665</t>
  </si>
  <si>
    <t>66:35:0105011:6414</t>
  </si>
  <si>
    <t>66:67:0101017:823</t>
  </si>
  <si>
    <t>66:35:0222001:1192</t>
  </si>
  <si>
    <t>66:25:0000000:15127</t>
  </si>
  <si>
    <t>66:59:0216001:4847</t>
  </si>
  <si>
    <t>66:25:1325003:2215</t>
  </si>
  <si>
    <t>66:32:0404013:392</t>
  </si>
  <si>
    <t>66:41:0310051:921</t>
  </si>
  <si>
    <t>66:41:0706001:2427</t>
  </si>
  <si>
    <t>66:25:1401002:1070</t>
  </si>
  <si>
    <t>66:25:2901025:1565</t>
  </si>
  <si>
    <t>66:35:0105011:6399</t>
  </si>
  <si>
    <t>66:37:0202003:259</t>
  </si>
  <si>
    <t>66:56:0112006:544</t>
  </si>
  <si>
    <t>66:60:0901005:1516</t>
  </si>
  <si>
    <t>66:41:0313010:23168</t>
  </si>
  <si>
    <t>66:41:0521006:248</t>
  </si>
  <si>
    <t>66:48:0000000:3944</t>
  </si>
  <si>
    <t>66:01:0901001:1197</t>
  </si>
  <si>
    <t>66:06:4504020:416</t>
  </si>
  <si>
    <t>66:14:0000000:3526</t>
  </si>
  <si>
    <t>66:21:0101079:3027</t>
  </si>
  <si>
    <t>66:07:1801003:595</t>
  </si>
  <si>
    <t>66:06:0801002:210</t>
  </si>
  <si>
    <t>66:27:1102047:307</t>
  </si>
  <si>
    <t>66:52:0107002:902</t>
  </si>
  <si>
    <t>66:19:1101003:2130</t>
  </si>
  <si>
    <t>66:41:0612049:41</t>
  </si>
  <si>
    <t>66:52:0104018:629</t>
  </si>
  <si>
    <t>66:52:0107005:720</t>
  </si>
  <si>
    <t>66:52:0106012:255</t>
  </si>
  <si>
    <t>66:02:1701001:1222</t>
  </si>
  <si>
    <t>66:35:0104015:968</t>
  </si>
  <si>
    <t>66:07:1001015:108</t>
  </si>
  <si>
    <t>66:52:0107003:326</t>
  </si>
  <si>
    <t>66:06:1701042:678</t>
  </si>
  <si>
    <t>66:07:1901001:674</t>
  </si>
  <si>
    <t>66:62:0301001:1023</t>
  </si>
  <si>
    <t>66:50:0000000:5122</t>
  </si>
  <si>
    <t>66:13:2301002:422</t>
  </si>
  <si>
    <t>66:02:1703018:528</t>
  </si>
  <si>
    <t>66:08:0802001:259</t>
  </si>
  <si>
    <t>66:25:0202002:621</t>
  </si>
  <si>
    <t>66:25:2721002:4308</t>
  </si>
  <si>
    <t>66:41:0307045:425</t>
  </si>
  <si>
    <t>66:55:0303008:586</t>
  </si>
  <si>
    <t>66:59:0217004:843</t>
  </si>
  <si>
    <t>66:12:7101002:438</t>
  </si>
  <si>
    <t>66:58:0118005:218</t>
  </si>
  <si>
    <t>66:21:0101010:539</t>
  </si>
  <si>
    <t>66:45:0100305:469</t>
  </si>
  <si>
    <t>66:06:4501021:12002</t>
  </si>
  <si>
    <t>66:06:4501021:12180</t>
  </si>
  <si>
    <t>66:22:1917001:286</t>
  </si>
  <si>
    <t>66:35:0215002:672</t>
  </si>
  <si>
    <t>66:45:0100350:257</t>
  </si>
  <si>
    <t>66:22:1301001:685</t>
  </si>
  <si>
    <t>66:07:3001002:461</t>
  </si>
  <si>
    <t>66:52:0107004:607</t>
  </si>
  <si>
    <t>66:52:0107006:468</t>
  </si>
  <si>
    <t>66:04:0901001:215</t>
  </si>
  <si>
    <t>66:31:2001003:476</t>
  </si>
  <si>
    <t>66:39:0302011:1442</t>
  </si>
  <si>
    <t>66:41:0313010:24762</t>
  </si>
  <si>
    <t>66:45:0000000:24765</t>
  </si>
  <si>
    <t>66:58:0106001:12491</t>
  </si>
  <si>
    <t>66:63:0101022:2154</t>
  </si>
  <si>
    <t>66:25:0901001:878</t>
  </si>
  <si>
    <t>66:06:4501020:9635</t>
  </si>
  <si>
    <t>66:14:2701002:2407</t>
  </si>
  <si>
    <t>66:24:0804007:520</t>
  </si>
  <si>
    <t>66:35:0105003:1197</t>
  </si>
  <si>
    <t>66:41:0108080:168</t>
  </si>
  <si>
    <t>66:41:0309064:619</t>
  </si>
  <si>
    <t>66:41:0609015:129</t>
  </si>
  <si>
    <t>66:48:0302001:5225</t>
  </si>
  <si>
    <t>66:50:0510006:662</t>
  </si>
  <si>
    <t>66:55:0303029:258</t>
  </si>
  <si>
    <t>66:63:0101046:1221</t>
  </si>
  <si>
    <t>66:06:4501018:9935</t>
  </si>
  <si>
    <t>66:25:0401001:617</t>
  </si>
  <si>
    <t>66:25:2721002:4543</t>
  </si>
  <si>
    <t>66:41:0106064:459</t>
  </si>
  <si>
    <t>66:02:1703020:105</t>
  </si>
  <si>
    <t>66:06:3901003:255</t>
  </si>
  <si>
    <t>66:01:0000000:1259</t>
  </si>
  <si>
    <t>66:01:3601001:344</t>
  </si>
  <si>
    <t>66:02:2201002:813</t>
  </si>
  <si>
    <t>66:35:0104006:854</t>
  </si>
  <si>
    <t>66:41:0513032:5676</t>
  </si>
  <si>
    <t>66:25:0501001:216</t>
  </si>
  <si>
    <t>66:55:0303007:1737</t>
  </si>
  <si>
    <t>66:56:0401002:785</t>
  </si>
  <si>
    <t>66:06:4504001:2144</t>
  </si>
  <si>
    <t>66:56:0203002:567</t>
  </si>
  <si>
    <t>66:19:1901028:249</t>
  </si>
  <si>
    <t>66:41:0105031:1636</t>
  </si>
  <si>
    <t>66:54:0114007:332</t>
  </si>
  <si>
    <t>66:56:0201003:1263</t>
  </si>
  <si>
    <t>66:41:0513037:3890</t>
  </si>
  <si>
    <t>66:41:0303022:2422</t>
  </si>
  <si>
    <t>66:63:0000000:7430</t>
  </si>
  <si>
    <t>66:28:2801017:756</t>
  </si>
  <si>
    <t>66:53:0307009:4011</t>
  </si>
  <si>
    <t>66:62:0504001:1273</t>
  </si>
  <si>
    <t>66:15:1501003:1049</t>
  </si>
  <si>
    <t>66:55:0303013:1022</t>
  </si>
  <si>
    <t>66:52:0106012:226</t>
  </si>
  <si>
    <t>66:52:0107006:452</t>
  </si>
  <si>
    <t>66:66:0101022:161</t>
  </si>
  <si>
    <t>66:50:0000000:6829</t>
  </si>
  <si>
    <t>66:50:0000000:6862</t>
  </si>
  <si>
    <t>66:34:0502003:1410</t>
  </si>
  <si>
    <t>66:62:0504001:1264</t>
  </si>
  <si>
    <t>66:06:0701004:540</t>
  </si>
  <si>
    <t>66:11:5201001:606</t>
  </si>
  <si>
    <t>66:16:1201001:286</t>
  </si>
  <si>
    <t>66:21:0101064:659</t>
  </si>
  <si>
    <t>66:25:2401005:551</t>
  </si>
  <si>
    <t>66:31:2201002:1944</t>
  </si>
  <si>
    <t>66:36:0701013:359</t>
  </si>
  <si>
    <t>66:41:0309012:1189</t>
  </si>
  <si>
    <t>66:41:0614066:4387</t>
  </si>
  <si>
    <t>66:56:0204013:3151</t>
  </si>
  <si>
    <t>66:58:0116001:10215</t>
  </si>
  <si>
    <t>66:59:0102024:550</t>
  </si>
  <si>
    <t>66:06:0401004:1558</t>
  </si>
  <si>
    <t>66:18:0907002:763</t>
  </si>
  <si>
    <t>66:25:2901007:1298</t>
  </si>
  <si>
    <t>66:35:0221001:7902</t>
  </si>
  <si>
    <t>66:41:0306089:551</t>
  </si>
  <si>
    <t>66:41:0513041:1556</t>
  </si>
  <si>
    <t>66:55:0303058:142</t>
  </si>
  <si>
    <t>66:63:0101049:643</t>
  </si>
  <si>
    <t>66:52:0107004:663</t>
  </si>
  <si>
    <t>66:52:0104019:136</t>
  </si>
  <si>
    <t>66:04:0501003:143</t>
  </si>
  <si>
    <t>66:18:0907001:583</t>
  </si>
  <si>
    <t>66:25:2721002:4532</t>
  </si>
  <si>
    <t>66:36:0111083:154</t>
  </si>
  <si>
    <t>66:41:0208007:1195</t>
  </si>
  <si>
    <t>66:41:0509064:1020</t>
  </si>
  <si>
    <t>66:45:0100115:130</t>
  </si>
  <si>
    <t>66:58:0104001:1083</t>
  </si>
  <si>
    <t>66:61:0202003:1233</t>
  </si>
  <si>
    <t>66:08:0801006:1613</t>
  </si>
  <si>
    <t>66:21:0101061:387</t>
  </si>
  <si>
    <t>66:29:2401001:930</t>
  </si>
  <si>
    <t>66:41:0000000:197613</t>
  </si>
  <si>
    <t>66:41:0513032:5641</t>
  </si>
  <si>
    <t>66:50:0000000:6909</t>
  </si>
  <si>
    <t>66:59:0101024:868</t>
  </si>
  <si>
    <t>66:62:0504001:1271</t>
  </si>
  <si>
    <t>66:56:0207002:752</t>
  </si>
  <si>
    <t>66:08:0802010:1723</t>
  </si>
  <si>
    <t>66:19:3201001:749</t>
  </si>
  <si>
    <t>66:35:0204002:217</t>
  </si>
  <si>
    <t>66:41:0306105:166</t>
  </si>
  <si>
    <t>66:53:0301001:1817</t>
  </si>
  <si>
    <t>66:58:0113009:421</t>
  </si>
  <si>
    <t>66:61:0214002:324</t>
  </si>
  <si>
    <t>66:52:0107004:631</t>
  </si>
  <si>
    <t>66:52:0107006:478</t>
  </si>
  <si>
    <t>66:50:0000000:5255</t>
  </si>
  <si>
    <t>66:03:1601036:406</t>
  </si>
  <si>
    <t>66:41:0310028:197</t>
  </si>
  <si>
    <t>66:45:0200013:516</t>
  </si>
  <si>
    <t>66:07:1801001:1732</t>
  </si>
  <si>
    <t>66:35:0104013:1216</t>
  </si>
  <si>
    <t>66:42:0201003:2856</t>
  </si>
  <si>
    <t>66:47:0403005:222</t>
  </si>
  <si>
    <t>66:63:1401003:925</t>
  </si>
  <si>
    <t>66:15:1501029:1665</t>
  </si>
  <si>
    <t>Деревянные, Кирпичные</t>
  </si>
  <si>
    <t>66:25:0501016:170</t>
  </si>
  <si>
    <t>66:35:0207017:1091</t>
  </si>
  <si>
    <t>Кирпичные, Крупноблочные</t>
  </si>
  <si>
    <t>61001001001, 61001007004</t>
  </si>
  <si>
    <t>66:22:1905017:1272</t>
  </si>
  <si>
    <t>66:24:2601002:952</t>
  </si>
  <si>
    <t>66:11:5601001:267</t>
  </si>
  <si>
    <t>66:25:1405001:2696</t>
  </si>
  <si>
    <t>66:41:0513041:1553</t>
  </si>
  <si>
    <t>66:58:0110003:3610</t>
  </si>
  <si>
    <t>66:41:0106152:332</t>
  </si>
  <si>
    <t>66:58:0110003:3612</t>
  </si>
  <si>
    <t>66:41:0313084:151</t>
  </si>
  <si>
    <t>66:41:0513055:735</t>
  </si>
  <si>
    <t>66:12:5701001:653</t>
  </si>
  <si>
    <t>66:32:0406002:283</t>
  </si>
  <si>
    <t>66:41:0521048:159</t>
  </si>
  <si>
    <t>66:58:1901001:1205</t>
  </si>
  <si>
    <t>66:06:4501018:9923</t>
  </si>
  <si>
    <t>66:21:0101076:1947</t>
  </si>
  <si>
    <t>66:45:0200221:16</t>
  </si>
  <si>
    <t>66:52:0107006:496</t>
  </si>
  <si>
    <t>66:52:0107001:674</t>
  </si>
  <si>
    <t>66:37:0202026:288</t>
  </si>
  <si>
    <t>66:47:0701001:1150</t>
  </si>
  <si>
    <t>66:06:0901002:916</t>
  </si>
  <si>
    <t>66:27:1101032:476</t>
  </si>
  <si>
    <t>66:41:0509064:1018</t>
  </si>
  <si>
    <t>66:07:2901002:546</t>
  </si>
  <si>
    <t>66:35:0217003:235</t>
  </si>
  <si>
    <t>66:59:0209001:1552</t>
  </si>
  <si>
    <t>66:06:2601001:299</t>
  </si>
  <si>
    <t>66:25:0501017:196</t>
  </si>
  <si>
    <t>66:61:0213003:4040</t>
  </si>
  <si>
    <t>66:25:1401002:1069</t>
  </si>
  <si>
    <t>66:35:0203002:1586</t>
  </si>
  <si>
    <t>66:41:0313010:22624</t>
  </si>
  <si>
    <t>66:45:0100147:137</t>
  </si>
  <si>
    <t>66:25:1405001:2759</t>
  </si>
  <si>
    <t>66:28:2901042:387</t>
  </si>
  <si>
    <t>66:35:0221006:349</t>
  </si>
  <si>
    <t>66:40:0101021:504</t>
  </si>
  <si>
    <t>66:56:0113011:832</t>
  </si>
  <si>
    <t>66:61:0204001:263</t>
  </si>
  <si>
    <t>66:41:0504061:161</t>
  </si>
  <si>
    <t>66:41:0609011:858</t>
  </si>
  <si>
    <t>66:48:0304004:420</t>
  </si>
  <si>
    <t>66:01:1401001:783</t>
  </si>
  <si>
    <t>66:07:1002001:1772</t>
  </si>
  <si>
    <t>66:16:2601031:168</t>
  </si>
  <si>
    <t>66:22:0102001:339</t>
  </si>
  <si>
    <t>66:36:1301005:347</t>
  </si>
  <si>
    <t>66:06:0801007:48</t>
  </si>
  <si>
    <t>66:50:0000000:5257</t>
  </si>
  <si>
    <t>66:17:0201004:200</t>
  </si>
  <si>
    <t>66:21:0101076:1932</t>
  </si>
  <si>
    <t>66:25:4201006:1117</t>
  </si>
  <si>
    <t>66:35:0102004:296</t>
  </si>
  <si>
    <t>66:40:0101015:1247</t>
  </si>
  <si>
    <t>66:41:0521008:331</t>
  </si>
  <si>
    <t>66:52:0104019:400</t>
  </si>
  <si>
    <t>66:52:0107003:526</t>
  </si>
  <si>
    <t>66:52:0107006:479</t>
  </si>
  <si>
    <t>66:36:1301013:410</t>
  </si>
  <si>
    <t>66:36:3101009:629</t>
  </si>
  <si>
    <t>66:52:0107006:520</t>
  </si>
  <si>
    <t>66:41:0501901:477</t>
  </si>
  <si>
    <t>66:31:0000000:1159</t>
  </si>
  <si>
    <t>66:01:3601001:319</t>
  </si>
  <si>
    <t>66:08:0802002:102</t>
  </si>
  <si>
    <t>66:52:0108001:230</t>
  </si>
  <si>
    <t>66:50:0000000:5161</t>
  </si>
  <si>
    <t>66:25:1307001:2631</t>
  </si>
  <si>
    <t>66:03:1601051:491</t>
  </si>
  <si>
    <t>66:12:3801001:393</t>
  </si>
  <si>
    <t>66:25:0501020:543</t>
  </si>
  <si>
    <t>66:25:2721002:4561</t>
  </si>
  <si>
    <t>66:41:0519036:150</t>
  </si>
  <si>
    <t>66:56:0000000:31434</t>
  </si>
  <si>
    <t>66:63:0101054:2369</t>
  </si>
  <si>
    <t>66:15:1401002:1635</t>
  </si>
  <si>
    <t>66:58:1101001:1175</t>
  </si>
  <si>
    <t>66:25:0307002:289</t>
  </si>
  <si>
    <t>66:45:0100409:843</t>
  </si>
  <si>
    <t>66:33:0101009:4968</t>
  </si>
  <si>
    <t>66:07:2801001:2068</t>
  </si>
  <si>
    <t>66:25:1307004:958</t>
  </si>
  <si>
    <t>66:41:0310041:771</t>
  </si>
  <si>
    <t>66:45:0100409:844</t>
  </si>
  <si>
    <t>66:52:0106011:138</t>
  </si>
  <si>
    <t>66:03:0201001:186</t>
  </si>
  <si>
    <t>66:52:0107004:611</t>
  </si>
  <si>
    <t>66:52:0107006:472</t>
  </si>
  <si>
    <t>66:52:0107004:734</t>
  </si>
  <si>
    <t>66:34:0502027:4939</t>
  </si>
  <si>
    <t>66:41:0106152:334</t>
  </si>
  <si>
    <t>66:41:0511021:5837</t>
  </si>
  <si>
    <t>66:45:0200018:544</t>
  </si>
  <si>
    <t>66:58:1301003:274</t>
  </si>
  <si>
    <t>66:63:0101051:1006</t>
  </si>
  <si>
    <t>66:00:0000000:10797</t>
  </si>
  <si>
    <t>66:06:4501020:9637</t>
  </si>
  <si>
    <t>66:15:1501028:1011</t>
  </si>
  <si>
    <t>66:25:0106002:1430</t>
  </si>
  <si>
    <t>66:35:0108001:2821</t>
  </si>
  <si>
    <t>66:41:0203079:166</t>
  </si>
  <si>
    <t>66:41:0310029:148</t>
  </si>
  <si>
    <t>66:41:0711040:114</t>
  </si>
  <si>
    <t>66:48:0312002:333</t>
  </si>
  <si>
    <t>66:50:0510014:215</t>
  </si>
  <si>
    <t>66:58:0101002:421</t>
  </si>
  <si>
    <t>66:65:0501001:168</t>
  </si>
  <si>
    <t>66:06:4501021:11990</t>
  </si>
  <si>
    <t>66:25:1307008:250</t>
  </si>
  <si>
    <t>66:25:2801010:493</t>
  </si>
  <si>
    <t>66:41:0108091:564</t>
  </si>
  <si>
    <t>66:01:3601001:532</t>
  </si>
  <si>
    <t>66:06:4504005:190</t>
  </si>
  <si>
    <t>66:52:0108001:414</t>
  </si>
  <si>
    <t>66:16:0000000:1918</t>
  </si>
  <si>
    <t>66:08:0805001:340</t>
  </si>
  <si>
    <t>66:35:0213002:1148</t>
  </si>
  <si>
    <t>66:41:0610026:287</t>
  </si>
  <si>
    <t>66:27:1102046:469</t>
  </si>
  <si>
    <t>66:55:0303007:1750</t>
  </si>
  <si>
    <t>66:56:0404001:3435</t>
  </si>
  <si>
    <t>66:19:2701007:483</t>
  </si>
  <si>
    <t>66:58:0110005:635</t>
  </si>
  <si>
    <t>66:21:0101077:1518</t>
  </si>
  <si>
    <t>66:41:0309098:575</t>
  </si>
  <si>
    <t>66:54:0116004:1119</t>
  </si>
  <si>
    <t>66:58:2101003:368</t>
  </si>
  <si>
    <t>66:41:0521010:447</t>
  </si>
  <si>
    <t>66:45:0100304:938</t>
  </si>
  <si>
    <t>66:06:0401004:1549</t>
  </si>
  <si>
    <t>66:28:7101001:492</t>
  </si>
  <si>
    <t>66:54:0106005:274</t>
  </si>
  <si>
    <t>66:41:0510031:212</t>
  </si>
  <si>
    <t>66:25:1201010:879</t>
  </si>
  <si>
    <t>66:56:0502002:220</t>
  </si>
  <si>
    <t>66:36:1301005:330</t>
  </si>
  <si>
    <t>66:52:0107002:898</t>
  </si>
  <si>
    <t>66:52:0104019:404</t>
  </si>
  <si>
    <t>66:50:0000000:6832</t>
  </si>
  <si>
    <t>66:50:0000000:6875</t>
  </si>
  <si>
    <t>66:35:0101012:494</t>
  </si>
  <si>
    <t>66:01:0202008:148</t>
  </si>
  <si>
    <t>66:06:1701006:829</t>
  </si>
  <si>
    <t>66:11:6301001:582</t>
  </si>
  <si>
    <t>66:19:0101035:932</t>
  </si>
  <si>
    <t>66:21:0601001:2935</t>
  </si>
  <si>
    <t>66:25:2901001:1359</t>
  </si>
  <si>
    <t>66:33:0101002:3949</t>
  </si>
  <si>
    <t>66:36:2101001:401</t>
  </si>
  <si>
    <t>66:41:0309100:387</t>
  </si>
  <si>
    <t>66:43:0101004:1044</t>
  </si>
  <si>
    <t>66:56:0208007:5258</t>
  </si>
  <si>
    <t>66:58:1101006:3252</t>
  </si>
  <si>
    <t>66:59:0207002:1412</t>
  </si>
  <si>
    <t>66:06:0901002:917</t>
  </si>
  <si>
    <t>66:19:3101001:2693</t>
  </si>
  <si>
    <t>66:27:1101031:360</t>
  </si>
  <si>
    <t>66:36:0112001:780</t>
  </si>
  <si>
    <t>66:41:0309012:1191</t>
  </si>
  <si>
    <t>66:41:0513062:185</t>
  </si>
  <si>
    <t>66:56:0204001:595</t>
  </si>
  <si>
    <t>66:66:0101021:326</t>
  </si>
  <si>
    <t>66:07:0201001:197</t>
  </si>
  <si>
    <t>66:52:0104018:618</t>
  </si>
  <si>
    <t>66:25:2201004:184</t>
  </si>
  <si>
    <t>66:19:3101005:1043</t>
  </si>
  <si>
    <t>66:25:2721002:4684</t>
  </si>
  <si>
    <t>66:36:0701013:362</t>
  </si>
  <si>
    <t>66:41:0307045:424</t>
  </si>
  <si>
    <t>66:41:0513032:5638</t>
  </si>
  <si>
    <t>66:45:0200167:1831</t>
  </si>
  <si>
    <t>66:58:0116002:11365</t>
  </si>
  <si>
    <t>66:67:0101031:1734</t>
  </si>
  <si>
    <t>66:11:1801004:3408</t>
  </si>
  <si>
    <t>66:24:2001004:1197</t>
  </si>
  <si>
    <t>66:30:1201125:262</t>
  </si>
  <si>
    <t>66:41:0109013:224</t>
  </si>
  <si>
    <t>66:41:0513037:3864</t>
  </si>
  <si>
    <t>66:54:0102008:835</t>
  </si>
  <si>
    <t>66:59:0103003:388</t>
  </si>
  <si>
    <t>66:65:0301047:355</t>
  </si>
  <si>
    <t>66:05:2401001:347</t>
  </si>
  <si>
    <t>66:11:0109003:898</t>
  </si>
  <si>
    <t>66:28:2801012:352</t>
  </si>
  <si>
    <t>66:35:0207019:800</t>
  </si>
  <si>
    <t>66:41:0513032:5643</t>
  </si>
  <si>
    <t>66:53:0301001:1819</t>
  </si>
  <si>
    <t>66:58:2902037:232</t>
  </si>
  <si>
    <t>66:62:0000000:4494</t>
  </si>
  <si>
    <t>66:04:3801001:264</t>
  </si>
  <si>
    <t>66:03:0000000:540</t>
  </si>
  <si>
    <t>66:52:0106009:765</t>
  </si>
  <si>
    <t>66:15:1501010:1033</t>
  </si>
  <si>
    <t>66:41:0310041:770</t>
  </si>
  <si>
    <t>66:45:0200288:1071</t>
  </si>
  <si>
    <t>66:08:0805004:231</t>
  </si>
  <si>
    <t>66:36:2101001:400</t>
  </si>
  <si>
    <t>66:44:0103001:3911</t>
  </si>
  <si>
    <t>66:52:0107001:1489</t>
  </si>
  <si>
    <t>66:01:4201001:676</t>
  </si>
  <si>
    <t>66:17:0000000:5603</t>
  </si>
  <si>
    <t>66:26:1101001:409</t>
  </si>
  <si>
    <t>66:36:1301017:411</t>
  </si>
  <si>
    <t>66:36:1301002:257</t>
  </si>
  <si>
    <t>66:60:0000000:7550</t>
  </si>
  <si>
    <t>66:15:1501029:1666</t>
  </si>
  <si>
    <t>66:27:1801001:227</t>
  </si>
  <si>
    <t>66:44:0101030:900</t>
  </si>
  <si>
    <t>66:63:0101022:2170</t>
  </si>
  <si>
    <t>66:41:0309032:194</t>
  </si>
  <si>
    <t>66:58:1301002:1631</t>
  </si>
  <si>
    <t>66:41:0610017:238</t>
  </si>
  <si>
    <t>66:03:2701001:707</t>
  </si>
  <si>
    <t>66:15:3301002:781</t>
  </si>
  <si>
    <t>66:35:0207017:1092</t>
  </si>
  <si>
    <t>66:41:0612902:207</t>
  </si>
  <si>
    <t>66:62:0107011:1434</t>
  </si>
  <si>
    <t>66:07:1002010:739</t>
  </si>
  <si>
    <t>66:22:1914009:389</t>
  </si>
  <si>
    <t>66:16:2101015:104</t>
  </si>
  <si>
    <t>66:52:0107004:347</t>
  </si>
  <si>
    <t>66:52:0108001:203</t>
  </si>
  <si>
    <t>66:14:3101002:2199</t>
  </si>
  <si>
    <t>66:41:0303013:142</t>
  </si>
  <si>
    <t>66:50:0517004:758</t>
  </si>
  <si>
    <t>66:06:4501018:9925</t>
  </si>
  <si>
    <t>66:28:2801021:541</t>
  </si>
  <si>
    <t>66:42:0101030:6586</t>
  </si>
  <si>
    <t>66:15:1501027:568</t>
  </si>
  <si>
    <t>66:37:0201006:418</t>
  </si>
  <si>
    <t>66:06:4501020:9389</t>
  </si>
  <si>
    <t>66:12:3601002:405</t>
  </si>
  <si>
    <t>66:56:0113007:904</t>
  </si>
  <si>
    <t>66:61:0213003:4042</t>
  </si>
  <si>
    <t>66:25:2501001:1226</t>
  </si>
  <si>
    <t>66:35:0217001:570</t>
  </si>
  <si>
    <t>66:41:0403901:4743</t>
  </si>
  <si>
    <t>66:45:0200288:1081</t>
  </si>
  <si>
    <t>66:25:2401006:716</t>
  </si>
  <si>
    <t>66:28:4601001:511</t>
  </si>
  <si>
    <t>66:36:0104001:401</t>
  </si>
  <si>
    <t>66:41:0000000:197501</t>
  </si>
  <si>
    <t>66:56:0204002:379</t>
  </si>
  <si>
    <t>66:61:0213003:4043</t>
  </si>
  <si>
    <t>66:41:0509014:465</t>
  </si>
  <si>
    <t>66:41:0614015:4060</t>
  </si>
  <si>
    <t>66:52:0101004:1131</t>
  </si>
  <si>
    <t>66:02:1701007:1576</t>
  </si>
  <si>
    <t>66:08:0805028:1106</t>
  </si>
  <si>
    <t>66:19:0101019:1853</t>
  </si>
  <si>
    <t>66:24:0102006:225</t>
  </si>
  <si>
    <t>66:36:1301014:372</t>
  </si>
  <si>
    <t>66:06:1701031:189</t>
  </si>
  <si>
    <t>66:50:0000000:5259</t>
  </si>
  <si>
    <t>66:11:6904001:607</t>
  </si>
  <si>
    <t>66:22:0701005:862</t>
  </si>
  <si>
    <t>66:28:2901026:522</t>
  </si>
  <si>
    <t>66:35:0105009:737</t>
  </si>
  <si>
    <t>66:41:0201006:160</t>
  </si>
  <si>
    <t>66:22:1907002:224</t>
  </si>
  <si>
    <t>66:27:1102051:324</t>
  </si>
  <si>
    <t>66:52:0106005:548</t>
  </si>
  <si>
    <t>66:52:0106012:239</t>
  </si>
  <si>
    <t>66:41:0110014:6223</t>
  </si>
  <si>
    <t>66:03:1001001:203</t>
  </si>
  <si>
    <t>66:50:0517001:701</t>
  </si>
  <si>
    <t>66:01:0901003:735</t>
  </si>
  <si>
    <t>66:52:0107003:542</t>
  </si>
  <si>
    <t>66:41:0514054:139</t>
  </si>
  <si>
    <t>66:19:0000000:7883</t>
  </si>
  <si>
    <t>66:44:0101035:184</t>
  </si>
  <si>
    <t>66:50:0000000:5080</t>
  </si>
  <si>
    <t>66:04:0801002:175</t>
  </si>
  <si>
    <t>66:58:0111005:3488</t>
  </si>
  <si>
    <t>66:06:4501021:12001</t>
  </si>
  <si>
    <t>66:22:1904010:164</t>
  </si>
  <si>
    <t>66:25:1321002:1129</t>
  </si>
  <si>
    <t>66:38:0102007:714</t>
  </si>
  <si>
    <t>66:54:0000000:4223</t>
  </si>
  <si>
    <t>66:58:2803002:263</t>
  </si>
  <si>
    <t>66:07:1002011:752</t>
  </si>
  <si>
    <t>66:47:0402013:2747</t>
  </si>
  <si>
    <t>66:07:1001021:981</t>
  </si>
  <si>
    <t>66:35:0217001:578</t>
  </si>
  <si>
    <t>66:56:0203002:568</t>
  </si>
  <si>
    <t>66:56:0108006:278</t>
  </si>
  <si>
    <t>66:19:1901009:2205</t>
  </si>
  <si>
    <t>66:32:1001005:395</t>
  </si>
  <si>
    <t>66:41:0711003:138</t>
  </si>
  <si>
    <t>66:54:0102008:827</t>
  </si>
  <si>
    <t>66:01:3601001:402</t>
  </si>
  <si>
    <t>66:22:1920006:739</t>
  </si>
  <si>
    <t>66:52:0107004:655</t>
  </si>
  <si>
    <t>66:36:1301005:349</t>
  </si>
  <si>
    <t>66:31:0000000:1182</t>
  </si>
  <si>
    <t>66:27:1102049:248</t>
  </si>
  <si>
    <t>66:35:0221001:8279</t>
  </si>
  <si>
    <t>66:41:0309012:1173</t>
  </si>
  <si>
    <t>66:43:0102001:1049</t>
  </si>
  <si>
    <t>66:56:0208006:17923</t>
  </si>
  <si>
    <t>66:63:0101022:2143</t>
  </si>
  <si>
    <t>66:63:0101068:1471</t>
  </si>
  <si>
    <t>66:06:4501018:9931</t>
  </si>
  <si>
    <t>66:12:4801003:1413</t>
  </si>
  <si>
    <t>66:22:0000000:7317</t>
  </si>
  <si>
    <t>66:35:0000000:7773</t>
  </si>
  <si>
    <t>66:41:0000000:196578</t>
  </si>
  <si>
    <t>66:41:0309012:1147</t>
  </si>
  <si>
    <t>66:41:0520001:133</t>
  </si>
  <si>
    <t>66:48:0000000:3917</t>
  </si>
  <si>
    <t>66:50:0000000:6886</t>
  </si>
  <si>
    <t>66:54:0000000:4218</t>
  </si>
  <si>
    <t>66:59:0217015:303</t>
  </si>
  <si>
    <t>66:01:3901002:619</t>
  </si>
  <si>
    <t>66:25:0101010:400</t>
  </si>
  <si>
    <t>66:25:2712001:152</t>
  </si>
  <si>
    <t>66:36:0104001:402</t>
  </si>
  <si>
    <t>66:41:0309012:1186</t>
  </si>
  <si>
    <t>66:59:0216001:2306</t>
  </si>
  <si>
    <t>66:06:4501013:3</t>
  </si>
  <si>
    <t>66:41:0108118:111</t>
  </si>
  <si>
    <t>66:03:0401002:340</t>
  </si>
  <si>
    <t>66:25:1201009:465</t>
  </si>
  <si>
    <t>66:41:0504072:261</t>
  </si>
  <si>
    <t>66:12:3001004:570</t>
  </si>
  <si>
    <t>66:52:0104011:766</t>
  </si>
  <si>
    <t>66:56:0000000:31482</t>
  </si>
  <si>
    <t>66:55:0303052:445</t>
  </si>
  <si>
    <t>66:56:0000000:31255</t>
  </si>
  <si>
    <t>66:06:2601003:246</t>
  </si>
  <si>
    <t>66:28:2901010:1758</t>
  </si>
  <si>
    <t>66:44:0102027:1307</t>
  </si>
  <si>
    <t>66:56:0000000:31208</t>
  </si>
  <si>
    <t>66:31:2201008:1624</t>
  </si>
  <si>
    <t>66:06:4501020:9650</t>
  </si>
  <si>
    <t>66:63:0000000:7411</t>
  </si>
  <si>
    <t>66:21:0601001:2940</t>
  </si>
  <si>
    <t>66:41:0513005:736</t>
  </si>
  <si>
    <t>66:56:0109005:1721</t>
  </si>
  <si>
    <t>66:01:2301010:980</t>
  </si>
  <si>
    <t>66:41:0110003:7965</t>
  </si>
  <si>
    <t>66:52:0106004:404</t>
  </si>
  <si>
    <t>66:52:0108004:462</t>
  </si>
  <si>
    <t>66:52:0107001:667</t>
  </si>
  <si>
    <t>66:41:0513032:5635</t>
  </si>
  <si>
    <t>66:50:0000000:6853</t>
  </si>
  <si>
    <t>66:66:0101025:1222</t>
  </si>
  <si>
    <t>66:41:0503005:6067</t>
  </si>
  <si>
    <t>66:04:0701001:350</t>
  </si>
  <si>
    <t>66:09:0201005:830</t>
  </si>
  <si>
    <t>66:13:0201002:1118</t>
  </si>
  <si>
    <t>66:19:3501002:1908</t>
  </si>
  <si>
    <t>66:25:1405002:1042</t>
  </si>
  <si>
    <t>66:28:4801002:421</t>
  </si>
  <si>
    <t>66:36:0000000:22207</t>
  </si>
  <si>
    <t>66:41:0109017:322</t>
  </si>
  <si>
    <t>66:41:0521029:837</t>
  </si>
  <si>
    <t>66:53:0303008:585</t>
  </si>
  <si>
    <t>66:57:0208038:243</t>
  </si>
  <si>
    <t>66:59:0101022:311</t>
  </si>
  <si>
    <t>66:01:3901012:229</t>
  </si>
  <si>
    <t>66:11:6301001:573</t>
  </si>
  <si>
    <t>66:25:1405002:1046</t>
  </si>
  <si>
    <t>66:35:0105015:1409</t>
  </si>
  <si>
    <t>66:41:0201018:140</t>
  </si>
  <si>
    <t>66:41:0513032:5636</t>
  </si>
  <si>
    <t>66:46:0108001:3264</t>
  </si>
  <si>
    <t>66:59:0215002:2544</t>
  </si>
  <si>
    <t>66:71:0101001:80</t>
  </si>
  <si>
    <t>66:52:0104019:140</t>
  </si>
  <si>
    <t>66:17:0805002:864</t>
  </si>
  <si>
    <t>66:12:5301005:970</t>
  </si>
  <si>
    <t>66:25:1405001:2702</t>
  </si>
  <si>
    <t>66:35:0224001:912</t>
  </si>
  <si>
    <t>66:40:0101026:3536</t>
  </si>
  <si>
    <t>66:41:0313010:19466</t>
  </si>
  <si>
    <t>66:41:0614066:4388</t>
  </si>
  <si>
    <t>66:55:0303022:1758</t>
  </si>
  <si>
    <t>66:59:0216001:4936</t>
  </si>
  <si>
    <t>66:06:4501018:9937</t>
  </si>
  <si>
    <t>66:19:1101002:1423</t>
  </si>
  <si>
    <t>66:28:2901001:778</t>
  </si>
  <si>
    <t>66:37:0204001:1209</t>
  </si>
  <si>
    <t>66:41:0310017:438</t>
  </si>
  <si>
    <t>66:46:0104005:1000</t>
  </si>
  <si>
    <t>66:57:0208013:242</t>
  </si>
  <si>
    <t>66:59:0216001:5030</t>
  </si>
  <si>
    <t>66:28:6601002:434</t>
  </si>
  <si>
    <t>66:08:0801009:805</t>
  </si>
  <si>
    <t>66:17:0801003:1356</t>
  </si>
  <si>
    <t>66:35:0105015:1411</t>
  </si>
  <si>
    <t>66:41:0202005:496</t>
  </si>
  <si>
    <t>66:48:0309003:751</t>
  </si>
  <si>
    <t>66:56:0201002:346</t>
  </si>
  <si>
    <t>66:60:0000000:7554</t>
  </si>
  <si>
    <t>66:58:2903001:1330</t>
  </si>
  <si>
    <t>66:21:0101037:1509</t>
  </si>
  <si>
    <t>66:59:0201001:535</t>
  </si>
  <si>
    <t>66:50:0000000:5252</t>
  </si>
  <si>
    <t>66:59:0216001:5012</t>
  </si>
  <si>
    <t>66:41:0205005:484</t>
  </si>
  <si>
    <t>66:45:0100389:346</t>
  </si>
  <si>
    <t>66:07:1403002:993</t>
  </si>
  <si>
    <t>66:25:2709002:246</t>
  </si>
  <si>
    <t>66:41:0707008:173</t>
  </si>
  <si>
    <t>66:47:0000000:2928</t>
  </si>
  <si>
    <t>66:59:0201002:2259</t>
  </si>
  <si>
    <t>66:11:2901001:587</t>
  </si>
  <si>
    <t>66:21:0101079:3023</t>
  </si>
  <si>
    <t>66:35:0105003:1190</t>
  </si>
  <si>
    <t>66:06:4501021:12179</t>
  </si>
  <si>
    <t>66:12:5203005:593</t>
  </si>
  <si>
    <t>66:07:2801001:2074</t>
  </si>
  <si>
    <t>66:25:1201006:395</t>
  </si>
  <si>
    <t>66:41:0309087:294</t>
  </si>
  <si>
    <t>66:56:0402006:1537</t>
  </si>
  <si>
    <t>66:35:0105011:6413</t>
  </si>
  <si>
    <t>66:58:0106001:12499</t>
  </si>
  <si>
    <t>66:24:2001003:1573</t>
  </si>
  <si>
    <t>66:31:2201002:1941</t>
  </si>
  <si>
    <t>66:08:0802006:682</t>
  </si>
  <si>
    <t>66:25:1405001:2756</t>
  </si>
  <si>
    <t>66:41:0507090:376</t>
  </si>
  <si>
    <t>66:56:0109004:1065</t>
  </si>
  <si>
    <t>66:03:1001001:478</t>
  </si>
  <si>
    <t>66:21:0101022:747</t>
  </si>
  <si>
    <t>66:33:0101004:1450</t>
  </si>
  <si>
    <t>66:50:0000000:5166</t>
  </si>
  <si>
    <t>66:36:1301007:129</t>
  </si>
  <si>
    <t>66:52:0106012:245</t>
  </si>
  <si>
    <t>66:22:1901008:46</t>
  </si>
  <si>
    <t>66:42:0101030:6585</t>
  </si>
  <si>
    <t>66:62:0107011:1435</t>
  </si>
  <si>
    <t>66:25:0101001:1275</t>
  </si>
  <si>
    <t>66:41:0303013:144</t>
  </si>
  <si>
    <t>66:62:0401001:622</t>
  </si>
  <si>
    <t>66:28:2801028:724</t>
  </si>
  <si>
    <t>66:59:0216001:4950</t>
  </si>
  <si>
    <t>66:33:0101005:2400</t>
  </si>
  <si>
    <t>66:24:0000000:1109</t>
  </si>
  <si>
    <t>66:59:0207002:1413</t>
  </si>
  <si>
    <t>66:25:1321001:1012</t>
  </si>
  <si>
    <t>66:30:1201102:167</t>
  </si>
  <si>
    <t>66:41:0309032:196</t>
  </si>
  <si>
    <t>66:41:0609046:437</t>
  </si>
  <si>
    <t>66:25:1307001:2636</t>
  </si>
  <si>
    <t>66:25:2901004:1639</t>
  </si>
  <si>
    <t>66:35:0103008:1658</t>
  </si>
  <si>
    <t>66:36:3203001:1907</t>
  </si>
  <si>
    <t>66:41:0111003:412</t>
  </si>
  <si>
    <t>66:59:0217012:588</t>
  </si>
  <si>
    <t>66:41:0313010:23074</t>
  </si>
  <si>
    <t>66:41:0513055:736</t>
  </si>
  <si>
    <t>66:45:0200127:150</t>
  </si>
  <si>
    <t>66:00:0000000:11804</t>
  </si>
  <si>
    <t>66:06:4504020:415</t>
  </si>
  <si>
    <t>66:14:0000000:3525</t>
  </si>
  <si>
    <t>66:21:0101069:602</t>
  </si>
  <si>
    <t>66:06:0401004:482</t>
  </si>
  <si>
    <t>66:41:0306067:52</t>
  </si>
  <si>
    <t>66:41:0108115:23</t>
  </si>
  <si>
    <t>66:19:1101002:1426</t>
  </si>
  <si>
    <t>66:25:1325008:827</t>
  </si>
  <si>
    <t>66:07:1002002:389</t>
  </si>
  <si>
    <t>66:52:0104018:614</t>
  </si>
  <si>
    <t>66:52:0106007:657</t>
  </si>
  <si>
    <t>66:52:0106012:256</t>
  </si>
  <si>
    <t>66:62:0106006:98</t>
  </si>
  <si>
    <t>66:52:0107006:647</t>
  </si>
  <si>
    <t>66:52:0106009:745</t>
  </si>
  <si>
    <t>66:56:0109007:115</t>
  </si>
  <si>
    <t>66:52:0107003:522</t>
  </si>
  <si>
    <t>66:07:1002009:244</t>
  </si>
  <si>
    <t>66:03:3101002:404</t>
  </si>
  <si>
    <t>66:22:1901008:49</t>
  </si>
  <si>
    <t>66:50:0000000:5085</t>
  </si>
  <si>
    <t>66:06:4501020:9600</t>
  </si>
  <si>
    <t>66:62:0102005:474</t>
  </si>
  <si>
    <t>66:06:4504015:304</t>
  </si>
  <si>
    <t>66:25:0201010:211</t>
  </si>
  <si>
    <t>66:25:1405001:2733</t>
  </si>
  <si>
    <t>66:41:0306027:563</t>
  </si>
  <si>
    <t>66:54:0115004:169</t>
  </si>
  <si>
    <t>66:59:0202001:1198</t>
  </si>
  <si>
    <t>66:09:2101002:235</t>
  </si>
  <si>
    <t>66:52:0000000:3675</t>
  </si>
  <si>
    <t>66:21:0101010:534</t>
  </si>
  <si>
    <t>66:41:0507090:374</t>
  </si>
  <si>
    <t>66:04:0901001:353</t>
  </si>
  <si>
    <t>66:06:4301011:827</t>
  </si>
  <si>
    <t>66:19:5001002:480</t>
  </si>
  <si>
    <t>66:35:0105011:6412</t>
  </si>
  <si>
    <t>66:44:0101010:709</t>
  </si>
  <si>
    <t>66:01:3601001:406</t>
  </si>
  <si>
    <t>66:07:3001002:398</t>
  </si>
  <si>
    <t>66:52:0107004:643</t>
  </si>
  <si>
    <t>66:52:0107006:467</t>
  </si>
  <si>
    <t>66:08:0802014:363</t>
  </si>
  <si>
    <t>66:28:2901040:517</t>
  </si>
  <si>
    <t>66:36:0103002:239</t>
  </si>
  <si>
    <t>66:41:0313010:24578</t>
  </si>
  <si>
    <t>66:44:0102015:500</t>
  </si>
  <si>
    <t>66:57:0302005:257</t>
  </si>
  <si>
    <t>66:63:0101022:2153</t>
  </si>
  <si>
    <t>66:63:1602020:408</t>
  </si>
  <si>
    <t>66:06:4501020:9599</t>
  </si>
  <si>
    <t>66:12:5301004:2375</t>
  </si>
  <si>
    <t>66:22:1916005:423</t>
  </si>
  <si>
    <t>66:35:0103006:203</t>
  </si>
  <si>
    <t>66:41:0106074:191</t>
  </si>
  <si>
    <t>66:41:0309012:1182</t>
  </si>
  <si>
    <t>66:41:0609014:447</t>
  </si>
  <si>
    <t>66:48:0201002:1414</t>
  </si>
  <si>
    <t>66:50:0505001:1948</t>
  </si>
  <si>
    <t>66:55:0303007:1771</t>
  </si>
  <si>
    <t>66:63:0000000:7454</t>
  </si>
  <si>
    <t>66:06:0501003:995</t>
  </si>
  <si>
    <t>66:25:0106002:1416</t>
  </si>
  <si>
    <t>66:25:2721002:4529</t>
  </si>
  <si>
    <t>66:41:0105031:1643</t>
  </si>
  <si>
    <t>66:33:0201001:639</t>
  </si>
  <si>
    <t>66:06:4501051:25</t>
  </si>
  <si>
    <t>66:52:0107002:892</t>
  </si>
  <si>
    <t>66:02:1401002:1150</t>
  </si>
  <si>
    <t>66:25:1401002:1071</t>
  </si>
  <si>
    <t>66:41:0511023:419</t>
  </si>
  <si>
    <t>66:24:2701001:335</t>
  </si>
  <si>
    <t>66:55:0303007:1734</t>
  </si>
  <si>
    <t>66:56:0112007:657</t>
  </si>
  <si>
    <t>66:06:4501029:430</t>
  </si>
  <si>
    <t>66:56:0202005:699</t>
  </si>
  <si>
    <t>66:06:4501021:12208</t>
  </si>
  <si>
    <t>66:36:3201009:648</t>
  </si>
  <si>
    <t>66:54:0114005:664</t>
  </si>
  <si>
    <t>66:56:0115001:4008</t>
  </si>
  <si>
    <t>66:36:1901001:288</t>
  </si>
  <si>
    <t>66:38:0101010:529</t>
  </si>
  <si>
    <t>66:63:0000000:7426</t>
  </si>
  <si>
    <t>66:25:3615001:358</t>
  </si>
  <si>
    <t>66:53:0105008:1654</t>
  </si>
  <si>
    <t>66:61:0218001:203</t>
  </si>
  <si>
    <t>66:12:6801003:730</t>
  </si>
  <si>
    <t>66:54:0102007:674</t>
  </si>
  <si>
    <t>66:52:0106011:169</t>
  </si>
  <si>
    <t>66:52:0107004:610</t>
  </si>
  <si>
    <t>66:22:0508003:245</t>
  </si>
  <si>
    <t>66:41:0609011:831</t>
  </si>
  <si>
    <t>66:50:0000000:6857</t>
  </si>
  <si>
    <t>66:11:1801001:918</t>
  </si>
  <si>
    <t>66:62:0502001:299</t>
  </si>
  <si>
    <t>66:06:0601002:307</t>
  </si>
  <si>
    <t>66:11:5201001:605</t>
  </si>
  <si>
    <t>66:15:2905001:501</t>
  </si>
  <si>
    <t>66:21:0101010:543</t>
  </si>
  <si>
    <t>66:25:1405002:1044</t>
  </si>
  <si>
    <t>66:31:0103003:765</t>
  </si>
  <si>
    <t>66:36:0102081:1358</t>
  </si>
  <si>
    <t>66:41:0309012:1188</t>
  </si>
  <si>
    <t>66:41:0614015:4124</t>
  </si>
  <si>
    <t>66:56:0204012:3631</t>
  </si>
  <si>
    <t>66:58:0104001:1080</t>
  </si>
  <si>
    <t>Кирпичные, Бетонные</t>
  </si>
  <si>
    <t>61001001001, 61001006000</t>
  </si>
  <si>
    <t>66:59:0101023:1897</t>
  </si>
  <si>
    <t>66:05:2601005:780</t>
  </si>
  <si>
    <t>66:17:0805001:760</t>
  </si>
  <si>
    <t>66:25:2721002:4683</t>
  </si>
  <si>
    <t>66:35:0111003:2444</t>
  </si>
  <si>
    <t>66:41:0306025:364</t>
  </si>
  <si>
    <t>66:41:0513040:2400</t>
  </si>
  <si>
    <t>66:50:0529004:572</t>
  </si>
  <si>
    <t>66:62:0107011:1437</t>
  </si>
  <si>
    <t>66:50:0512009:1304</t>
  </si>
  <si>
    <t>66:52:0104019:133</t>
  </si>
  <si>
    <t>66:03:0801001:1549</t>
  </si>
  <si>
    <t>66:16:1901003:1559</t>
  </si>
  <si>
    <t>66:25:2721002:4370</t>
  </si>
  <si>
    <t>66:36:0107006:1154</t>
  </si>
  <si>
    <t>66:41:0106178:492</t>
  </si>
  <si>
    <t>66:41:0506010:173</t>
  </si>
  <si>
    <t>66:45:0100102:390</t>
  </si>
  <si>
    <t>66:58:0104001:1082</t>
  </si>
  <si>
    <t>66:60:0904024:1947</t>
  </si>
  <si>
    <t>66:07:1501002:967</t>
  </si>
  <si>
    <t>66:19:2701003:602</t>
  </si>
  <si>
    <t>66:29:2201011:518</t>
  </si>
  <si>
    <t>66:40:0101016:869</t>
  </si>
  <si>
    <t>66:41:0513032:5571</t>
  </si>
  <si>
    <t>66:48:0313001:523</t>
  </si>
  <si>
    <t>66:59:0101005:1695</t>
  </si>
  <si>
    <t>66:62:0107011:1438</t>
  </si>
  <si>
    <t>66:50:0000000:6901</t>
  </si>
  <si>
    <t>66:08:0802009:1444</t>
  </si>
  <si>
    <t>66:19:2801001:595</t>
  </si>
  <si>
    <t>66:35:0203001:1115</t>
  </si>
  <si>
    <t>66:41:0208007:1196</t>
  </si>
  <si>
    <t>66:53:0301001:1816</t>
  </si>
  <si>
    <t>66:58:0110005:633</t>
  </si>
  <si>
    <t>66:61:0207003:988</t>
  </si>
  <si>
    <t>66:13:1301001:1369</t>
  </si>
  <si>
    <t>66:52:0106012:237</t>
  </si>
  <si>
    <t>66:52:0106009:741</t>
  </si>
  <si>
    <t>66:50:0000000:5254</t>
  </si>
  <si>
    <t>66:66:0101004:808</t>
  </si>
  <si>
    <t>66:41:0307073:312</t>
  </si>
  <si>
    <t>66:45:0100450:471</t>
  </si>
  <si>
    <t>66:07:1801001:1731</t>
  </si>
  <si>
    <t>66:28:2801018:717</t>
  </si>
  <si>
    <t>66:42:0102011:1552</t>
  </si>
  <si>
    <t>66:47:0401002:254</t>
  </si>
  <si>
    <t>66:62:0106007:647</t>
  </si>
  <si>
    <t>66:14:4601001:222</t>
  </si>
  <si>
    <t>66:21:1501003:583</t>
  </si>
  <si>
    <t>66:35:0202003:722</t>
  </si>
  <si>
    <t>66:13:2601001:620</t>
  </si>
  <si>
    <t>66:15:1501005:1037</t>
  </si>
  <si>
    <t>66:11:1501001:710</t>
  </si>
  <si>
    <t>66:25:1405001:2611</t>
  </si>
  <si>
    <t>66:41:0507012:209</t>
  </si>
  <si>
    <t>66:57:0304003:238</t>
  </si>
  <si>
    <t>66:35:0222001:1191</t>
  </si>
  <si>
    <t>66:58:0110003:3611</t>
  </si>
  <si>
    <t>66:41:0109040:250</t>
  </si>
  <si>
    <t>66:36:2903008:1347</t>
  </si>
  <si>
    <t>66:12:1401005:557</t>
  </si>
  <si>
    <t>66:27:1102058:640</t>
  </si>
  <si>
    <t>66:41:0519018:191</t>
  </si>
  <si>
    <t>66:58:0120010:200</t>
  </si>
  <si>
    <t>66:06:4501018:9922</t>
  </si>
  <si>
    <t>66:21:0101076:1946</t>
  </si>
  <si>
    <t>66:36:2903015:368</t>
  </si>
  <si>
    <t>66:03:3101001:528</t>
  </si>
  <si>
    <t>66:52:0106011:148</t>
  </si>
  <si>
    <t>66:52:0107001:671</t>
  </si>
  <si>
    <t>66:19:0301001:162</t>
  </si>
  <si>
    <t>66:46:0109002:175</t>
  </si>
  <si>
    <t>66:01:1401001:778</t>
  </si>
  <si>
    <t>66:25:2721002:4652</t>
  </si>
  <si>
    <t>66:41:0509064:1017</t>
  </si>
  <si>
    <t>66:06:3901001:395</t>
  </si>
  <si>
    <t>66:35:0105011:6415</t>
  </si>
  <si>
    <t>66:58:2803002:265</t>
  </si>
  <si>
    <t>66:01:2301011:6633</t>
  </si>
  <si>
    <t>66:25:0304006:490</t>
  </si>
  <si>
    <t>66:59:0216001:4980</t>
  </si>
  <si>
    <t>66:25:1401001:578</t>
  </si>
  <si>
    <t>66:35:0000000:7778</t>
  </si>
  <si>
    <t>66:41:0310102:336</t>
  </si>
  <si>
    <t>66:44:0102008:1901</t>
  </si>
  <si>
    <t>66:25:1405001:2758</t>
  </si>
  <si>
    <t>66:28:2901008:355</t>
  </si>
  <si>
    <t>66:35:0215006:351</t>
  </si>
  <si>
    <t>66:40:0101021:503</t>
  </si>
  <si>
    <t>66:56:0112015:317</t>
  </si>
  <si>
    <t>66:61:0201001:1991</t>
  </si>
  <si>
    <t>66:41:0313010:23617</t>
  </si>
  <si>
    <t>66:41:0521008:329</t>
  </si>
  <si>
    <t>66:48:0303001:947</t>
  </si>
  <si>
    <t>66:01:0901001:1198</t>
  </si>
  <si>
    <t>66:07:1002001:1771</t>
  </si>
  <si>
    <t>66:14:3101001:481</t>
  </si>
  <si>
    <t>66:21:1601001:295</t>
  </si>
  <si>
    <t>66:41:0110901:120</t>
  </si>
  <si>
    <t>61001007005</t>
  </si>
  <si>
    <t>Из унифицированных железобетонных элементов</t>
  </si>
  <si>
    <t>66:06:0801002:211</t>
  </si>
  <si>
    <t>66:07:1001015:101</t>
  </si>
  <si>
    <t>66:09:0201005:391</t>
  </si>
  <si>
    <t>66:19:4301001:818</t>
  </si>
  <si>
    <t>66:25:2401006:720</t>
  </si>
  <si>
    <t>66:35:0101017:342</t>
  </si>
  <si>
    <t>66:41:0207004:294</t>
  </si>
  <si>
    <t>66:41:0614015:4128</t>
  </si>
  <si>
    <t>66:46:0102001:394</t>
  </si>
  <si>
    <t>66:56:0103002:472</t>
  </si>
  <si>
    <t>66:58:1301002:1622</t>
  </si>
  <si>
    <t>66:67:0101031:1736</t>
  </si>
  <si>
    <t>66:11:3401002:451</t>
  </si>
  <si>
    <t>66:16:3101002:489</t>
  </si>
  <si>
    <t>66:25:1307001:2639</t>
  </si>
  <si>
    <t>66:28:2901045:1206</t>
  </si>
  <si>
    <t>66:35:0207002:521</t>
  </si>
  <si>
    <t>Деревянные, Рубленые</t>
  </si>
  <si>
    <t>61001002000, 61001002001</t>
  </si>
  <si>
    <t>66:36:3201006:490</t>
  </si>
  <si>
    <t>66:41:0513040:2410</t>
  </si>
  <si>
    <t>66:44:0101030:902</t>
  </si>
  <si>
    <t>66:52:0106005:1022</t>
  </si>
  <si>
    <t>66:56:0502005:649</t>
  </si>
  <si>
    <t>66:72:0101003:743</t>
  </si>
  <si>
    <t>66:47:0402030:1145</t>
  </si>
  <si>
    <t>66:59:0216001:5025</t>
  </si>
  <si>
    <t>66:28:2901042:388</t>
  </si>
  <si>
    <t>66:45:0100376:1590</t>
  </si>
  <si>
    <t>66:25:0106001:923</t>
  </si>
  <si>
    <t>66:59:0101019:12313</t>
  </si>
  <si>
    <t>66:13:0301001:893</t>
  </si>
  <si>
    <t>66:25:2721002:4263</t>
  </si>
  <si>
    <t>66:06:4501018:9948</t>
  </si>
  <si>
    <t>66:33:0101004:1451</t>
  </si>
  <si>
    <t>66:45:0100239:134</t>
  </si>
  <si>
    <t>66:06:3901004:301</t>
  </si>
  <si>
    <t>66:52:0105002:976</t>
  </si>
  <si>
    <t>66:25:0101009:1048</t>
  </si>
  <si>
    <t>66:41:0614015:4118</t>
  </si>
  <si>
    <t>66:06:4501020:9646</t>
  </si>
  <si>
    <t>66:21:0601001:2927</t>
  </si>
  <si>
    <t>66:29:2501001:743</t>
  </si>
  <si>
    <t>66:36:2101009:331</t>
  </si>
  <si>
    <t>66:41:0513037:3865</t>
  </si>
  <si>
    <t>66:48:0320001:1074</t>
  </si>
  <si>
    <t>66:58:2201001:1233</t>
  </si>
  <si>
    <t>66:02:1701021:735</t>
  </si>
  <si>
    <t>66:23:2701002:1835</t>
  </si>
  <si>
    <t>66:56:0601008:3193</t>
  </si>
  <si>
    <t>66:02:1702016:520</t>
  </si>
  <si>
    <t>66:12:2901004:778</t>
  </si>
  <si>
    <t>66:19:0201001:502</t>
  </si>
  <si>
    <t>66:24:0804007:521</t>
  </si>
  <si>
    <t>66:32:0406022:495</t>
  </si>
  <si>
    <t>66:35:0105011:6396</t>
  </si>
  <si>
    <t>66:35:0221001:8286</t>
  </si>
  <si>
    <t>66:41:0309012:1196</t>
  </si>
  <si>
    <t>66:45:0100330:177</t>
  </si>
  <si>
    <t>66:53:0000000:4670</t>
  </si>
  <si>
    <t>66:59:0216001:5037</t>
  </si>
  <si>
    <t>66:01:2301011:6640</t>
  </si>
  <si>
    <t>66:50:0000000:5215</t>
  </si>
  <si>
    <t>66:52:0107002:895</t>
  </si>
  <si>
    <t>66:25:0202001:1014</t>
  </si>
  <si>
    <t>66:45:0100407:6008</t>
  </si>
  <si>
    <t>66:11:0109003:894</t>
  </si>
  <si>
    <t>66:27:1101013:495</t>
  </si>
  <si>
    <t>66:58:2803002:266</t>
  </si>
  <si>
    <t>66:02:0901001:287</t>
  </si>
  <si>
    <t>66:19:2801001:593</t>
  </si>
  <si>
    <t>66:25:1501007:347</t>
  </si>
  <si>
    <t>66:32:0407006:867</t>
  </si>
  <si>
    <t>66:41:0404021:203</t>
  </si>
  <si>
    <t>66:52:0101001:2224</t>
  </si>
  <si>
    <t>66:59:0215002:2542</t>
  </si>
  <si>
    <t>66:12:3401002:406</t>
  </si>
  <si>
    <t>66:36:3002011:479</t>
  </si>
  <si>
    <t>66:59:0216001:4735</t>
  </si>
  <si>
    <t>66:01:2301011:6634</t>
  </si>
  <si>
    <t>66:41:0614015:4122</t>
  </si>
  <si>
    <t>66:68:0201001:1329</t>
  </si>
  <si>
    <t>66:45:0000000:24797</t>
  </si>
  <si>
    <t>66:35:0109003:2859</t>
  </si>
  <si>
    <t>66:25:2401002:442</t>
  </si>
  <si>
    <t>66:41:0610029:236</t>
  </si>
  <si>
    <t>66:28:2901041:316</t>
  </si>
  <si>
    <t>66:41:0503021:226</t>
  </si>
  <si>
    <t>66:25:1405001:2763</t>
  </si>
  <si>
    <t>66:55:0303022:1757</t>
  </si>
  <si>
    <t>66:41:0610029:1107</t>
  </si>
  <si>
    <t>66:36:0201002:345</t>
  </si>
  <si>
    <t>66:06:4501018:9665</t>
  </si>
  <si>
    <t>66:15:1501013:1086</t>
  </si>
  <si>
    <t>66:35:0221001:8293</t>
  </si>
  <si>
    <t>66:41:0306105:167</t>
  </si>
  <si>
    <t>66:42:0102004:738</t>
  </si>
  <si>
    <t>66:48:0402006:901</t>
  </si>
  <si>
    <t>66:56:0115001:3999</t>
  </si>
  <si>
    <t>66:58:2802006:252</t>
  </si>
  <si>
    <t>66:01:3201001:382</t>
  </si>
  <si>
    <t>66:12:3201002:473</t>
  </si>
  <si>
    <t>66:19:1901015:255</t>
  </si>
  <si>
    <t>66:25:2601035:213</t>
  </si>
  <si>
    <t>66:32:0401033:396</t>
  </si>
  <si>
    <t>66:35:0221001:8074</t>
  </si>
  <si>
    <t>66:41:0201006:161</t>
  </si>
  <si>
    <t>66:41:0519901:603</t>
  </si>
  <si>
    <t>66:45:0100376:1596</t>
  </si>
  <si>
    <t>66:54:0000000:4176</t>
  </si>
  <si>
    <t>66:58:2902019:1476</t>
  </si>
  <si>
    <t>66:07:1501002:965</t>
  </si>
  <si>
    <t>66:59:0216001:5026</t>
  </si>
  <si>
    <t>66:06:4501001:4359</t>
  </si>
  <si>
    <t>66:30:0601002:656</t>
  </si>
  <si>
    <t>66:19:3101006:775</t>
  </si>
  <si>
    <t>66:25:1201027:235</t>
  </si>
  <si>
    <t>66:50:0000000:6903</t>
  </si>
  <si>
    <t>66:25:2801011:395</t>
  </si>
  <si>
    <t>66:41:0404006:466</t>
  </si>
  <si>
    <t>66:17:0803004:986</t>
  </si>
  <si>
    <t>66:06:1701062:701</t>
  </si>
  <si>
    <t>66:56:0111008:624</t>
  </si>
  <si>
    <t>66:21:0101046:1704</t>
  </si>
  <si>
    <t>66:59:0000000:4960</t>
  </si>
  <si>
    <t>66:06:4501018:9929</t>
  </si>
  <si>
    <t>66:25:1201024:590</t>
  </si>
  <si>
    <t>66:11:0201001:486</t>
  </si>
  <si>
    <t>66:22:0101005:143</t>
  </si>
  <si>
    <t>66:35:0105011:6389</t>
  </si>
  <si>
    <t>66:40:0101031:615</t>
  </si>
  <si>
    <t>66:41:0607004:198</t>
  </si>
  <si>
    <t>66:52:0106002:799</t>
  </si>
  <si>
    <t>66:59:0201002:2249</t>
  </si>
  <si>
    <t>Кирпичные, Смешанные, Из мелких бетонных блоков</t>
  </si>
  <si>
    <t>61001001001, 61001003000, 61001006002</t>
  </si>
  <si>
    <t>66:08:0804001:7942</t>
  </si>
  <si>
    <t>66:25:1201009:468</t>
  </si>
  <si>
    <t>66:48:0321003:380</t>
  </si>
  <si>
    <t>66:06:4501018:9942</t>
  </si>
  <si>
    <t>66:13:1501002:903</t>
  </si>
  <si>
    <t>66:19:2001001:1000</t>
  </si>
  <si>
    <t>66:25:1321001:1013</t>
  </si>
  <si>
    <t>66:35:0103008:1659</t>
  </si>
  <si>
    <t>66:35:0105015:1394</t>
  </si>
  <si>
    <t>66:36:0102004:547</t>
  </si>
  <si>
    <t>66:41:0507025:268</t>
  </si>
  <si>
    <t>66:50:0000000:6911</t>
  </si>
  <si>
    <t>66:56:0203001:10043</t>
  </si>
  <si>
    <t>66:59:0217016:1066</t>
  </si>
  <si>
    <t>66:06:4501018:9945</t>
  </si>
  <si>
    <t>66:52:0106002:571</t>
  </si>
  <si>
    <t>66:52:0107004:286</t>
  </si>
  <si>
    <t>66:41:0507025:267</t>
  </si>
  <si>
    <t>Деревянный каркас без обшивки</t>
  </si>
  <si>
    <t>61001002006</t>
  </si>
  <si>
    <t>66:54:0102007:681</t>
  </si>
  <si>
    <t>66:15:0901002:639</t>
  </si>
  <si>
    <t>66:28:2901031:1054</t>
  </si>
  <si>
    <t>66:59:0207002:1414</t>
  </si>
  <si>
    <t>66:06:1701057:495</t>
  </si>
  <si>
    <t>66:25:0106002:1423</t>
  </si>
  <si>
    <t>66:25:2721002:4655</t>
  </si>
  <si>
    <t>66:35:0107004:565</t>
  </si>
  <si>
    <t>66:41:0513033:913</t>
  </si>
  <si>
    <t>66:54:0101006:384</t>
  </si>
  <si>
    <t>66:59:0216001:5015</t>
  </si>
  <si>
    <t>66:19:2001001:999</t>
  </si>
  <si>
    <t>66:41:0518001:722</t>
  </si>
  <si>
    <t>66:20:3201001:1033</t>
  </si>
  <si>
    <t>66:07:1002015:596</t>
  </si>
  <si>
    <t>66:45:0100119:116</t>
  </si>
  <si>
    <t>66:12:6801003:737</t>
  </si>
  <si>
    <t>66:48:0402001:810</t>
  </si>
  <si>
    <t>66:41:0513032:5625</t>
  </si>
  <si>
    <t>66:35:0105011:6417</t>
  </si>
  <si>
    <t>66:25:4101002:548</t>
  </si>
  <si>
    <t>66:54:0107002:301</t>
  </si>
  <si>
    <t>66:58:1301002:1632</t>
  </si>
  <si>
    <t>66:38:0102008:333</t>
  </si>
  <si>
    <t>66:59:0216001:5021</t>
  </si>
  <si>
    <t>66:41:0303133:311</t>
  </si>
  <si>
    <t>66:62:0301001:2104</t>
  </si>
  <si>
    <t>66:06:4501021:11864</t>
  </si>
  <si>
    <t>66:19:3201001:748</t>
  </si>
  <si>
    <t>66:41:0614005:311</t>
  </si>
  <si>
    <t>66:45:0200320:352</t>
  </si>
  <si>
    <t>66:54:0107005:250</t>
  </si>
  <si>
    <t>66:58:1301001:1593</t>
  </si>
  <si>
    <t>66:62:0504001:1272</t>
  </si>
  <si>
    <t>66:08:0805008:399</t>
  </si>
  <si>
    <t>66:16:2201001:434</t>
  </si>
  <si>
    <t>66:25:1307001:2580</t>
  </si>
  <si>
    <t>66:28:2901010:1749</t>
  </si>
  <si>
    <t>66:35:0111003:2447</t>
  </si>
  <si>
    <t>66:36:3001008:362</t>
  </si>
  <si>
    <t>66:41:0513040:2409</t>
  </si>
  <si>
    <t>66:42:0201012:530</t>
  </si>
  <si>
    <t>66:52:0104004:1665</t>
  </si>
  <si>
    <t>66:56:0201006:604</t>
  </si>
  <si>
    <t>66:65:0301049:434</t>
  </si>
  <si>
    <t>66:47:0402001:766</t>
  </si>
  <si>
    <t>66:59:0201002:2229</t>
  </si>
  <si>
    <t>66:25:2601041:1278</t>
  </si>
  <si>
    <t>66:45:0100142:447</t>
  </si>
  <si>
    <t>66:19:3501002:1923</t>
  </si>
  <si>
    <t>66:58:2902069:230</t>
  </si>
  <si>
    <t>66:12:4801003:1412</t>
  </si>
  <si>
    <t>66:25:1401001:579</t>
  </si>
  <si>
    <t>66:06:4501018:9758</t>
  </si>
  <si>
    <t>66:25:1330001:933</t>
  </si>
  <si>
    <t>66:41:0607038:274</t>
  </si>
  <si>
    <t>66:52:0107002:891</t>
  </si>
  <si>
    <t>66:36:0111076:100</t>
  </si>
  <si>
    <t>Железобетонные, Кирпичные, Деревянные</t>
  </si>
  <si>
    <t>61001001001, 61001002000, 61001007000</t>
  </si>
  <si>
    <t>66:41:0521029:827</t>
  </si>
  <si>
    <t>66:41:0513032:5633</t>
  </si>
  <si>
    <t>66:06:4501020:9645</t>
  </si>
  <si>
    <t>66:21:0101076:1941</t>
  </si>
  <si>
    <t>66:28:4801002:419</t>
  </si>
  <si>
    <t>66:36:0102004:545</t>
  </si>
  <si>
    <t>66:41:0513032:5647</t>
  </si>
  <si>
    <t>66:48:0313004:379</t>
  </si>
  <si>
    <t>66:58:1301008:1543</t>
  </si>
  <si>
    <t>66:72:0101003:742</t>
  </si>
  <si>
    <t>66:21:0101071:1506</t>
  </si>
  <si>
    <t>61001006001</t>
  </si>
  <si>
    <t>66:56:0109009:776</t>
  </si>
  <si>
    <t>66:02:1701011:2408</t>
  </si>
  <si>
    <t>66:12:2901004:777</t>
  </si>
  <si>
    <t>66:15:2201001:1225</t>
  </si>
  <si>
    <t>66:24:0804006:1455</t>
  </si>
  <si>
    <t>66:32:0405003:367</t>
  </si>
  <si>
    <t>66:35:0105011:6392</t>
  </si>
  <si>
    <t>66:35:0221001:8249</t>
  </si>
  <si>
    <t>66:41:0307027:395</t>
  </si>
  <si>
    <t>66:45:0100304:929</t>
  </si>
  <si>
    <t>66:53:0000000:4669</t>
  </si>
  <si>
    <t>66:59:0216001:4747</t>
  </si>
  <si>
    <t>66:00:0000000:47719</t>
  </si>
  <si>
    <t>66:06:2601007:61</t>
  </si>
  <si>
    <t>66:06:1701061:90</t>
  </si>
  <si>
    <t>66:25:0106001:922</t>
  </si>
  <si>
    <t>66:42:0101025:335</t>
  </si>
  <si>
    <t>66:08:0805020:290</t>
  </si>
  <si>
    <t>66:25:2201015:856</t>
  </si>
  <si>
    <t>66:38:0102004:518</t>
  </si>
  <si>
    <t>66:01:2301011:6632</t>
  </si>
  <si>
    <t>66:16:2001009:289</t>
  </si>
  <si>
    <t>66:25:1201028:386</t>
  </si>
  <si>
    <t>66:28:5001002:288</t>
  </si>
  <si>
    <t>66:41:0306027:564</t>
  </si>
  <si>
    <t>66:48:0317001:2403</t>
  </si>
  <si>
    <t>66:59:0101029:844</t>
  </si>
  <si>
    <t>66:11:5801001:905</t>
  </si>
  <si>
    <t>66:35:0221001:8273</t>
  </si>
  <si>
    <t>66:59:0210003:786</t>
  </si>
  <si>
    <t>66:01:0701001:224</t>
  </si>
  <si>
    <t>66:41:0513032:5624</t>
  </si>
  <si>
    <t>66:62:0107015:469</t>
  </si>
  <si>
    <t>66:36:0701013:357</t>
  </si>
  <si>
    <t>66:19:1701001:1709</t>
  </si>
  <si>
    <t>66:25:1002003:859</t>
  </si>
  <si>
    <t>66:25:3301001:375</t>
  </si>
  <si>
    <t>66:25:2727001:185</t>
  </si>
  <si>
    <t>66:41:0309066:377</t>
  </si>
  <si>
    <t>66:25:1405001:2762</t>
  </si>
  <si>
    <t>66:45:0100407:6009</t>
  </si>
  <si>
    <t>66:41:0401031:2376</t>
  </si>
  <si>
    <t>66:25:2901008:624</t>
  </si>
  <si>
    <t>66:06:4501001:4298</t>
  </si>
  <si>
    <t>66:15:1501013:1085</t>
  </si>
  <si>
    <t>66:41:0209041:184</t>
  </si>
  <si>
    <t>66:41:0711054:144</t>
  </si>
  <si>
    <t>66:48:0302001:5234</t>
  </si>
  <si>
    <t>66:56:0113001:1595</t>
  </si>
  <si>
    <t>66:58:1401002:484</t>
  </si>
  <si>
    <t>66:68:0201005:1890</t>
  </si>
  <si>
    <t>66:11:4101001:553</t>
  </si>
  <si>
    <t>66:19:1101001:1946</t>
  </si>
  <si>
    <t>66:25:1307001:2640</t>
  </si>
  <si>
    <t>66:28:6801001:292</t>
  </si>
  <si>
    <t>66:35:0207005:668</t>
  </si>
  <si>
    <t>66:41:0105031:1638</t>
  </si>
  <si>
    <t>66:41:0514023:413</t>
  </si>
  <si>
    <t>66:44:0101030:903</t>
  </si>
  <si>
    <t>66:52:0107002:1812</t>
  </si>
  <si>
    <t>66:58:0118001:529</t>
  </si>
  <si>
    <t>66:06:4501018:9681</t>
  </si>
  <si>
    <t>66:56:0403010:1582</t>
  </si>
  <si>
    <t>66:04:2901001:318</t>
  </si>
  <si>
    <t>66:28:6501001:363</t>
  </si>
  <si>
    <t>66:01:3901012:228</t>
  </si>
  <si>
    <t>66:25:0106002:1429</t>
  </si>
  <si>
    <t>66:59:0216001:4584</t>
  </si>
  <si>
    <t>66:15:3001004:734</t>
  </si>
  <si>
    <t>66:06:0000000:10414</t>
  </si>
  <si>
    <t>66:06:4501021:11821</t>
  </si>
  <si>
    <t>66:37:0204001:1216</t>
  </si>
  <si>
    <t>66:54:0116010:792</t>
  </si>
  <si>
    <t>66:56:0000000:14713</t>
  </si>
  <si>
    <t>66:52:0107006:471</t>
  </si>
  <si>
    <t>66:62:0504001:1267</t>
  </si>
  <si>
    <t>66:54:0102004:1654</t>
  </si>
  <si>
    <t>66:06:4501051:246</t>
  </si>
  <si>
    <t>66:21:0601001:2930</t>
  </si>
  <si>
    <t>66:35:0101014:178</t>
  </si>
  <si>
    <t>66:38:0102004:520</t>
  </si>
  <si>
    <t>66:41:0513040:2401</t>
  </si>
  <si>
    <t>66:50:0505001:1950</t>
  </si>
  <si>
    <t>66:58:2802006:251</t>
  </si>
  <si>
    <t>66:06:4501020:9564</t>
  </si>
  <si>
    <t>66:25:1201009:459</t>
  </si>
  <si>
    <t>66:58:1301005:1612</t>
  </si>
  <si>
    <t>66:06:0601004:513</t>
  </si>
  <si>
    <t>66:12:3501002:357</t>
  </si>
  <si>
    <t>66:19:1906004:174</t>
  </si>
  <si>
    <t>66:24:2001002:1472</t>
  </si>
  <si>
    <t>66:32:0406022:496</t>
  </si>
  <si>
    <t>66:35:0105011:6400</t>
  </si>
  <si>
    <t>66:35:0221001:8287</t>
  </si>
  <si>
    <t>66:41:0309062:495</t>
  </si>
  <si>
    <t>66:47:0402031:318</t>
  </si>
  <si>
    <t>66:54:0000000:4230</t>
  </si>
  <si>
    <t>66:59:0216001:5038</t>
  </si>
  <si>
    <t>66:06:4501001:4360</t>
  </si>
  <si>
    <t>66:52:0108001:400</t>
  </si>
  <si>
    <t>66:52:0107002:899</t>
  </si>
  <si>
    <t>66:41:0310102:337</t>
  </si>
  <si>
    <t>66:52:0109002:535</t>
  </si>
  <si>
    <t>66:11:4201001:584</t>
  </si>
  <si>
    <t>66:28:0601001:521</t>
  </si>
  <si>
    <t>66:59:0101019:12334</t>
  </si>
  <si>
    <t>66:02:1401003:1036</t>
  </si>
  <si>
    <t>66:22:0101005:142</t>
  </si>
  <si>
    <t>66:25:2601017:378</t>
  </si>
  <si>
    <t>66:33:0101003:2508</t>
  </si>
  <si>
    <t>66:41:0501007:2737</t>
  </si>
  <si>
    <t>66:52:0109002:536</t>
  </si>
  <si>
    <t>66:59:0215002:2543</t>
  </si>
  <si>
    <t>66:14:4701001:609</t>
  </si>
  <si>
    <t>66:36:3101001:297</t>
  </si>
  <si>
    <t>66:63:0101021:764</t>
  </si>
  <si>
    <t>66:04:3501008:551</t>
  </si>
  <si>
    <t>66:41:0702069:5550</t>
  </si>
  <si>
    <t>66:06:4501018:9927</t>
  </si>
  <si>
    <t>66:45:0100342:662</t>
  </si>
  <si>
    <t>66:36:2001013:382</t>
  </si>
  <si>
    <t>66:25:2721002:4668</t>
  </si>
  <si>
    <t>66:50:0000000:6898</t>
  </si>
  <si>
    <t>66:32:0409004:873</t>
  </si>
  <si>
    <t>66:54:0116005:1571</t>
  </si>
  <si>
    <t>66:28:2801018:718</t>
  </si>
  <si>
    <t>66:59:0216001:4734</t>
  </si>
  <si>
    <t>66:41:0313010:24396</t>
  </si>
  <si>
    <t>66:41:0310035:201</t>
  </si>
  <si>
    <t>66:06:4501018:9930</t>
  </si>
  <si>
    <t>66:15:1501019:1146</t>
  </si>
  <si>
    <t>66:33:0101002:3954</t>
  </si>
  <si>
    <t>66:36:1001003:411</t>
  </si>
  <si>
    <t>66:41:0404018:249</t>
  </si>
  <si>
    <t>66:42:0201003:2854</t>
  </si>
  <si>
    <t>66:49:0601010:350</t>
  </si>
  <si>
    <t>66:56:0201001:15962</t>
  </si>
  <si>
    <t>66:58:2903001:1332</t>
  </si>
  <si>
    <t>66:02:1601001:684</t>
  </si>
  <si>
    <t>66:12:5203005:597</t>
  </si>
  <si>
    <t>66:19:1905006:762</t>
  </si>
  <si>
    <t>66:25:2703001:636</t>
  </si>
  <si>
    <t>66:34:0501021:1247</t>
  </si>
  <si>
    <t>66:35:0221001:8294</t>
  </si>
  <si>
    <t>66:41:0208007:1197</t>
  </si>
  <si>
    <t>66:41:0521020:203</t>
  </si>
  <si>
    <t>66:45:0200350:1035</t>
  </si>
  <si>
    <t>66:54:0000000:4196</t>
  </si>
  <si>
    <t>66:58:2903001:1333</t>
  </si>
  <si>
    <t>66:11:6911003:665</t>
  </si>
  <si>
    <t>66:54:0112003:676</t>
  </si>
  <si>
    <t>66:08:0801011:804</t>
  </si>
  <si>
    <t>66:31:2201002:1943</t>
  </si>
  <si>
    <t>66:25:2721002:4680</t>
  </si>
  <si>
    <t>66:28:4301001:1039</t>
  </si>
  <si>
    <t>66:54:0116003:1179</t>
  </si>
  <si>
    <t>66:32:0000000:6592</t>
  </si>
  <si>
    <t>66:15:1501018:1267</t>
  </si>
  <si>
    <t>66:17:0803006:2324</t>
  </si>
  <si>
    <t>66:06:4501021:12233</t>
  </si>
  <si>
    <t>66:56:0502017:366</t>
  </si>
  <si>
    <t>66:22:1905016:289</t>
  </si>
  <si>
    <t>66:59:0000000:4959</t>
  </si>
  <si>
    <t>66:11:6701001:452</t>
  </si>
  <si>
    <t>66:01:5201001:429</t>
  </si>
  <si>
    <t>66:12:3201004:633</t>
  </si>
  <si>
    <t>66:24:1801001:676</t>
  </si>
  <si>
    <t>66:35:0105011:6422</t>
  </si>
  <si>
    <t>66:41:0001001:908</t>
  </si>
  <si>
    <t>66:41:0614015:4127</t>
  </si>
  <si>
    <t>66:53:0307009:4070</t>
  </si>
  <si>
    <t>66:59:0202001:1200</t>
  </si>
  <si>
    <t>66:14:0101017:483</t>
  </si>
  <si>
    <t>66:25:2721002:4677</t>
  </si>
  <si>
    <t>66:04:2001016:701</t>
  </si>
  <si>
    <t>66:06:4501018:9943</t>
  </si>
  <si>
    <t>66:14:1501001:2678</t>
  </si>
  <si>
    <t>66:20:1508014:244</t>
  </si>
  <si>
    <t>66:25:4303001:399</t>
  </si>
  <si>
    <t>66:35:0105002:4533</t>
  </si>
  <si>
    <t>66:35:0105015:1413</t>
  </si>
  <si>
    <t>66:36:0701001:539</t>
  </si>
  <si>
    <t>66:41:0513040:2388</t>
  </si>
  <si>
    <t>66:50:0502003:890</t>
  </si>
  <si>
    <t>66:58:0101001:262</t>
  </si>
  <si>
    <t>66:59:0217017:436</t>
  </si>
  <si>
    <t>66:06:4501020:9647</t>
  </si>
  <si>
    <t>66:04:1601005:157</t>
  </si>
  <si>
    <t>66:02:2301002:161</t>
  </si>
  <si>
    <t>66:41:0510058:378</t>
  </si>
  <si>
    <t>66:01:0701001:223</t>
  </si>
  <si>
    <t>66:16:0601001:412</t>
  </si>
  <si>
    <t>66:28:3001002:667</t>
  </si>
  <si>
    <t>66:59:0209001:1553</t>
  </si>
  <si>
    <t>66:06:4301009:312</t>
  </si>
  <si>
    <t>66:25:0106002:1424</t>
  </si>
  <si>
    <t>66:25:2721002:4656</t>
  </si>
  <si>
    <t>66:35:0207017:1093</t>
  </si>
  <si>
    <t>66:41:0609014:445</t>
  </si>
  <si>
    <t>66:55:0303008:587</t>
  </si>
  <si>
    <t>66:59:0216001:5016</t>
  </si>
  <si>
    <t>66:21:0101080:320</t>
  </si>
  <si>
    <t>66:41:0709013:232</t>
  </si>
  <si>
    <t>66:21:0101025:755</t>
  </si>
  <si>
    <t>66:17:0803009:462</t>
  </si>
  <si>
    <t>66:52:0104004:1655</t>
  </si>
  <si>
    <t>66:19:2701002:548</t>
  </si>
  <si>
    <t>66:53:0307004:813</t>
  </si>
  <si>
    <t>66:41:0614015:4108</t>
  </si>
  <si>
    <t>66:41:0108014:1932</t>
  </si>
  <si>
    <t>66:08:0802009:1441</t>
  </si>
  <si>
    <t>66:54:0116004:1125</t>
  </si>
  <si>
    <t>66:06:4501021:12190</t>
  </si>
  <si>
    <t>66:41:0307045:422</t>
  </si>
  <si>
    <t>66:60:0000000:7552</t>
  </si>
  <si>
    <t>66:41:0306088:952</t>
  </si>
  <si>
    <t>66:04:0102004:220</t>
  </si>
  <si>
    <t>66:06:4501021:12194</t>
  </si>
  <si>
    <t>66:20:1507017:792</t>
  </si>
  <si>
    <t>66:44:0102006:4162</t>
  </si>
  <si>
    <t>66:53:0000000:4672</t>
  </si>
  <si>
    <t>66:58:0116002:11366</t>
  </si>
  <si>
    <t>66:59:0216001:5042</t>
  </si>
  <si>
    <t>66:07:1002020:866</t>
  </si>
  <si>
    <t>66:15:1501028:1007</t>
  </si>
  <si>
    <t>66:25:1002003:794</t>
  </si>
  <si>
    <t>66:27:1102074:358</t>
  </si>
  <si>
    <t>66:35:0111003:2434</t>
  </si>
  <si>
    <t>66:36:0701002:901</t>
  </si>
  <si>
    <t>66:41:0511006:850</t>
  </si>
  <si>
    <t>66:42:0101030:6603</t>
  </si>
  <si>
    <t>66:52:0102001:559</t>
  </si>
  <si>
    <t>66:56:0111014:1487</t>
  </si>
  <si>
    <t>66:63:0101046:1222</t>
  </si>
  <si>
    <t>66:35:0219015:221</t>
  </si>
  <si>
    <t>66:58:0104006:1406</t>
  </si>
  <si>
    <t>66:17:0809001:234</t>
  </si>
  <si>
    <t>66:41:0508079:171</t>
  </si>
  <si>
    <t>66:06:4501059:228</t>
  </si>
  <si>
    <t>66:56:0109011:1432</t>
  </si>
  <si>
    <t>66:06:1701021:649</t>
  </si>
  <si>
    <t>66:41:0513041:1546</t>
  </si>
  <si>
    <t>66:01:2801001:1122</t>
  </si>
  <si>
    <t>66:54:0101014:528</t>
  </si>
  <si>
    <t>66:25:0801004:364</t>
  </si>
  <si>
    <t>66:52:0107004:660</t>
  </si>
  <si>
    <t>66:02:1601001:303</t>
  </si>
  <si>
    <t>66:41:0706016:84</t>
  </si>
  <si>
    <t>66:28:3902001:205</t>
  </si>
  <si>
    <t>66:06:4501020:9596</t>
  </si>
  <si>
    <t>66:19:1001001:400</t>
  </si>
  <si>
    <t>66:25:1416020:302</t>
  </si>
  <si>
    <t>66:35:0221001:8284</t>
  </si>
  <si>
    <t>66:41:0513032:5644</t>
  </si>
  <si>
    <t>66:48:0309003:752</t>
  </si>
  <si>
    <t>66:56:0401005:1218</t>
  </si>
  <si>
    <t>66:68:0201002:176</t>
  </si>
  <si>
    <t>66:19:3101001:2692</t>
  </si>
  <si>
    <t>66:45:0100303:962</t>
  </si>
  <si>
    <t>66:53:0602005:795</t>
  </si>
  <si>
    <t>66:11:4301001:2309</t>
  </si>
  <si>
    <t>66:15:1501019:1140</t>
  </si>
  <si>
    <t>66:21:0601001:2867</t>
  </si>
  <si>
    <t>66:28:2901001:779</t>
  </si>
  <si>
    <t>66:35:0105011:6386</t>
  </si>
  <si>
    <t>66:35:0221001:8156</t>
  </si>
  <si>
    <t>66:41:0303009:1745</t>
  </si>
  <si>
    <t>66:41:0614015:4117</t>
  </si>
  <si>
    <t>66:52:0104015:651</t>
  </si>
  <si>
    <t>66:59:0209003:865</t>
  </si>
  <si>
    <t>66:62:0107011:1432</t>
  </si>
  <si>
    <t>Деревянные, Бетонные, Железобетонные</t>
  </si>
  <si>
    <t>61001002000, 61001006000, 61001007000</t>
  </si>
  <si>
    <t>66:07:1801001:1736</t>
  </si>
  <si>
    <t>66:59:0000000:4843</t>
  </si>
  <si>
    <t>66:52:0107001:666</t>
  </si>
  <si>
    <t>66:24:2301001:295</t>
  </si>
  <si>
    <t>Из прочих материалов, Крупнопанельные</t>
  </si>
  <si>
    <t>61001005000, 61001007001</t>
  </si>
  <si>
    <t>66:41:0610030:476</t>
  </si>
  <si>
    <t>66:07:3001002:768</t>
  </si>
  <si>
    <t>66:25:1405001:2760</t>
  </si>
  <si>
    <t>66:35:0105015:1403</t>
  </si>
  <si>
    <t>66:41:0502508:596</t>
  </si>
  <si>
    <t>66:15:1401001:1798</t>
  </si>
  <si>
    <t>66:25:0310001:948</t>
  </si>
  <si>
    <t>66:25:3401005:636</t>
  </si>
  <si>
    <t>66:40:0101008:593</t>
  </si>
  <si>
    <t>66:45:0100342:676</t>
  </si>
  <si>
    <t>66:58:0112004:290</t>
  </si>
  <si>
    <t>66:06:2001002:300</t>
  </si>
  <si>
    <t>66:25:2501003:765</t>
  </si>
  <si>
    <t>66:52:0106007:1018</t>
  </si>
  <si>
    <t>66:58:0601001:697</t>
  </si>
  <si>
    <t>66:29:1501001:520</t>
  </si>
  <si>
    <t>66:61:0104003:215</t>
  </si>
  <si>
    <t>66:36:0701013:355</t>
  </si>
  <si>
    <t>66:12:1617002:198</t>
  </si>
  <si>
    <t>66:21:1301001:1554</t>
  </si>
  <si>
    <t>66:06:4501034:323</t>
  </si>
  <si>
    <t>66:25:1701002:396</t>
  </si>
  <si>
    <t>66:19:4201001:705</t>
  </si>
  <si>
    <t>66:23:0000000:2098</t>
  </si>
  <si>
    <t>66:41:0513040:2343</t>
  </si>
  <si>
    <t>66:41:0609014:444</t>
  </si>
  <si>
    <t>66:19:5501001:359</t>
  </si>
  <si>
    <t>66:06:2901001:372</t>
  </si>
  <si>
    <t>66:12:3601004:1509</t>
  </si>
  <si>
    <t>66:25:1405001:2769</t>
  </si>
  <si>
    <t>66:35:0101016:354</t>
  </si>
  <si>
    <t>Рубленые, Каркасно-обшивные</t>
  </si>
  <si>
    <t>61001002001, 61001002003</t>
  </si>
  <si>
    <t>66:36:2906002:502</t>
  </si>
  <si>
    <t>66:41:0513032:5653</t>
  </si>
  <si>
    <t>66:42:0701001:730</t>
  </si>
  <si>
    <t>66:52:0104004:1662</t>
  </si>
  <si>
    <t>66:58:0113004:2022</t>
  </si>
  <si>
    <t>66:59:0203002:2069</t>
  </si>
  <si>
    <t>66:06:4501018:9947</t>
  </si>
  <si>
    <t>66:15:0901003:1518</t>
  </si>
  <si>
    <t>66:19:4401009:772</t>
  </si>
  <si>
    <t>66:27:1101007:361</t>
  </si>
  <si>
    <t>66:35:0105015:1388</t>
  </si>
  <si>
    <t>66:36:0111015:157</t>
  </si>
  <si>
    <t>66:41:0209041:185</t>
  </si>
  <si>
    <t>66:41:0614015:4087</t>
  </si>
  <si>
    <t>66:49:0000000:3700</t>
  </si>
  <si>
    <t>66:54:0000000:4214</t>
  </si>
  <si>
    <t>66:61:0226002:389</t>
  </si>
  <si>
    <t>66:25:2721002:4678</t>
  </si>
  <si>
    <t>66:56:0207001:1707</t>
  </si>
  <si>
    <t>66:11:4901002:585</t>
  </si>
  <si>
    <t>66:41:0313032:395</t>
  </si>
  <si>
    <t>66:58:0104004:748</t>
  </si>
  <si>
    <t>66:35:0221001:8278</t>
  </si>
  <si>
    <t>66:61:0220005:1459</t>
  </si>
  <si>
    <t>66:35:0221001:8277</t>
  </si>
  <si>
    <t>66:25:1901001:1190</t>
  </si>
  <si>
    <t>66:42:0601002:890</t>
  </si>
  <si>
    <t>66:24:0804001:682</t>
  </si>
  <si>
    <t>66:63:2001003:1205</t>
  </si>
  <si>
    <t>66:17:0808002:188</t>
  </si>
  <si>
    <t>66:52:0108001:457</t>
  </si>
  <si>
    <t>66:03:0801001:1798</t>
  </si>
  <si>
    <t>66:25:1201016:537</t>
  </si>
  <si>
    <t>66:06:0901002:913</t>
  </si>
  <si>
    <t>66:16:1404005:173</t>
  </si>
  <si>
    <t>66:25:0501021:1542</t>
  </si>
  <si>
    <t>66:35:0106006:279</t>
  </si>
  <si>
    <t>66:41:0310053:818</t>
  </si>
  <si>
    <t>66:44:0102023:1071</t>
  </si>
  <si>
    <t>66:56:0204009:319</t>
  </si>
  <si>
    <t>66:59:0217014:1672</t>
  </si>
  <si>
    <t>66:19:0101015:388</t>
  </si>
  <si>
    <t>66:41:0513040:2395</t>
  </si>
  <si>
    <t>66:35:0105015:1395</t>
  </si>
  <si>
    <t>66:07:2901003:776</t>
  </si>
  <si>
    <t>66:14:2701002:2408</t>
  </si>
  <si>
    <t>66:20:3901001:752</t>
  </si>
  <si>
    <t>66:28:1401001:748</t>
  </si>
  <si>
    <t>66:35:0105003:1184</t>
  </si>
  <si>
    <t>66:35:0221001:7373</t>
  </si>
  <si>
    <t>66:40:0101021:505</t>
  </si>
  <si>
    <t>66:41:0519022:132</t>
  </si>
  <si>
    <t>66:51:0102004:508</t>
  </si>
  <si>
    <t>66:59:0101011:1775</t>
  </si>
  <si>
    <t>66:61:0228003:386</t>
  </si>
  <si>
    <t>66:07:1001012:386</t>
  </si>
  <si>
    <t>66:36:1301005:323</t>
  </si>
  <si>
    <t>66:14:2701002:917</t>
  </si>
  <si>
    <t>66:41:0513032:5623</t>
  </si>
  <si>
    <t>66:06:4501001:4357</t>
  </si>
  <si>
    <t>66:22:1911001:177</t>
  </si>
  <si>
    <t>66:32:0401033:395</t>
  </si>
  <si>
    <t>66:66:0101036:800</t>
  </si>
  <si>
    <t>66:14:4401001:1558</t>
  </si>
  <si>
    <t>66:25:0201016:490</t>
  </si>
  <si>
    <t>66:25:2721002:4660</t>
  </si>
  <si>
    <t>66:36:3001021:792</t>
  </si>
  <si>
    <t>66:42:0201012:528</t>
  </si>
  <si>
    <t>66:56:0206009:676</t>
  </si>
  <si>
    <t>66:01:2301013:483</t>
  </si>
  <si>
    <t>66:25:0304006:493</t>
  </si>
  <si>
    <t>66:45:0100407:6007</t>
  </si>
  <si>
    <t>66:50:0000000:6897</t>
  </si>
  <si>
    <t>66:25:2901013:539</t>
  </si>
  <si>
    <t>66:59:0101028:304</t>
  </si>
  <si>
    <t>66:25:2721002:4666</t>
  </si>
  <si>
    <t>66:56:0401009:1795</t>
  </si>
  <si>
    <t>66:61:0207008:847</t>
  </si>
  <si>
    <t>66:54:0114003:1208</t>
  </si>
  <si>
    <t>66:25:1307001:2637</t>
  </si>
  <si>
    <t>66:02:2401011:577</t>
  </si>
  <si>
    <t>66:19:5001001:281</t>
  </si>
  <si>
    <t>66:41:0312006:165</t>
  </si>
  <si>
    <t>66:35:0221001:8256</t>
  </si>
  <si>
    <t>66:14:0301001:1751</t>
  </si>
  <si>
    <t>66:06:0401004:1538</t>
  </si>
  <si>
    <t>66:10:1501001:765</t>
  </si>
  <si>
    <t>66:24:0103002:184</t>
  </si>
  <si>
    <t>66:35:0221001:8292</t>
  </si>
  <si>
    <t>66:41:0306088:1068</t>
  </si>
  <si>
    <t>66:42:0000000:5600</t>
  </si>
  <si>
    <t>66:48:0402005:713</t>
  </si>
  <si>
    <t>66:56:0114002:892</t>
  </si>
  <si>
    <t>66:58:2201002:939</t>
  </si>
  <si>
    <t>66:69:0101003:2845</t>
  </si>
  <si>
    <t>66:12:1001004:911</t>
  </si>
  <si>
    <t>66:19:1101006:2274</t>
  </si>
  <si>
    <t>66:25:1701002:390</t>
  </si>
  <si>
    <t>66:29:2201017:339</t>
  </si>
  <si>
    <t>66:35:0221001:7364</t>
  </si>
  <si>
    <t>66:41:0108004:217</t>
  </si>
  <si>
    <t>66:41:0514032:491</t>
  </si>
  <si>
    <t>66:45:0100264:160</t>
  </si>
  <si>
    <t>66:53:0105003:435</t>
  </si>
  <si>
    <t>66:58:2301003:595</t>
  </si>
  <si>
    <t>66:06:4501021:12191</t>
  </si>
  <si>
    <t>66:58:1301007:837</t>
  </si>
  <si>
    <t>66:05:2601001:1440</t>
  </si>
  <si>
    <t>66:29:0000000:5641</t>
  </si>
  <si>
    <t>66:19:1101006:2271</t>
  </si>
  <si>
    <t>66:25:1002003:861</t>
  </si>
  <si>
    <t>66:62:0504001:1268</t>
  </si>
  <si>
    <t>66:21:0101006:291</t>
  </si>
  <si>
    <t>66:41:0310010:289</t>
  </si>
  <si>
    <t>66:16:2601018:402</t>
  </si>
  <si>
    <t>66:06:0000000:10487</t>
  </si>
  <si>
    <t>66:55:0303007:1784</t>
  </si>
  <si>
    <t>66:01:1401001:592</t>
  </si>
  <si>
    <t>66:06:4301001:125</t>
  </si>
  <si>
    <t>66:06:1601002:286</t>
  </si>
  <si>
    <t>66:54:0113002:479</t>
  </si>
  <si>
    <t>66:10:0601005:278</t>
  </si>
  <si>
    <t>66:21:1701001:812</t>
  </si>
  <si>
    <t>66:35:0105009:735</t>
  </si>
  <si>
    <t>66:39:0303002:361</t>
  </si>
  <si>
    <t>66:41:0513041:1557</t>
  </si>
  <si>
    <t>66:52:0103007:329</t>
  </si>
  <si>
    <t>66:59:0102016:1988</t>
  </si>
  <si>
    <t>66:07:1002020:873</t>
  </si>
  <si>
    <t>66:25:1201009:466</t>
  </si>
  <si>
    <t>66:41:0614072:469</t>
  </si>
  <si>
    <t>66:06:4501018:9941</t>
  </si>
  <si>
    <t>66:12:5101004:481</t>
  </si>
  <si>
    <t>66:19:1909009:201</t>
  </si>
  <si>
    <t>66:24:2001004:1198</t>
  </si>
  <si>
    <t>66:35:0103002:795</t>
  </si>
  <si>
    <t>66:35:0105015:1389</t>
  </si>
  <si>
    <t>66:35:0224003:1006</t>
  </si>
  <si>
    <t>66:41:0313006:1505</t>
  </si>
  <si>
    <t>66:48:0402008:759</t>
  </si>
  <si>
    <t>66:55:0303052:444</t>
  </si>
  <si>
    <t>66:59:0217014:1673</t>
  </si>
  <si>
    <t>66:06:4501018:9944</t>
  </si>
  <si>
    <t>66:14:3401006:762</t>
  </si>
  <si>
    <t>66:52:0107003:525</t>
  </si>
  <si>
    <t>66:41:0505005:260</t>
  </si>
  <si>
    <t>66:54:0102007:680</t>
  </si>
  <si>
    <t>66:12:5203005:595</t>
  </si>
  <si>
    <t>66:28:0801001:599</t>
  </si>
  <si>
    <t>66:59:0201002:2264</t>
  </si>
  <si>
    <t>66:06:1701003:734</t>
  </si>
  <si>
    <t>66:24:2001004:1195</t>
  </si>
  <si>
    <t>66:25:2721002:4654</t>
  </si>
  <si>
    <t>66:35:0103001:287</t>
  </si>
  <si>
    <t>66:41:0507026:423</t>
  </si>
  <si>
    <t>66:54:0000000:4225</t>
  </si>
  <si>
    <t>66:59:0216001:4987</t>
  </si>
  <si>
    <t>66:19:1101001:1944</t>
  </si>
  <si>
    <t>66:41:0203011:147</t>
  </si>
  <si>
    <t>66:41:0313010:23916</t>
  </si>
  <si>
    <t>Из железобетонных сегментов</t>
  </si>
  <si>
    <t>61001007006</t>
  </si>
  <si>
    <t>66:06:4501018:9926</t>
  </si>
  <si>
    <t>66:45:0000000:24798</t>
  </si>
  <si>
    <t>66:12:1401004:334</t>
  </si>
  <si>
    <t>66:48:0322001:1352</t>
  </si>
  <si>
    <t>66:36:3003002:309</t>
  </si>
  <si>
    <t>66:32:0403017:339</t>
  </si>
  <si>
    <t>66:25:0101009:1047</t>
  </si>
  <si>
    <t>66:35:0105015:1384</t>
  </si>
  <si>
    <t>66:57:0304003:240</t>
  </si>
  <si>
    <t>66:28:2901038:512</t>
  </si>
  <si>
    <t>66:59:0216001:4801</t>
  </si>
  <si>
    <t>66:35:0108001:2600</t>
  </si>
  <si>
    <t>66:61:0202001:474</t>
  </si>
  <si>
    <t>66:06:4501020:9387</t>
  </si>
  <si>
    <t>66:19:3101006:776</t>
  </si>
  <si>
    <t>66:34:0501003:649</t>
  </si>
  <si>
    <t>66:36:2101001:402</t>
  </si>
  <si>
    <t>66:41:0511014:189</t>
  </si>
  <si>
    <t>66:42:0401008:1705</t>
  </si>
  <si>
    <t>66:50:0512003:157</t>
  </si>
  <si>
    <t>66:58:0111005:3484</t>
  </si>
  <si>
    <t>66:59:0202001:1201</t>
  </si>
  <si>
    <t>66:03:3801001:572</t>
  </si>
  <si>
    <t>66:12:6801005:317</t>
  </si>
  <si>
    <t>66:19:2801001:594</t>
  </si>
  <si>
    <t>66:25:2721002:4267</t>
  </si>
  <si>
    <t>66:35:0103008:1662</t>
  </si>
  <si>
    <t>66:35:0224001:914</t>
  </si>
  <si>
    <t>66:41:0209033:594</t>
  </si>
  <si>
    <t>66:41:0521052:162</t>
  </si>
  <si>
    <t>66:48:0402005:714</t>
  </si>
  <si>
    <t>66:54:0000000:4202</t>
  </si>
  <si>
    <t>66:59:0216001:5050</t>
  </si>
  <si>
    <t>66:25:2501003:766</t>
  </si>
  <si>
    <t>Из прочих материалов, Крупноблочные</t>
  </si>
  <si>
    <t>61001005000, 61001007004</t>
  </si>
  <si>
    <t>66:56:0107002:644</t>
  </si>
  <si>
    <t>66:11:1801001:917</t>
  </si>
  <si>
    <t>66:41:0203028:151</t>
  </si>
  <si>
    <t>66:54:0102004:1655</t>
  </si>
  <si>
    <t>66:32:0403003:258</t>
  </si>
  <si>
    <t>66:59:0216001:5027</t>
  </si>
  <si>
    <t>66:35:0105015:1405</t>
  </si>
  <si>
    <t>66:25:1401001:575</t>
  </si>
  <si>
    <t>66:41:0508094:161</t>
  </si>
  <si>
    <t>66:08:0801014:191</t>
  </si>
  <si>
    <t>66:63:1801001:912</t>
  </si>
  <si>
    <t>66:07:1901003:803</t>
  </si>
  <si>
    <t>66:52:0107006:518</t>
  </si>
  <si>
    <t>66:36:1301015:249</t>
  </si>
  <si>
    <t>66:16:2601040:568</t>
  </si>
  <si>
    <t>66:03:1601036:407</t>
  </si>
  <si>
    <t>66:15:1501018:1281</t>
  </si>
  <si>
    <t>66:25:0501021:1539</t>
  </si>
  <si>
    <t>66:35:0106006:278</t>
  </si>
  <si>
    <t>66:41:0210030:130</t>
  </si>
  <si>
    <t>66:44:0102008:1902</t>
  </si>
  <si>
    <t>66:54:0113001:257</t>
  </si>
  <si>
    <t>66:59:0216001:5036</t>
  </si>
  <si>
    <t>66:19:0101010:1450</t>
  </si>
  <si>
    <t>66:41:0205009:19325</t>
  </si>
  <si>
    <t>66:25:3901002:681</t>
  </si>
  <si>
    <t>66:07:0801002:1840</t>
  </si>
  <si>
    <t>66:14:1501001:2680</t>
  </si>
  <si>
    <t>66:20:3201001:1030</t>
  </si>
  <si>
    <t>66:27:1102066:538</t>
  </si>
  <si>
    <t>66:35:0105002:4535</t>
  </si>
  <si>
    <t>66:35:0109002:544</t>
  </si>
  <si>
    <t>66:37:0101004:326</t>
  </si>
  <si>
    <t>66:41:0513078:440</t>
  </si>
  <si>
    <t>66:50:0540001:228</t>
  </si>
  <si>
    <t>66:58:0119001:1138</t>
  </si>
  <si>
    <t>66:61:0204001:264</t>
  </si>
  <si>
    <t>66:06:4501021:12206</t>
  </si>
  <si>
    <t>66:28:2901039:180</t>
  </si>
  <si>
    <t>66:52:0107004:627</t>
  </si>
  <si>
    <t>66:41:0513032:5621</t>
  </si>
  <si>
    <t>66:06:3601004:643</t>
  </si>
  <si>
    <t>66:19:2301001:757</t>
  </si>
  <si>
    <t>66:29:2201016:394</t>
  </si>
  <si>
    <t>66:65:0301012:401</t>
  </si>
  <si>
    <t>66:11:4301001:2290</t>
  </si>
  <si>
    <t>Стены, Рубленые</t>
  </si>
  <si>
    <t>61001000000, 61001002001</t>
  </si>
  <si>
    <t>66:25:0106002:1426</t>
  </si>
  <si>
    <t>66:25:2721002:4659</t>
  </si>
  <si>
    <t>66:35:0221001:8269</t>
  </si>
  <si>
    <t>66:41:0614063:125</t>
  </si>
  <si>
    <t>66:55:0303022:1755</t>
  </si>
  <si>
    <t>66:66:0101020:1845</t>
  </si>
  <si>
    <t>66:25:0106002:1428</t>
  </si>
  <si>
    <t>66:45:0100274:137</t>
  </si>
  <si>
    <t>66:27:1102008:524</t>
  </si>
  <si>
    <t>66:25:1201010:878</t>
  </si>
  <si>
    <t>66:58:2902069:229</t>
  </si>
  <si>
    <t>66:25:2601001:189</t>
  </si>
  <si>
    <t>66:56:0111012:338</t>
  </si>
  <si>
    <t>66:53:0602008:558</t>
  </si>
  <si>
    <t>66:54:0102008:834</t>
  </si>
  <si>
    <t>66:25:0101009:1046</t>
  </si>
  <si>
    <t>66:56:0401009:1797</t>
  </si>
  <si>
    <t>66:18:0702002:1974</t>
  </si>
  <si>
    <t>66:41:0309059:343</t>
  </si>
  <si>
    <t>66:42:0102001:4542</t>
  </si>
  <si>
    <t>66:11:0106004:916</t>
  </si>
  <si>
    <t>66:04:2001014:464</t>
  </si>
  <si>
    <t>66:09:0401014:1249</t>
  </si>
  <si>
    <t>66:23:1801001:297</t>
  </si>
  <si>
    <t>66:41:0609031:190</t>
  </si>
  <si>
    <t>66:45:0000000:24810</t>
  </si>
  <si>
    <t>66:54:0000000:4232</t>
  </si>
  <si>
    <t>66:58:0120001:3197</t>
  </si>
  <si>
    <t>66:62:0201004:904</t>
  </si>
  <si>
    <t>66:07:1801001:1737</t>
  </si>
  <si>
    <t>66:15:2902001:449</t>
  </si>
  <si>
    <t>66:25:1307001:2576</t>
  </si>
  <si>
    <t>66:28:2801021:543</t>
  </si>
  <si>
    <t>66:35:0111003:2446</t>
  </si>
  <si>
    <t>66:36:2001010:323</t>
  </si>
  <si>
    <t>66:41:0513037:3866</t>
  </si>
  <si>
    <t>66:42:0201012:529</t>
  </si>
  <si>
    <t>66:52:0103001:1528</t>
  </si>
  <si>
    <t>66:56:0201001:15963</t>
  </si>
  <si>
    <t>66:63:1801002:1709</t>
  </si>
  <si>
    <t>66:41:0102038:193</t>
  </si>
  <si>
    <t>66:59:0101026:743</t>
  </si>
  <si>
    <t>66:19:2501001:361</t>
  </si>
  <si>
    <t>66:44:0101030:901</t>
  </si>
  <si>
    <t>66:16:0401001:481</t>
  </si>
  <si>
    <t>66:56:0207001:1708</t>
  </si>
  <si>
    <t>66:06:4501021:12192</t>
  </si>
  <si>
    <t>66:25:1201010:848</t>
  </si>
  <si>
    <t>66:06:0601001:810</t>
  </si>
  <si>
    <t>66:13:0301001:894</t>
  </si>
  <si>
    <t>66:36:2301001:290</t>
  </si>
  <si>
    <t>66:21:0101031:588</t>
  </si>
  <si>
    <t>66:22:1907002:233</t>
  </si>
  <si>
    <t>66:36:0111011:800</t>
  </si>
  <si>
    <t>66:41:0105020:321</t>
  </si>
  <si>
    <t>66:06:4501020:9644</t>
  </si>
  <si>
    <t>66:19:3101004:653</t>
  </si>
  <si>
    <t>66:28:2001002:620</t>
  </si>
  <si>
    <t>66:35:0221001:8285</t>
  </si>
  <si>
    <t>66:41:0513032:5646</t>
  </si>
  <si>
    <t>66:48:0313001:525</t>
  </si>
  <si>
    <t>66:57:0210021:290</t>
  </si>
  <si>
    <t>66:69:0000000:2915</t>
  </si>
  <si>
    <t>66:19:3201003:636</t>
  </si>
  <si>
    <t>66:50:0510017:1046</t>
  </si>
  <si>
    <t>66:61:0208013:434</t>
  </si>
  <si>
    <t>66:12:1901003:541</t>
  </si>
  <si>
    <t>66:15:1501029:1670</t>
  </si>
  <si>
    <t>66:22:1903018:129</t>
  </si>
  <si>
    <t>66:28:2901026:521</t>
  </si>
  <si>
    <t>66:35:0105011:6387</t>
  </si>
  <si>
    <t>66:35:0221001:8207</t>
  </si>
  <si>
    <t>66:41:0307018:528</t>
  </si>
  <si>
    <t>66:44:0102006:4161</t>
  </si>
  <si>
    <t>66:53:0000000:4665</t>
  </si>
  <si>
    <t>66:59:0211003:1843</t>
  </si>
  <si>
    <t>66:66:0101027:307</t>
  </si>
  <si>
    <t>66:07:2304004:90</t>
  </si>
  <si>
    <t>66:31:2501003:138</t>
  </si>
  <si>
    <t>66:25:0101001:1270</t>
  </si>
  <si>
    <t>66:41:0708001:197</t>
  </si>
  <si>
    <t>66:08:0805008:397</t>
  </si>
  <si>
    <t>66:25:1601001:1190</t>
  </si>
  <si>
    <t>66:35:0221001:8274</t>
  </si>
  <si>
    <t>66:01:1201001:218</t>
  </si>
  <si>
    <t>66:15:1501020:3832</t>
  </si>
  <si>
    <t>66:25:1201028:384</t>
  </si>
  <si>
    <t>66:25:4201003:1422</t>
  </si>
  <si>
    <t>66:41:0106152:333</t>
  </si>
  <si>
    <t>66:45:0200170:2527</t>
  </si>
  <si>
    <t>66:58:2902001:2240</t>
  </si>
  <si>
    <t>66:06:4501021:12189</t>
  </si>
  <si>
    <t>66:30:0901001:478</t>
  </si>
  <si>
    <t>66:58:0108001:712</t>
  </si>
  <si>
    <t>66:59:0216001:4589</t>
  </si>
  <si>
    <t>66:36:0701013:354</t>
  </si>
  <si>
    <t>66:62:0107015:468</t>
  </si>
  <si>
    <t>66:36:0701013:356</t>
  </si>
  <si>
    <t>66:19:1101006:2269</t>
  </si>
  <si>
    <t>66:21:1801002:830</t>
  </si>
  <si>
    <t>66:25:2201013:611</t>
  </si>
  <si>
    <t>66:25:2721002:4670</t>
  </si>
  <si>
    <t>66:25:2721002:4669</t>
  </si>
  <si>
    <t>66:25:1405001:2761</t>
  </si>
  <si>
    <t>66:41:0710032:571</t>
  </si>
  <si>
    <t>66:41:0702069:5004</t>
  </si>
  <si>
    <t>Монолитные, Железобетонные, Монолитные</t>
  </si>
  <si>
    <t>61001006001, 61001007000, 61001007003</t>
  </si>
  <si>
    <t>66:25:2601020:282</t>
  </si>
  <si>
    <t>66:06:4501001:4293</t>
  </si>
  <si>
    <t>66:14:2701002:2385</t>
  </si>
  <si>
    <t>66:37:0202012:251</t>
  </si>
  <si>
    <t>66:41:0515016:188</t>
  </si>
  <si>
    <t>66:43:0101016:596</t>
  </si>
  <si>
    <t>66:52:0107004:873</t>
  </si>
  <si>
    <t>66:58:0116001:10217</t>
  </si>
  <si>
    <t>66:59:0216001:5041</t>
  </si>
  <si>
    <t>66:06:4501026:810</t>
  </si>
  <si>
    <t>66:15:1501019:1130</t>
  </si>
  <si>
    <t>66:21:0101076:1933</t>
  </si>
  <si>
    <t>66:27:1102038:309</t>
  </si>
  <si>
    <t>66:35:0108004:242</t>
  </si>
  <si>
    <t>66:36:0111064:166</t>
  </si>
  <si>
    <t>66:41:0509067:287</t>
  </si>
  <si>
    <t>66:42:0101030:6602</t>
  </si>
  <si>
    <t>66:50:0526002:253</t>
  </si>
  <si>
    <t>66:54:0112005:596</t>
  </si>
  <si>
    <t>66:62:0102006:880</t>
  </si>
  <si>
    <t>66:30:0601002:655</t>
  </si>
  <si>
    <t>66:56:0402006:1551</t>
  </si>
  <si>
    <t>66:14:2701002:2405</t>
  </si>
  <si>
    <t>66:41:0401021:477</t>
  </si>
  <si>
    <t>66:06:4501021:12193</t>
  </si>
  <si>
    <t>66:49:0501020:267</t>
  </si>
  <si>
    <t>Деревянные, Деревянные</t>
  </si>
  <si>
    <t>61001002000, 61001002000</t>
  </si>
  <si>
    <t>66:69:0000000:2864</t>
  </si>
  <si>
    <t>66:45:0200202:294</t>
  </si>
  <si>
    <t>66:46:0104003:2264</t>
  </si>
  <si>
    <t>66:48:0313001:526</t>
  </si>
  <si>
    <t>66:25:0317004:252</t>
  </si>
  <si>
    <t>66:01:4301001:380</t>
  </si>
  <si>
    <t>66:52:0107003:531</t>
  </si>
  <si>
    <t>66:02:1701014:171</t>
  </si>
  <si>
    <t>66:07:1002004:114</t>
  </si>
  <si>
    <t>66:25:2721002:4681</t>
  </si>
  <si>
    <t>66:06:2501022:417</t>
  </si>
  <si>
    <t>66:16:2601040:569</t>
  </si>
  <si>
    <t>66:25:0501021:1544</t>
  </si>
  <si>
    <t>66:35:0207016:1391</t>
  </si>
  <si>
    <t>66:41:0313025:310</t>
  </si>
  <si>
    <t>66:47:0404005:788</t>
  </si>
  <si>
    <t>66:56:0208001:1377</t>
  </si>
  <si>
    <t>66:60:0000000:7556</t>
  </si>
  <si>
    <t>66:19:1906002:304</t>
  </si>
  <si>
    <t>66:41:0513041:1552</t>
  </si>
  <si>
    <t>66:41:0513037:3840</t>
  </si>
  <si>
    <t>66:08:0805017:1770</t>
  </si>
  <si>
    <t>66:15:0901001:1023</t>
  </si>
  <si>
    <t>66:21:0101007:241</t>
  </si>
  <si>
    <t>66:28:2801025:291</t>
  </si>
  <si>
    <t>66:35:0105009:736</t>
  </si>
  <si>
    <t>66:35:0221001:8098</t>
  </si>
  <si>
    <t>66:41:0106046:218</t>
  </si>
  <si>
    <t>66:41:0521013:294</t>
  </si>
  <si>
    <t>66:52:0102001:558</t>
  </si>
  <si>
    <t>66:59:0101011:1776</t>
  </si>
  <si>
    <t>66:62:0107011:1431</t>
  </si>
  <si>
    <t>66:07:1801001:1735</t>
  </si>
  <si>
    <t>66:17:0808002:169</t>
  </si>
  <si>
    <t>66:01:5401001:132</t>
  </si>
  <si>
    <t>66:28:2601001:601</t>
  </si>
  <si>
    <t>66:41:0513045:809</t>
  </si>
  <si>
    <t>66:06:4501001:4358</t>
  </si>
  <si>
    <t>66:25:0104002:935</t>
  </si>
  <si>
    <t>66:35:0105002:4543</t>
  </si>
  <si>
    <t>66:35:0221001:8267</t>
  </si>
  <si>
    <t>66:14:4401001:1559</t>
  </si>
  <si>
    <t>66:25:0304006:492</t>
  </si>
  <si>
    <t>66:25:2901001:1356</t>
  </si>
  <si>
    <t>66:37:0201004:2526</t>
  </si>
  <si>
    <t>66:45:0100303:957</t>
  </si>
  <si>
    <t>66:56:0402005:408</t>
  </si>
  <si>
    <t>66:01:3901012:230</t>
  </si>
  <si>
    <t>66:25:2401006:715</t>
  </si>
  <si>
    <t>66:50:0539005:401</t>
  </si>
  <si>
    <t>66:54:0000000:4228</t>
  </si>
  <si>
    <t>66:25:3602004:117</t>
  </si>
  <si>
    <t>66:59:0206003:2181</t>
  </si>
  <si>
    <t>66:25:2721002:4667</t>
  </si>
  <si>
    <t>66:03:2401001:486</t>
  </si>
  <si>
    <t>66:68:0201001:1330</t>
  </si>
  <si>
    <t>66:54:0116006:1903</t>
  </si>
  <si>
    <t>66:25:1405002:1040</t>
  </si>
  <si>
    <t>66:06:4501018:9358</t>
  </si>
  <si>
    <t>66:22:0103001:529</t>
  </si>
  <si>
    <t>66:41:0513032:5241</t>
  </si>
  <si>
    <t>66:41:0306026:486</t>
  </si>
  <si>
    <t>66:15:1401001:1906</t>
  </si>
  <si>
    <t>66:06:0501003:994</t>
  </si>
  <si>
    <t>66:12:3201003:316</t>
  </si>
  <si>
    <t>66:25:1401002:1065</t>
  </si>
  <si>
    <t>66:24:2001004:1199</t>
  </si>
  <si>
    <t>66:33:0101009:4976</t>
  </si>
  <si>
    <t>66:36:1301002:258</t>
  </si>
  <si>
    <t>66:41:0505001:5712</t>
  </si>
  <si>
    <t>66:42:0201003:2862</t>
  </si>
  <si>
    <t>66:50:0510006:666</t>
  </si>
  <si>
    <t>66:58:0105002:507</t>
  </si>
  <si>
    <t>66:59:0102004:1083</t>
  </si>
  <si>
    <t>66:02:1701004:738</t>
  </si>
  <si>
    <t>66:12:5301001:580</t>
  </si>
  <si>
    <t>66:19:1908005:372</t>
  </si>
  <si>
    <t>66:25:2719001:433</t>
  </si>
  <si>
    <t>66:34:0601001:2240</t>
  </si>
  <si>
    <t>66:35:0221001:8295</t>
  </si>
  <si>
    <t>66:41:0208008:410</t>
  </si>
  <si>
    <t>66:41:0521020:204</t>
  </si>
  <si>
    <t>66:46:0108001:3265</t>
  </si>
  <si>
    <t>66:54:0000000:4200</t>
  </si>
  <si>
    <t>66:59:0102014:543</t>
  </si>
  <si>
    <t>66:19:1101001:1945</t>
  </si>
  <si>
    <t>66:56:0106001:735</t>
  </si>
  <si>
    <t>66:08:0802010:1721</t>
  </si>
  <si>
    <t>66:35:0221001:8276</t>
  </si>
  <si>
    <t>66:37:0202025:305</t>
  </si>
  <si>
    <t>66:30:0201005:261</t>
  </si>
  <si>
    <t>66:58:0104001:1077</t>
  </si>
  <si>
    <t>66:33:0101001:1252</t>
  </si>
  <si>
    <t>66:15:1501018:1297</t>
  </si>
  <si>
    <t>66:36:3001006:231</t>
  </si>
  <si>
    <t>66:08:0801005:1404</t>
  </si>
  <si>
    <t>66:59:0101007:1571</t>
  </si>
  <si>
    <t>66:52:0107005:931</t>
  </si>
  <si>
    <t>66:52:0108001:416</t>
  </si>
  <si>
    <t>66:12:4901002:891</t>
  </si>
  <si>
    <t>66:03:1601018:698</t>
  </si>
  <si>
    <t>66:15:1501010:1034</t>
  </si>
  <si>
    <t>66:25:0317005:223</t>
  </si>
  <si>
    <t>66:35:0105017:964</t>
  </si>
  <si>
    <t>66:41:0106081:530</t>
  </si>
  <si>
    <t>66:44:0102006:4159</t>
  </si>
  <si>
    <t>66:54:0112005:595</t>
  </si>
  <si>
    <t>66:59:0209003:860</t>
  </si>
  <si>
    <t>66:17:0803003:1651</t>
  </si>
  <si>
    <t>66:35:0217001:580</t>
  </si>
  <si>
    <t>66:21:0101079:3031</t>
  </si>
  <si>
    <t>66:06:4504020:417</t>
  </si>
  <si>
    <t>66:14:1501001:2679</t>
  </si>
  <si>
    <t>66:20:3201001:1028</t>
  </si>
  <si>
    <t>66:27:1102019:545</t>
  </si>
  <si>
    <t>66:35:0105002:4534</t>
  </si>
  <si>
    <t>66:35:0106006:280</t>
  </si>
  <si>
    <t>66:36:2001014:553</t>
  </si>
  <si>
    <t>66:41:0513040:2402</t>
  </si>
  <si>
    <t>66:50:0510026:655</t>
  </si>
  <si>
    <t>66:58:0110005:634</t>
  </si>
  <si>
    <t>66:60:0901008:2262</t>
  </si>
  <si>
    <t>66:06:4501021:12204</t>
  </si>
  <si>
    <t>66:21:0401001:490</t>
  </si>
  <si>
    <t>66:41:0501005:36</t>
  </si>
  <si>
    <t>66:41:0513032:5620</t>
  </si>
  <si>
    <t>66:03:1601013:456</t>
  </si>
  <si>
    <t>66:16:0601001:413</t>
  </si>
  <si>
    <t>66:28:3201001:528</t>
  </si>
  <si>
    <t>66:60:0904003:580</t>
  </si>
  <si>
    <t>66:06:4501069:1657</t>
  </si>
  <si>
    <t>66:25:0106002:1425</t>
  </si>
  <si>
    <t>66:25:2721002:4657</t>
  </si>
  <si>
    <t>66:35:0212008:428</t>
  </si>
  <si>
    <t>66:41:0610041:182</t>
  </si>
  <si>
    <t>66:55:0303014:479</t>
  </si>
  <si>
    <t>66:61:0220010:561</t>
  </si>
  <si>
    <t>66:24:2201002:341</t>
  </si>
  <si>
    <t>66:44:0101019:767</t>
  </si>
  <si>
    <t>66:25:2702001:2669</t>
  </si>
  <si>
    <t>66:25:0501005:203</t>
  </si>
  <si>
    <t>66:56:0404001:3426</t>
  </si>
  <si>
    <t>66:25:2201010:343</t>
  </si>
  <si>
    <t>66:55:0303022:1756</t>
  </si>
  <si>
    <t>66:52:0109002:537</t>
  </si>
  <si>
    <t>66:41:0514003:778</t>
  </si>
  <si>
    <t>66:19:0000000:20053</t>
  </si>
  <si>
    <t>66:54:0116005:1573</t>
  </si>
  <si>
    <t>66:12:4101002:481</t>
  </si>
  <si>
    <t>66:41:0308001:153</t>
  </si>
  <si>
    <t>66:70:0101002:1324</t>
  </si>
  <si>
    <t>66:06:0401004:1551</t>
  </si>
  <si>
    <t>66:04:2001005:472</t>
  </si>
  <si>
    <t>66:07:0601002:916</t>
  </si>
  <si>
    <t>66:21:0901001:816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</si>
</sst>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quotePrefix="1" applyFont="1" applyAlignment="1">
      <alignment vertical="top" wrapText="1"/>
    </xf>
    <xf numFmtId="0" fontId="1" fillId="0" borderId="0" xfId="0" applyFont="1" applyAlignment="1">
      <alignment vertical="top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quotePrefix="1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2" borderId="0" xfId="0" applyFill="1" applyAlignment="1">
      <alignment wrapText="1"/>
    </xf>
    <xf numFmtId="0" fontId="1" fillId="2" borderId="0" xfId="0" applyNumberFormat="1" applyFont="1" applyFill="1" applyAlignment="1">
      <alignment vertical="top" wrapText="1"/>
    </xf>
    <xf numFmtId="0" fontId="1" fillId="2" borderId="0" xfId="0" quotePrefix="1" applyNumberFormat="1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97"/>
  <sheetViews>
    <sheetView tabSelected="1" topLeftCell="F1" workbookViewId="0">
      <selection activeCell="I5" sqref="I5:M3497"/>
    </sheetView>
  </sheetViews>
  <sheetFormatPr defaultRowHeight="12.75" x14ac:dyDescent="0.25"/>
  <cols>
    <col min="1" max="1" width="14.7109375" style="1" customWidth="1"/>
    <col min="2" max="2" width="21.7109375" style="1" customWidth="1"/>
    <col min="3" max="3" width="23.7109375" style="10" customWidth="1"/>
    <col min="4" max="4" width="40.7109375" style="1" customWidth="1"/>
    <col min="5" max="5" width="28.7109375" style="1" customWidth="1"/>
    <col min="6" max="6" width="18.7109375" style="1" customWidth="1"/>
    <col min="7" max="7" width="40.7109375" style="1" customWidth="1"/>
    <col min="8" max="8" width="25.28515625" style="10" customWidth="1"/>
    <col min="9" max="9" width="27.140625" style="1" customWidth="1"/>
    <col min="10" max="10" width="26.5703125" style="1" customWidth="1"/>
    <col min="11" max="11" width="17.85546875" style="1" customWidth="1"/>
    <col min="12" max="12" width="19.85546875" style="1" customWidth="1"/>
    <col min="13" max="13" width="25" style="1" customWidth="1"/>
    <col min="14" max="16384" width="9.140625" style="1"/>
  </cols>
  <sheetData>
    <row r="1" spans="1:13" ht="25.5" x14ac:dyDescent="0.25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11" t="s">
        <v>19</v>
      </c>
      <c r="J1" s="1" t="s">
        <v>17</v>
      </c>
      <c r="K1" s="4" t="s">
        <v>13</v>
      </c>
      <c r="L1" s="1" t="s">
        <v>18</v>
      </c>
      <c r="M1" s="1" t="s">
        <v>21</v>
      </c>
    </row>
    <row r="2" spans="1:13" s="7" customFormat="1" ht="25.5" x14ac:dyDescent="0.25">
      <c r="A2" s="2" t="s">
        <v>28</v>
      </c>
      <c r="B2" s="5" t="s">
        <v>22</v>
      </c>
      <c r="C2" s="5" t="s">
        <v>31</v>
      </c>
      <c r="D2" s="5" t="s">
        <v>24</v>
      </c>
      <c r="E2" s="5" t="s">
        <v>23</v>
      </c>
      <c r="F2" s="5" t="s">
        <v>25</v>
      </c>
      <c r="G2" s="5" t="s">
        <v>26</v>
      </c>
      <c r="H2" s="8" t="s">
        <v>29</v>
      </c>
      <c r="I2" s="11"/>
    </row>
    <row r="3" spans="1:13" s="7" customFormat="1" ht="15" x14ac:dyDescent="0.25">
      <c r="A3" s="7" t="s">
        <v>27</v>
      </c>
      <c r="B3" s="7" t="s">
        <v>27</v>
      </c>
      <c r="C3" s="7" t="s">
        <v>27</v>
      </c>
      <c r="D3" s="7" t="s">
        <v>27</v>
      </c>
      <c r="E3" s="7" t="s">
        <v>27</v>
      </c>
      <c r="F3" s="7" t="s">
        <v>27</v>
      </c>
      <c r="G3" s="7" t="s">
        <v>27</v>
      </c>
      <c r="H3" s="7" t="s">
        <v>30</v>
      </c>
      <c r="I3" s="11"/>
    </row>
    <row r="4" spans="1:13" x14ac:dyDescent="0.25">
      <c r="A4" s="12">
        <v>8060</v>
      </c>
      <c r="B4" s="13" t="s">
        <v>32</v>
      </c>
      <c r="C4" s="13" t="s">
        <v>33</v>
      </c>
      <c r="D4" s="13" t="s">
        <v>20</v>
      </c>
      <c r="E4" s="13" t="s">
        <v>8</v>
      </c>
      <c r="F4" s="13" t="s">
        <v>9</v>
      </c>
      <c r="G4" s="13" t="s">
        <v>34</v>
      </c>
      <c r="H4" s="13" t="s">
        <v>35</v>
      </c>
      <c r="I4" s="1" t="str">
        <f>IF(LEN(H4)=11,H4,IF(LEN(H4)=0,"61001005000","61001003000"))</f>
        <v>61001002000</v>
      </c>
      <c r="J4" s="1" t="str">
        <f>IF(LEN(H4)=11,"Материал по ЕГРН",IF(LEN(H4)=0,"Прочие по допущению","Смешанные по допущению"))</f>
        <v>Материал по ЕГРН</v>
      </c>
      <c r="K4" s="1">
        <f>VLOOKUP(J4,Лист2!A$2:B$4,2,FALSE)</f>
        <v>792</v>
      </c>
      <c r="L4" s="1" t="str">
        <f>IF(I4=C4,"ГОТОВ","ГОТОВ_ИЗМЕНЕН")</f>
        <v>ГОТОВ_ИЗМЕНЕН</v>
      </c>
      <c r="M4" s="1" t="str">
        <f>C4</f>
        <v>61001005000</v>
      </c>
    </row>
    <row r="5" spans="1:13" x14ac:dyDescent="0.25">
      <c r="A5" s="1">
        <v>381226</v>
      </c>
      <c r="B5" s="6" t="s">
        <v>36</v>
      </c>
      <c r="C5" s="9" t="s">
        <v>33</v>
      </c>
      <c r="D5" s="6" t="s">
        <v>20</v>
      </c>
      <c r="E5" s="6" t="s">
        <v>37</v>
      </c>
      <c r="F5" s="6" t="s">
        <v>9</v>
      </c>
      <c r="G5" s="6" t="s">
        <v>38</v>
      </c>
      <c r="H5" s="9" t="s">
        <v>33</v>
      </c>
      <c r="I5" s="7" t="str">
        <f t="shared" ref="I5:I68" si="0">IF(LEN(H5)=11,H5,IF(LEN(H5)=0,"61001005000","61001003000"))</f>
        <v>61001005000</v>
      </c>
      <c r="J5" s="7" t="str">
        <f t="shared" ref="J5:J68" si="1">IF(LEN(H5)=11,"Материал по ЕГРН",IF(LEN(H5)=0,"Прочие по допущению","Смешанные по допущению"))</f>
        <v>Материал по ЕГРН</v>
      </c>
      <c r="K5" s="7">
        <f>VLOOKUP(J5,Лист2!A$2:B$4,2,FALSE)</f>
        <v>792</v>
      </c>
      <c r="L5" s="7" t="str">
        <f t="shared" ref="L5:L68" si="2">IF(I5=C5,"ГОТОВ","ГОТОВ_ИЗМЕНЕН")</f>
        <v>ГОТОВ</v>
      </c>
      <c r="M5" s="7" t="str">
        <f t="shared" ref="M5:M68" si="3">C5</f>
        <v>61001005000</v>
      </c>
    </row>
    <row r="6" spans="1:13" x14ac:dyDescent="0.25">
      <c r="A6" s="1">
        <v>515719</v>
      </c>
      <c r="B6" s="6" t="s">
        <v>39</v>
      </c>
      <c r="C6" s="9" t="s">
        <v>33</v>
      </c>
      <c r="D6" s="6" t="s">
        <v>20</v>
      </c>
      <c r="E6" s="6" t="s">
        <v>37</v>
      </c>
      <c r="F6" s="6" t="s">
        <v>9</v>
      </c>
      <c r="G6" s="6" t="s">
        <v>38</v>
      </c>
      <c r="H6" s="9" t="s">
        <v>33</v>
      </c>
      <c r="I6" s="7" t="str">
        <f t="shared" si="0"/>
        <v>61001005000</v>
      </c>
      <c r="J6" s="7" t="str">
        <f t="shared" si="1"/>
        <v>Материал по ЕГРН</v>
      </c>
      <c r="K6" s="7">
        <f>VLOOKUP(J6,Лист2!A$2:B$4,2,FALSE)</f>
        <v>792</v>
      </c>
      <c r="L6" s="7" t="str">
        <f t="shared" si="2"/>
        <v>ГОТОВ</v>
      </c>
      <c r="M6" s="7" t="str">
        <f t="shared" si="3"/>
        <v>61001005000</v>
      </c>
    </row>
    <row r="7" spans="1:13" x14ac:dyDescent="0.25">
      <c r="A7" s="1">
        <v>524391</v>
      </c>
      <c r="B7" s="6" t="s">
        <v>40</v>
      </c>
      <c r="C7" s="9" t="s">
        <v>33</v>
      </c>
      <c r="D7" s="6" t="s">
        <v>20</v>
      </c>
      <c r="E7" s="6" t="s">
        <v>37</v>
      </c>
      <c r="F7" s="6" t="s">
        <v>9</v>
      </c>
      <c r="G7" s="6" t="s">
        <v>38</v>
      </c>
      <c r="H7" s="9" t="s">
        <v>33</v>
      </c>
      <c r="I7" s="7" t="str">
        <f t="shared" si="0"/>
        <v>61001005000</v>
      </c>
      <c r="J7" s="7" t="str">
        <f t="shared" si="1"/>
        <v>Материал по ЕГРН</v>
      </c>
      <c r="K7" s="7">
        <f>VLOOKUP(J7,Лист2!A$2:B$4,2,FALSE)</f>
        <v>792</v>
      </c>
      <c r="L7" s="7" t="str">
        <f t="shared" si="2"/>
        <v>ГОТОВ</v>
      </c>
      <c r="M7" s="7" t="str">
        <f t="shared" si="3"/>
        <v>61001005000</v>
      </c>
    </row>
    <row r="8" spans="1:13" x14ac:dyDescent="0.25">
      <c r="A8" s="1">
        <v>534275</v>
      </c>
      <c r="B8" s="6" t="s">
        <v>41</v>
      </c>
      <c r="C8" s="9" t="s">
        <v>42</v>
      </c>
      <c r="D8" s="6" t="s">
        <v>20</v>
      </c>
      <c r="E8" s="6" t="s">
        <v>37</v>
      </c>
      <c r="F8" s="6" t="s">
        <v>9</v>
      </c>
      <c r="G8" s="6" t="s">
        <v>43</v>
      </c>
      <c r="H8" s="9" t="s">
        <v>42</v>
      </c>
      <c r="I8" s="7" t="str">
        <f t="shared" si="0"/>
        <v>61001002001</v>
      </c>
      <c r="J8" s="7" t="str">
        <f t="shared" si="1"/>
        <v>Материал по ЕГРН</v>
      </c>
      <c r="K8" s="7">
        <f>VLOOKUP(J8,Лист2!A$2:B$4,2,FALSE)</f>
        <v>792</v>
      </c>
      <c r="L8" s="7" t="str">
        <f t="shared" si="2"/>
        <v>ГОТОВ</v>
      </c>
      <c r="M8" s="7" t="str">
        <f t="shared" si="3"/>
        <v>61001002001</v>
      </c>
    </row>
    <row r="9" spans="1:13" x14ac:dyDescent="0.25">
      <c r="A9" s="1">
        <v>765457</v>
      </c>
      <c r="B9" s="6" t="s">
        <v>44</v>
      </c>
      <c r="C9" s="9" t="s">
        <v>42</v>
      </c>
      <c r="D9" s="6" t="s">
        <v>20</v>
      </c>
      <c r="E9" s="6" t="s">
        <v>37</v>
      </c>
      <c r="F9" s="6" t="s">
        <v>9</v>
      </c>
      <c r="G9" s="6" t="s">
        <v>43</v>
      </c>
      <c r="H9" s="9" t="s">
        <v>42</v>
      </c>
      <c r="I9" s="7" t="str">
        <f t="shared" si="0"/>
        <v>61001002001</v>
      </c>
      <c r="J9" s="7" t="str">
        <f t="shared" si="1"/>
        <v>Материал по ЕГРН</v>
      </c>
      <c r="K9" s="7">
        <f>VLOOKUP(J9,Лист2!A$2:B$4,2,FALSE)</f>
        <v>792</v>
      </c>
      <c r="L9" s="7" t="str">
        <f t="shared" si="2"/>
        <v>ГОТОВ</v>
      </c>
      <c r="M9" s="7" t="str">
        <f t="shared" si="3"/>
        <v>61001002001</v>
      </c>
    </row>
    <row r="10" spans="1:13" x14ac:dyDescent="0.25">
      <c r="A10" s="1">
        <v>241026</v>
      </c>
      <c r="B10" s="6" t="s">
        <v>45</v>
      </c>
      <c r="C10" s="9" t="s">
        <v>33</v>
      </c>
      <c r="D10" s="6" t="s">
        <v>20</v>
      </c>
      <c r="E10" s="6" t="s">
        <v>37</v>
      </c>
      <c r="F10" s="6" t="s">
        <v>9</v>
      </c>
      <c r="G10" s="6" t="s">
        <v>38</v>
      </c>
      <c r="H10" s="9" t="s">
        <v>33</v>
      </c>
      <c r="I10" s="7" t="str">
        <f t="shared" si="0"/>
        <v>61001005000</v>
      </c>
      <c r="J10" s="7" t="str">
        <f t="shared" si="1"/>
        <v>Материал по ЕГРН</v>
      </c>
      <c r="K10" s="7">
        <f>VLOOKUP(J10,Лист2!A$2:B$4,2,FALSE)</f>
        <v>792</v>
      </c>
      <c r="L10" s="7" t="str">
        <f t="shared" si="2"/>
        <v>ГОТОВ</v>
      </c>
      <c r="M10" s="7" t="str">
        <f t="shared" si="3"/>
        <v>61001005000</v>
      </c>
    </row>
    <row r="11" spans="1:13" x14ac:dyDescent="0.25">
      <c r="A11" s="1">
        <v>340002</v>
      </c>
      <c r="B11" s="6" t="s">
        <v>46</v>
      </c>
      <c r="C11" s="9" t="s">
        <v>33</v>
      </c>
      <c r="D11" s="6" t="s">
        <v>20</v>
      </c>
      <c r="E11" s="6" t="s">
        <v>37</v>
      </c>
      <c r="F11" s="6" t="s">
        <v>9</v>
      </c>
      <c r="G11" s="6" t="s">
        <v>38</v>
      </c>
      <c r="H11" s="9" t="s">
        <v>33</v>
      </c>
      <c r="I11" s="7" t="str">
        <f t="shared" si="0"/>
        <v>61001005000</v>
      </c>
      <c r="J11" s="7" t="str">
        <f t="shared" si="1"/>
        <v>Материал по ЕГРН</v>
      </c>
      <c r="K11" s="7">
        <f>VLOOKUP(J11,Лист2!A$2:B$4,2,FALSE)</f>
        <v>792</v>
      </c>
      <c r="L11" s="7" t="str">
        <f t="shared" si="2"/>
        <v>ГОТОВ</v>
      </c>
      <c r="M11" s="7" t="str">
        <f t="shared" si="3"/>
        <v>61001005000</v>
      </c>
    </row>
    <row r="12" spans="1:13" x14ac:dyDescent="0.25">
      <c r="A12" s="1">
        <v>591885</v>
      </c>
      <c r="B12" s="6" t="s">
        <v>47</v>
      </c>
      <c r="C12" s="9" t="s">
        <v>33</v>
      </c>
      <c r="D12" s="6" t="s">
        <v>20</v>
      </c>
      <c r="E12" s="6" t="s">
        <v>37</v>
      </c>
      <c r="F12" s="6" t="s">
        <v>9</v>
      </c>
      <c r="G12" s="6" t="s">
        <v>38</v>
      </c>
      <c r="H12" s="9" t="s">
        <v>33</v>
      </c>
      <c r="I12" s="7" t="str">
        <f t="shared" si="0"/>
        <v>61001005000</v>
      </c>
      <c r="J12" s="7" t="str">
        <f t="shared" si="1"/>
        <v>Материал по ЕГРН</v>
      </c>
      <c r="K12" s="7">
        <f>VLOOKUP(J12,Лист2!A$2:B$4,2,FALSE)</f>
        <v>792</v>
      </c>
      <c r="L12" s="7" t="str">
        <f t="shared" si="2"/>
        <v>ГОТОВ</v>
      </c>
      <c r="M12" s="7" t="str">
        <f t="shared" si="3"/>
        <v>61001005000</v>
      </c>
    </row>
    <row r="13" spans="1:13" x14ac:dyDescent="0.25">
      <c r="A13" s="1">
        <v>120134</v>
      </c>
      <c r="B13" s="6" t="s">
        <v>48</v>
      </c>
      <c r="C13" s="9" t="s">
        <v>42</v>
      </c>
      <c r="D13" s="6" t="s">
        <v>20</v>
      </c>
      <c r="E13" s="6" t="s">
        <v>37</v>
      </c>
      <c r="F13" s="6" t="s">
        <v>9</v>
      </c>
      <c r="G13" s="6" t="s">
        <v>43</v>
      </c>
      <c r="H13" s="9" t="s">
        <v>42</v>
      </c>
      <c r="I13" s="7" t="str">
        <f t="shared" si="0"/>
        <v>61001002001</v>
      </c>
      <c r="J13" s="7" t="str">
        <f t="shared" si="1"/>
        <v>Материал по ЕГРН</v>
      </c>
      <c r="K13" s="7">
        <f>VLOOKUP(J13,Лист2!A$2:B$4,2,FALSE)</f>
        <v>792</v>
      </c>
      <c r="L13" s="7" t="str">
        <f t="shared" si="2"/>
        <v>ГОТОВ</v>
      </c>
      <c r="M13" s="7" t="str">
        <f t="shared" si="3"/>
        <v>61001002001</v>
      </c>
    </row>
    <row r="14" spans="1:13" x14ac:dyDescent="0.25">
      <c r="A14" s="1">
        <v>313806</v>
      </c>
      <c r="B14" s="6" t="s">
        <v>49</v>
      </c>
      <c r="C14" s="9" t="s">
        <v>33</v>
      </c>
      <c r="D14" s="6" t="s">
        <v>20</v>
      </c>
      <c r="E14" s="6" t="s">
        <v>37</v>
      </c>
      <c r="F14" s="6" t="s">
        <v>9</v>
      </c>
      <c r="G14" s="6" t="s">
        <v>38</v>
      </c>
      <c r="H14" s="9" t="s">
        <v>33</v>
      </c>
      <c r="I14" s="7" t="str">
        <f t="shared" si="0"/>
        <v>61001005000</v>
      </c>
      <c r="J14" s="7" t="str">
        <f t="shared" si="1"/>
        <v>Материал по ЕГРН</v>
      </c>
      <c r="K14" s="7">
        <f>VLOOKUP(J14,Лист2!A$2:B$4,2,FALSE)</f>
        <v>792</v>
      </c>
      <c r="L14" s="7" t="str">
        <f t="shared" si="2"/>
        <v>ГОТОВ</v>
      </c>
      <c r="M14" s="7" t="str">
        <f t="shared" si="3"/>
        <v>61001005000</v>
      </c>
    </row>
    <row r="15" spans="1:13" x14ac:dyDescent="0.25">
      <c r="A15" s="1">
        <v>779263</v>
      </c>
      <c r="B15" s="6" t="s">
        <v>50</v>
      </c>
      <c r="C15" s="9" t="s">
        <v>33</v>
      </c>
      <c r="D15" s="6" t="s">
        <v>20</v>
      </c>
      <c r="E15" s="6" t="s">
        <v>37</v>
      </c>
      <c r="F15" s="6" t="s">
        <v>9</v>
      </c>
      <c r="G15" s="6" t="s">
        <v>38</v>
      </c>
      <c r="H15" s="9" t="s">
        <v>33</v>
      </c>
      <c r="I15" s="7" t="str">
        <f t="shared" si="0"/>
        <v>61001005000</v>
      </c>
      <c r="J15" s="7" t="str">
        <f t="shared" si="1"/>
        <v>Материал по ЕГРН</v>
      </c>
      <c r="K15" s="7">
        <f>VLOOKUP(J15,Лист2!A$2:B$4,2,FALSE)</f>
        <v>792</v>
      </c>
      <c r="L15" s="7" t="str">
        <f t="shared" si="2"/>
        <v>ГОТОВ</v>
      </c>
      <c r="M15" s="7" t="str">
        <f t="shared" si="3"/>
        <v>61001005000</v>
      </c>
    </row>
    <row r="16" spans="1:13" x14ac:dyDescent="0.25">
      <c r="A16" s="1">
        <v>787666</v>
      </c>
      <c r="B16" s="6" t="s">
        <v>51</v>
      </c>
      <c r="C16" s="9" t="s">
        <v>33</v>
      </c>
      <c r="D16" s="6" t="s">
        <v>20</v>
      </c>
      <c r="E16" s="6" t="s">
        <v>37</v>
      </c>
      <c r="F16" s="6" t="s">
        <v>9</v>
      </c>
      <c r="G16" s="6" t="s">
        <v>38</v>
      </c>
      <c r="H16" s="9" t="s">
        <v>33</v>
      </c>
      <c r="I16" s="7" t="str">
        <f t="shared" si="0"/>
        <v>61001005000</v>
      </c>
      <c r="J16" s="7" t="str">
        <f t="shared" si="1"/>
        <v>Материал по ЕГРН</v>
      </c>
      <c r="K16" s="7">
        <f>VLOOKUP(J16,Лист2!A$2:B$4,2,FALSE)</f>
        <v>792</v>
      </c>
      <c r="L16" s="7" t="str">
        <f t="shared" si="2"/>
        <v>ГОТОВ</v>
      </c>
      <c r="M16" s="7" t="str">
        <f t="shared" si="3"/>
        <v>61001005000</v>
      </c>
    </row>
    <row r="17" spans="1:13" x14ac:dyDescent="0.25">
      <c r="A17" s="1">
        <v>943420</v>
      </c>
      <c r="B17" s="6" t="s">
        <v>52</v>
      </c>
      <c r="F17" s="6" t="s">
        <v>9</v>
      </c>
      <c r="G17" s="6" t="s">
        <v>10</v>
      </c>
      <c r="H17" s="9" t="s">
        <v>11</v>
      </c>
      <c r="I17" s="7" t="str">
        <f t="shared" si="0"/>
        <v>61001003000</v>
      </c>
      <c r="J17" s="7" t="str">
        <f t="shared" si="1"/>
        <v>Материал по ЕГРН</v>
      </c>
      <c r="K17" s="7">
        <f>VLOOKUP(J17,Лист2!A$2:B$4,2,FALSE)</f>
        <v>792</v>
      </c>
      <c r="L17" s="7" t="str">
        <f t="shared" si="2"/>
        <v>ГОТОВ_ИЗМЕНЕН</v>
      </c>
      <c r="M17" s="7">
        <f t="shared" si="3"/>
        <v>0</v>
      </c>
    </row>
    <row r="18" spans="1:13" x14ac:dyDescent="0.25">
      <c r="A18" s="1">
        <v>943432</v>
      </c>
      <c r="B18" s="6" t="s">
        <v>53</v>
      </c>
      <c r="F18" s="6" t="s">
        <v>9</v>
      </c>
      <c r="G18" s="6" t="s">
        <v>43</v>
      </c>
      <c r="H18" s="9" t="s">
        <v>42</v>
      </c>
      <c r="I18" s="7" t="str">
        <f t="shared" si="0"/>
        <v>61001002001</v>
      </c>
      <c r="J18" s="7" t="str">
        <f t="shared" si="1"/>
        <v>Материал по ЕГРН</v>
      </c>
      <c r="K18" s="7">
        <f>VLOOKUP(J18,Лист2!A$2:B$4,2,FALSE)</f>
        <v>792</v>
      </c>
      <c r="L18" s="7" t="str">
        <f t="shared" si="2"/>
        <v>ГОТОВ_ИЗМЕНЕН</v>
      </c>
      <c r="M18" s="7">
        <f t="shared" si="3"/>
        <v>0</v>
      </c>
    </row>
    <row r="19" spans="1:13" x14ac:dyDescent="0.25">
      <c r="A19" s="1">
        <v>943444</v>
      </c>
      <c r="B19" s="6" t="s">
        <v>54</v>
      </c>
      <c r="F19" s="6" t="s">
        <v>9</v>
      </c>
      <c r="G19" s="6" t="s">
        <v>38</v>
      </c>
      <c r="H19" s="9" t="s">
        <v>33</v>
      </c>
      <c r="I19" s="7" t="str">
        <f t="shared" si="0"/>
        <v>61001005000</v>
      </c>
      <c r="J19" s="7" t="str">
        <f t="shared" si="1"/>
        <v>Материал по ЕГРН</v>
      </c>
      <c r="K19" s="7">
        <f>VLOOKUP(J19,Лист2!A$2:B$4,2,FALSE)</f>
        <v>792</v>
      </c>
      <c r="L19" s="7" t="str">
        <f t="shared" si="2"/>
        <v>ГОТОВ_ИЗМЕНЕН</v>
      </c>
      <c r="M19" s="7">
        <f t="shared" si="3"/>
        <v>0</v>
      </c>
    </row>
    <row r="20" spans="1:13" x14ac:dyDescent="0.25">
      <c r="A20" s="1">
        <v>943456</v>
      </c>
      <c r="B20" s="6" t="s">
        <v>55</v>
      </c>
      <c r="F20" s="6" t="s">
        <v>9</v>
      </c>
      <c r="G20" s="6" t="s">
        <v>34</v>
      </c>
      <c r="H20" s="9" t="s">
        <v>35</v>
      </c>
      <c r="I20" s="7" t="str">
        <f t="shared" si="0"/>
        <v>61001002000</v>
      </c>
      <c r="J20" s="7" t="str">
        <f t="shared" si="1"/>
        <v>Материал по ЕГРН</v>
      </c>
      <c r="K20" s="7">
        <f>VLOOKUP(J20,Лист2!A$2:B$4,2,FALSE)</f>
        <v>792</v>
      </c>
      <c r="L20" s="7" t="str">
        <f t="shared" si="2"/>
        <v>ГОТОВ_ИЗМЕНЕН</v>
      </c>
      <c r="M20" s="7">
        <f t="shared" si="3"/>
        <v>0</v>
      </c>
    </row>
    <row r="21" spans="1:13" x14ac:dyDescent="0.25">
      <c r="A21" s="1">
        <v>943468</v>
      </c>
      <c r="B21" s="6" t="s">
        <v>56</v>
      </c>
      <c r="F21" s="6" t="s">
        <v>9</v>
      </c>
      <c r="G21" s="6" t="s">
        <v>34</v>
      </c>
      <c r="H21" s="9" t="s">
        <v>35</v>
      </c>
      <c r="I21" s="7" t="str">
        <f t="shared" si="0"/>
        <v>61001002000</v>
      </c>
      <c r="J21" s="7" t="str">
        <f t="shared" si="1"/>
        <v>Материал по ЕГРН</v>
      </c>
      <c r="K21" s="7">
        <f>VLOOKUP(J21,Лист2!A$2:B$4,2,FALSE)</f>
        <v>792</v>
      </c>
      <c r="L21" s="7" t="str">
        <f t="shared" si="2"/>
        <v>ГОТОВ_ИЗМЕНЕН</v>
      </c>
      <c r="M21" s="7">
        <f t="shared" si="3"/>
        <v>0</v>
      </c>
    </row>
    <row r="22" spans="1:13" x14ac:dyDescent="0.25">
      <c r="A22" s="1">
        <v>943480</v>
      </c>
      <c r="B22" s="6" t="s">
        <v>57</v>
      </c>
      <c r="F22" s="6" t="s">
        <v>9</v>
      </c>
      <c r="G22" s="6" t="s">
        <v>10</v>
      </c>
      <c r="H22" s="9" t="s">
        <v>11</v>
      </c>
      <c r="I22" s="7" t="str">
        <f t="shared" si="0"/>
        <v>61001003000</v>
      </c>
      <c r="J22" s="7" t="str">
        <f t="shared" si="1"/>
        <v>Материал по ЕГРН</v>
      </c>
      <c r="K22" s="7">
        <f>VLOOKUP(J22,Лист2!A$2:B$4,2,FALSE)</f>
        <v>792</v>
      </c>
      <c r="L22" s="7" t="str">
        <f t="shared" si="2"/>
        <v>ГОТОВ_ИЗМЕНЕН</v>
      </c>
      <c r="M22" s="7">
        <f t="shared" si="3"/>
        <v>0</v>
      </c>
    </row>
    <row r="23" spans="1:13" x14ac:dyDescent="0.25">
      <c r="A23" s="1">
        <v>943492</v>
      </c>
      <c r="B23" s="6" t="s">
        <v>58</v>
      </c>
      <c r="F23" s="6" t="s">
        <v>9</v>
      </c>
      <c r="G23" s="6" t="s">
        <v>59</v>
      </c>
      <c r="H23" s="9" t="s">
        <v>60</v>
      </c>
      <c r="I23" s="7" t="str">
        <f t="shared" si="0"/>
        <v>61001001001</v>
      </c>
      <c r="J23" s="7" t="str">
        <f t="shared" si="1"/>
        <v>Материал по ЕГРН</v>
      </c>
      <c r="K23" s="7">
        <f>VLOOKUP(J23,Лист2!A$2:B$4,2,FALSE)</f>
        <v>792</v>
      </c>
      <c r="L23" s="7" t="str">
        <f t="shared" si="2"/>
        <v>ГОТОВ_ИЗМЕНЕН</v>
      </c>
      <c r="M23" s="7">
        <f t="shared" si="3"/>
        <v>0</v>
      </c>
    </row>
    <row r="24" spans="1:13" x14ac:dyDescent="0.25">
      <c r="A24" s="1">
        <v>943504</v>
      </c>
      <c r="B24" s="6" t="s">
        <v>61</v>
      </c>
      <c r="F24" s="6" t="s">
        <v>9</v>
      </c>
      <c r="G24" s="6" t="s">
        <v>62</v>
      </c>
      <c r="H24" s="9" t="s">
        <v>63</v>
      </c>
      <c r="I24" s="7" t="str">
        <f t="shared" si="0"/>
        <v>61001006002</v>
      </c>
      <c r="J24" s="7" t="str">
        <f t="shared" si="1"/>
        <v>Материал по ЕГРН</v>
      </c>
      <c r="K24" s="7">
        <f>VLOOKUP(J24,Лист2!A$2:B$4,2,FALSE)</f>
        <v>792</v>
      </c>
      <c r="L24" s="7" t="str">
        <f t="shared" si="2"/>
        <v>ГОТОВ_ИЗМЕНЕН</v>
      </c>
      <c r="M24" s="7">
        <f t="shared" si="3"/>
        <v>0</v>
      </c>
    </row>
    <row r="25" spans="1:13" x14ac:dyDescent="0.25">
      <c r="A25" s="1">
        <v>943516</v>
      </c>
      <c r="B25" s="6" t="s">
        <v>64</v>
      </c>
      <c r="F25" s="6" t="s">
        <v>9</v>
      </c>
      <c r="G25" s="6" t="s">
        <v>65</v>
      </c>
      <c r="H25" s="9" t="s">
        <v>66</v>
      </c>
      <c r="I25" s="7" t="str">
        <f t="shared" si="0"/>
        <v>61001002003</v>
      </c>
      <c r="J25" s="7" t="str">
        <f t="shared" si="1"/>
        <v>Материал по ЕГРН</v>
      </c>
      <c r="K25" s="7">
        <f>VLOOKUP(J25,Лист2!A$2:B$4,2,FALSE)</f>
        <v>792</v>
      </c>
      <c r="L25" s="7" t="str">
        <f t="shared" si="2"/>
        <v>ГОТОВ_ИЗМЕНЕН</v>
      </c>
      <c r="M25" s="7">
        <f t="shared" si="3"/>
        <v>0</v>
      </c>
    </row>
    <row r="26" spans="1:13" x14ac:dyDescent="0.25">
      <c r="A26" s="1">
        <v>943528</v>
      </c>
      <c r="B26" s="6" t="s">
        <v>67</v>
      </c>
      <c r="F26" s="6" t="s">
        <v>9</v>
      </c>
      <c r="G26" s="6" t="s">
        <v>38</v>
      </c>
      <c r="H26" s="9" t="s">
        <v>33</v>
      </c>
      <c r="I26" s="7" t="str">
        <f t="shared" si="0"/>
        <v>61001005000</v>
      </c>
      <c r="J26" s="7" t="str">
        <f t="shared" si="1"/>
        <v>Материал по ЕГРН</v>
      </c>
      <c r="K26" s="7">
        <f>VLOOKUP(J26,Лист2!A$2:B$4,2,FALSE)</f>
        <v>792</v>
      </c>
      <c r="L26" s="7" t="str">
        <f t="shared" si="2"/>
        <v>ГОТОВ_ИЗМЕНЕН</v>
      </c>
      <c r="M26" s="7">
        <f t="shared" si="3"/>
        <v>0</v>
      </c>
    </row>
    <row r="27" spans="1:13" x14ac:dyDescent="0.25">
      <c r="A27" s="1">
        <v>943540</v>
      </c>
      <c r="B27" s="6" t="s">
        <v>68</v>
      </c>
      <c r="F27" s="6" t="s">
        <v>9</v>
      </c>
      <c r="G27" s="6" t="s">
        <v>10</v>
      </c>
      <c r="H27" s="9" t="s">
        <v>11</v>
      </c>
      <c r="I27" s="7" t="str">
        <f t="shared" si="0"/>
        <v>61001003000</v>
      </c>
      <c r="J27" s="7" t="str">
        <f t="shared" si="1"/>
        <v>Материал по ЕГРН</v>
      </c>
      <c r="K27" s="7">
        <f>VLOOKUP(J27,Лист2!A$2:B$4,2,FALSE)</f>
        <v>792</v>
      </c>
      <c r="L27" s="7" t="str">
        <f t="shared" si="2"/>
        <v>ГОТОВ_ИЗМЕНЕН</v>
      </c>
      <c r="M27" s="7">
        <f t="shared" si="3"/>
        <v>0</v>
      </c>
    </row>
    <row r="28" spans="1:13" x14ac:dyDescent="0.25">
      <c r="A28" s="1">
        <v>943552</v>
      </c>
      <c r="B28" s="6" t="s">
        <v>69</v>
      </c>
      <c r="F28" s="6" t="s">
        <v>9</v>
      </c>
      <c r="G28" s="6" t="s">
        <v>38</v>
      </c>
      <c r="H28" s="9" t="s">
        <v>33</v>
      </c>
      <c r="I28" s="7" t="str">
        <f t="shared" si="0"/>
        <v>61001005000</v>
      </c>
      <c r="J28" s="7" t="str">
        <f t="shared" si="1"/>
        <v>Материал по ЕГРН</v>
      </c>
      <c r="K28" s="7">
        <f>VLOOKUP(J28,Лист2!A$2:B$4,2,FALSE)</f>
        <v>792</v>
      </c>
      <c r="L28" s="7" t="str">
        <f t="shared" si="2"/>
        <v>ГОТОВ_ИЗМЕНЕН</v>
      </c>
      <c r="M28" s="7">
        <f t="shared" si="3"/>
        <v>0</v>
      </c>
    </row>
    <row r="29" spans="1:13" x14ac:dyDescent="0.25">
      <c r="A29" s="1">
        <v>943564</v>
      </c>
      <c r="B29" s="6" t="s">
        <v>70</v>
      </c>
      <c r="F29" s="6" t="s">
        <v>9</v>
      </c>
      <c r="G29" s="6" t="s">
        <v>62</v>
      </c>
      <c r="H29" s="9" t="s">
        <v>63</v>
      </c>
      <c r="I29" s="7" t="str">
        <f t="shared" si="0"/>
        <v>61001006002</v>
      </c>
      <c r="J29" s="7" t="str">
        <f t="shared" si="1"/>
        <v>Материал по ЕГРН</v>
      </c>
      <c r="K29" s="7">
        <f>VLOOKUP(J29,Лист2!A$2:B$4,2,FALSE)</f>
        <v>792</v>
      </c>
      <c r="L29" s="7" t="str">
        <f t="shared" si="2"/>
        <v>ГОТОВ_ИЗМЕНЕН</v>
      </c>
      <c r="M29" s="7">
        <f t="shared" si="3"/>
        <v>0</v>
      </c>
    </row>
    <row r="30" spans="1:13" x14ac:dyDescent="0.25">
      <c r="A30" s="1">
        <v>943576</v>
      </c>
      <c r="B30" s="6" t="s">
        <v>71</v>
      </c>
      <c r="F30" s="6" t="s">
        <v>9</v>
      </c>
      <c r="G30" s="6" t="s">
        <v>38</v>
      </c>
      <c r="H30" s="9" t="s">
        <v>33</v>
      </c>
      <c r="I30" s="7" t="str">
        <f t="shared" si="0"/>
        <v>61001005000</v>
      </c>
      <c r="J30" s="7" t="str">
        <f t="shared" si="1"/>
        <v>Материал по ЕГРН</v>
      </c>
      <c r="K30" s="7">
        <f>VLOOKUP(J30,Лист2!A$2:B$4,2,FALSE)</f>
        <v>792</v>
      </c>
      <c r="L30" s="7" t="str">
        <f t="shared" si="2"/>
        <v>ГОТОВ_ИЗМЕНЕН</v>
      </c>
      <c r="M30" s="7">
        <f t="shared" si="3"/>
        <v>0</v>
      </c>
    </row>
    <row r="31" spans="1:13" x14ac:dyDescent="0.25">
      <c r="A31" s="1">
        <v>943588</v>
      </c>
      <c r="B31" s="6" t="s">
        <v>72</v>
      </c>
      <c r="F31" s="6" t="s">
        <v>9</v>
      </c>
      <c r="G31" s="6" t="s">
        <v>73</v>
      </c>
      <c r="H31" s="9" t="s">
        <v>74</v>
      </c>
      <c r="I31" s="7" t="str">
        <f t="shared" si="0"/>
        <v>61001006000</v>
      </c>
      <c r="J31" s="7" t="str">
        <f t="shared" si="1"/>
        <v>Материал по ЕГРН</v>
      </c>
      <c r="K31" s="7">
        <f>VLOOKUP(J31,Лист2!A$2:B$4,2,FALSE)</f>
        <v>792</v>
      </c>
      <c r="L31" s="7" t="str">
        <f t="shared" si="2"/>
        <v>ГОТОВ_ИЗМЕНЕН</v>
      </c>
      <c r="M31" s="7">
        <f t="shared" si="3"/>
        <v>0</v>
      </c>
    </row>
    <row r="32" spans="1:13" x14ac:dyDescent="0.25">
      <c r="A32" s="1">
        <v>943600</v>
      </c>
      <c r="B32" s="6" t="s">
        <v>75</v>
      </c>
      <c r="F32" s="6" t="s">
        <v>9</v>
      </c>
      <c r="G32" s="6" t="s">
        <v>73</v>
      </c>
      <c r="H32" s="9" t="s">
        <v>74</v>
      </c>
      <c r="I32" s="7" t="str">
        <f t="shared" si="0"/>
        <v>61001006000</v>
      </c>
      <c r="J32" s="7" t="str">
        <f t="shared" si="1"/>
        <v>Материал по ЕГРН</v>
      </c>
      <c r="K32" s="7">
        <f>VLOOKUP(J32,Лист2!A$2:B$4,2,FALSE)</f>
        <v>792</v>
      </c>
      <c r="L32" s="7" t="str">
        <f t="shared" si="2"/>
        <v>ГОТОВ_ИЗМЕНЕН</v>
      </c>
      <c r="M32" s="7">
        <f t="shared" si="3"/>
        <v>0</v>
      </c>
    </row>
    <row r="33" spans="1:13" x14ac:dyDescent="0.25">
      <c r="A33" s="1">
        <v>943612</v>
      </c>
      <c r="B33" s="6" t="s">
        <v>76</v>
      </c>
      <c r="F33" s="6" t="s">
        <v>9</v>
      </c>
      <c r="G33" s="6" t="s">
        <v>59</v>
      </c>
      <c r="H33" s="9" t="s">
        <v>60</v>
      </c>
      <c r="I33" s="7" t="str">
        <f t="shared" si="0"/>
        <v>61001001001</v>
      </c>
      <c r="J33" s="7" t="str">
        <f t="shared" si="1"/>
        <v>Материал по ЕГРН</v>
      </c>
      <c r="K33" s="7">
        <f>VLOOKUP(J33,Лист2!A$2:B$4,2,FALSE)</f>
        <v>792</v>
      </c>
      <c r="L33" s="7" t="str">
        <f t="shared" si="2"/>
        <v>ГОТОВ_ИЗМЕНЕН</v>
      </c>
      <c r="M33" s="7">
        <f t="shared" si="3"/>
        <v>0</v>
      </c>
    </row>
    <row r="34" spans="1:13" x14ac:dyDescent="0.25">
      <c r="A34" s="1">
        <v>219371</v>
      </c>
      <c r="B34" s="6" t="s">
        <v>77</v>
      </c>
      <c r="C34" s="9" t="s">
        <v>33</v>
      </c>
      <c r="D34" s="6" t="s">
        <v>20</v>
      </c>
      <c r="E34" s="6" t="s">
        <v>37</v>
      </c>
      <c r="F34" s="6" t="s">
        <v>9</v>
      </c>
      <c r="G34" s="6" t="s">
        <v>38</v>
      </c>
      <c r="H34" s="9" t="s">
        <v>33</v>
      </c>
      <c r="I34" s="7" t="str">
        <f t="shared" si="0"/>
        <v>61001005000</v>
      </c>
      <c r="J34" s="7" t="str">
        <f t="shared" si="1"/>
        <v>Материал по ЕГРН</v>
      </c>
      <c r="K34" s="7">
        <f>VLOOKUP(J34,Лист2!A$2:B$4,2,FALSE)</f>
        <v>792</v>
      </c>
      <c r="L34" s="7" t="str">
        <f t="shared" si="2"/>
        <v>ГОТОВ</v>
      </c>
      <c r="M34" s="7" t="str">
        <f t="shared" si="3"/>
        <v>61001005000</v>
      </c>
    </row>
    <row r="35" spans="1:13" x14ac:dyDescent="0.25">
      <c r="A35" s="1">
        <v>453175</v>
      </c>
      <c r="B35" s="6" t="s">
        <v>78</v>
      </c>
      <c r="C35" s="9" t="s">
        <v>33</v>
      </c>
      <c r="D35" s="6" t="s">
        <v>20</v>
      </c>
      <c r="E35" s="6" t="s">
        <v>37</v>
      </c>
      <c r="F35" s="6" t="s">
        <v>9</v>
      </c>
      <c r="G35" s="6" t="s">
        <v>38</v>
      </c>
      <c r="H35" s="9" t="s">
        <v>33</v>
      </c>
      <c r="I35" s="7" t="str">
        <f t="shared" si="0"/>
        <v>61001005000</v>
      </c>
      <c r="J35" s="7" t="str">
        <f t="shared" si="1"/>
        <v>Материал по ЕГРН</v>
      </c>
      <c r="K35" s="7">
        <f>VLOOKUP(J35,Лист2!A$2:B$4,2,FALSE)</f>
        <v>792</v>
      </c>
      <c r="L35" s="7" t="str">
        <f t="shared" si="2"/>
        <v>ГОТОВ</v>
      </c>
      <c r="M35" s="7" t="str">
        <f t="shared" si="3"/>
        <v>61001005000</v>
      </c>
    </row>
    <row r="36" spans="1:13" x14ac:dyDescent="0.25">
      <c r="A36" s="1">
        <v>520897</v>
      </c>
      <c r="B36" s="6" t="s">
        <v>79</v>
      </c>
      <c r="C36" s="9" t="s">
        <v>33</v>
      </c>
      <c r="D36" s="6" t="s">
        <v>20</v>
      </c>
      <c r="E36" s="6" t="s">
        <v>37</v>
      </c>
      <c r="F36" s="6" t="s">
        <v>9</v>
      </c>
      <c r="G36" s="6" t="s">
        <v>38</v>
      </c>
      <c r="H36" s="9" t="s">
        <v>33</v>
      </c>
      <c r="I36" s="7" t="str">
        <f t="shared" si="0"/>
        <v>61001005000</v>
      </c>
      <c r="J36" s="7" t="str">
        <f t="shared" si="1"/>
        <v>Материал по ЕГРН</v>
      </c>
      <c r="K36" s="7">
        <f>VLOOKUP(J36,Лист2!A$2:B$4,2,FALSE)</f>
        <v>792</v>
      </c>
      <c r="L36" s="7" t="str">
        <f t="shared" si="2"/>
        <v>ГОТОВ</v>
      </c>
      <c r="M36" s="7" t="str">
        <f t="shared" si="3"/>
        <v>61001005000</v>
      </c>
    </row>
    <row r="37" spans="1:13" x14ac:dyDescent="0.25">
      <c r="A37" s="1">
        <v>527700</v>
      </c>
      <c r="B37" s="6" t="s">
        <v>80</v>
      </c>
      <c r="C37" s="9" t="s">
        <v>33</v>
      </c>
      <c r="D37" s="6" t="s">
        <v>20</v>
      </c>
      <c r="E37" s="6" t="s">
        <v>37</v>
      </c>
      <c r="F37" s="6" t="s">
        <v>9</v>
      </c>
      <c r="G37" s="6" t="s">
        <v>38</v>
      </c>
      <c r="H37" s="9" t="s">
        <v>33</v>
      </c>
      <c r="I37" s="7" t="str">
        <f t="shared" si="0"/>
        <v>61001005000</v>
      </c>
      <c r="J37" s="7" t="str">
        <f t="shared" si="1"/>
        <v>Материал по ЕГРН</v>
      </c>
      <c r="K37" s="7">
        <f>VLOOKUP(J37,Лист2!A$2:B$4,2,FALSE)</f>
        <v>792</v>
      </c>
      <c r="L37" s="7" t="str">
        <f t="shared" si="2"/>
        <v>ГОТОВ</v>
      </c>
      <c r="M37" s="7" t="str">
        <f t="shared" si="3"/>
        <v>61001005000</v>
      </c>
    </row>
    <row r="38" spans="1:13" x14ac:dyDescent="0.25">
      <c r="A38" s="1">
        <v>939125</v>
      </c>
      <c r="B38" s="6" t="s">
        <v>81</v>
      </c>
      <c r="C38" s="9" t="s">
        <v>33</v>
      </c>
      <c r="D38" s="6" t="s">
        <v>14</v>
      </c>
      <c r="E38" s="6" t="s">
        <v>8</v>
      </c>
      <c r="F38" s="6" t="s">
        <v>9</v>
      </c>
      <c r="G38" s="6" t="s">
        <v>34</v>
      </c>
      <c r="H38" s="9" t="s">
        <v>35</v>
      </c>
      <c r="I38" s="7" t="str">
        <f t="shared" si="0"/>
        <v>61001002000</v>
      </c>
      <c r="J38" s="7" t="str">
        <f t="shared" si="1"/>
        <v>Материал по ЕГРН</v>
      </c>
      <c r="K38" s="7">
        <f>VLOOKUP(J38,Лист2!A$2:B$4,2,FALSE)</f>
        <v>792</v>
      </c>
      <c r="L38" s="7" t="str">
        <f t="shared" si="2"/>
        <v>ГОТОВ_ИЗМЕНЕН</v>
      </c>
      <c r="M38" s="7" t="str">
        <f t="shared" si="3"/>
        <v>61001005000</v>
      </c>
    </row>
    <row r="39" spans="1:13" x14ac:dyDescent="0.25">
      <c r="A39" s="1">
        <v>944649</v>
      </c>
      <c r="B39" s="6" t="s">
        <v>82</v>
      </c>
      <c r="F39" s="6" t="s">
        <v>9</v>
      </c>
      <c r="G39" s="6" t="s">
        <v>34</v>
      </c>
      <c r="H39" s="9" t="s">
        <v>35</v>
      </c>
      <c r="I39" s="7" t="str">
        <f t="shared" si="0"/>
        <v>61001002000</v>
      </c>
      <c r="J39" s="7" t="str">
        <f t="shared" si="1"/>
        <v>Материал по ЕГРН</v>
      </c>
      <c r="K39" s="7">
        <f>VLOOKUP(J39,Лист2!A$2:B$4,2,FALSE)</f>
        <v>792</v>
      </c>
      <c r="L39" s="7" t="str">
        <f t="shared" si="2"/>
        <v>ГОТОВ_ИЗМЕНЕН</v>
      </c>
      <c r="M39" s="7">
        <f t="shared" si="3"/>
        <v>0</v>
      </c>
    </row>
    <row r="40" spans="1:13" x14ac:dyDescent="0.25">
      <c r="A40" s="1">
        <v>944661</v>
      </c>
      <c r="B40" s="6" t="s">
        <v>83</v>
      </c>
      <c r="F40" s="6" t="s">
        <v>9</v>
      </c>
      <c r="G40" s="6" t="s">
        <v>34</v>
      </c>
      <c r="H40" s="9" t="s">
        <v>35</v>
      </c>
      <c r="I40" s="7" t="str">
        <f t="shared" si="0"/>
        <v>61001002000</v>
      </c>
      <c r="J40" s="7" t="str">
        <f t="shared" si="1"/>
        <v>Материал по ЕГРН</v>
      </c>
      <c r="K40" s="7">
        <f>VLOOKUP(J40,Лист2!A$2:B$4,2,FALSE)</f>
        <v>792</v>
      </c>
      <c r="L40" s="7" t="str">
        <f t="shared" si="2"/>
        <v>ГОТОВ_ИЗМЕНЕН</v>
      </c>
      <c r="M40" s="7">
        <f t="shared" si="3"/>
        <v>0</v>
      </c>
    </row>
    <row r="41" spans="1:13" x14ac:dyDescent="0.25">
      <c r="A41" s="1">
        <v>944673</v>
      </c>
      <c r="B41" s="6" t="s">
        <v>84</v>
      </c>
      <c r="F41" s="6" t="s">
        <v>9</v>
      </c>
      <c r="G41" s="6" t="s">
        <v>34</v>
      </c>
      <c r="H41" s="9" t="s">
        <v>35</v>
      </c>
      <c r="I41" s="7" t="str">
        <f t="shared" si="0"/>
        <v>61001002000</v>
      </c>
      <c r="J41" s="7" t="str">
        <f t="shared" si="1"/>
        <v>Материал по ЕГРН</v>
      </c>
      <c r="K41" s="7">
        <f>VLOOKUP(J41,Лист2!A$2:B$4,2,FALSE)</f>
        <v>792</v>
      </c>
      <c r="L41" s="7" t="str">
        <f t="shared" si="2"/>
        <v>ГОТОВ_ИЗМЕНЕН</v>
      </c>
      <c r="M41" s="7">
        <f t="shared" si="3"/>
        <v>0</v>
      </c>
    </row>
    <row r="42" spans="1:13" x14ac:dyDescent="0.25">
      <c r="A42" s="1">
        <v>944685</v>
      </c>
      <c r="B42" s="6" t="s">
        <v>85</v>
      </c>
      <c r="F42" s="6" t="s">
        <v>9</v>
      </c>
      <c r="G42" s="6" t="s">
        <v>86</v>
      </c>
      <c r="H42" s="9" t="s">
        <v>87</v>
      </c>
      <c r="I42" s="7" t="str">
        <f t="shared" si="0"/>
        <v>61001003000</v>
      </c>
      <c r="J42" s="7" t="str">
        <f t="shared" si="1"/>
        <v>Смешанные по допущению</v>
      </c>
      <c r="K42" s="7">
        <f>VLOOKUP(J42,Лист2!A$2:B$4,2,FALSE)</f>
        <v>793</v>
      </c>
      <c r="L42" s="7" t="str">
        <f t="shared" si="2"/>
        <v>ГОТОВ_ИЗМЕНЕН</v>
      </c>
      <c r="M42" s="7">
        <f t="shared" si="3"/>
        <v>0</v>
      </c>
    </row>
    <row r="43" spans="1:13" x14ac:dyDescent="0.25">
      <c r="A43" s="1">
        <v>944697</v>
      </c>
      <c r="B43" s="6" t="s">
        <v>88</v>
      </c>
      <c r="F43" s="6" t="s">
        <v>9</v>
      </c>
      <c r="G43" s="6" t="s">
        <v>38</v>
      </c>
      <c r="H43" s="9" t="s">
        <v>33</v>
      </c>
      <c r="I43" s="7" t="str">
        <f t="shared" si="0"/>
        <v>61001005000</v>
      </c>
      <c r="J43" s="7" t="str">
        <f t="shared" si="1"/>
        <v>Материал по ЕГРН</v>
      </c>
      <c r="K43" s="7">
        <f>VLOOKUP(J43,Лист2!A$2:B$4,2,FALSE)</f>
        <v>792</v>
      </c>
      <c r="L43" s="7" t="str">
        <f t="shared" si="2"/>
        <v>ГОТОВ_ИЗМЕНЕН</v>
      </c>
      <c r="M43" s="7">
        <f t="shared" si="3"/>
        <v>0</v>
      </c>
    </row>
    <row r="44" spans="1:13" x14ac:dyDescent="0.25">
      <c r="A44" s="1">
        <v>944709</v>
      </c>
      <c r="B44" s="6" t="s">
        <v>89</v>
      </c>
      <c r="F44" s="6" t="s">
        <v>9</v>
      </c>
      <c r="G44" s="6" t="s">
        <v>90</v>
      </c>
      <c r="H44" s="9" t="s">
        <v>12</v>
      </c>
      <c r="I44" s="7" t="str">
        <f t="shared" si="0"/>
        <v>61001008000</v>
      </c>
      <c r="J44" s="7" t="str">
        <f t="shared" si="1"/>
        <v>Материал по ЕГРН</v>
      </c>
      <c r="K44" s="7">
        <f>VLOOKUP(J44,Лист2!A$2:B$4,2,FALSE)</f>
        <v>792</v>
      </c>
      <c r="L44" s="7" t="str">
        <f t="shared" si="2"/>
        <v>ГОТОВ_ИЗМЕНЕН</v>
      </c>
      <c r="M44" s="7">
        <f t="shared" si="3"/>
        <v>0</v>
      </c>
    </row>
    <row r="45" spans="1:13" x14ac:dyDescent="0.25">
      <c r="A45" s="1">
        <v>944721</v>
      </c>
      <c r="B45" s="6" t="s">
        <v>91</v>
      </c>
      <c r="F45" s="6" t="s">
        <v>9</v>
      </c>
      <c r="G45" s="6" t="s">
        <v>38</v>
      </c>
      <c r="H45" s="9" t="s">
        <v>33</v>
      </c>
      <c r="I45" s="7" t="str">
        <f t="shared" si="0"/>
        <v>61001005000</v>
      </c>
      <c r="J45" s="7" t="str">
        <f t="shared" si="1"/>
        <v>Материал по ЕГРН</v>
      </c>
      <c r="K45" s="7">
        <f>VLOOKUP(J45,Лист2!A$2:B$4,2,FALSE)</f>
        <v>792</v>
      </c>
      <c r="L45" s="7" t="str">
        <f t="shared" si="2"/>
        <v>ГОТОВ_ИЗМЕНЕН</v>
      </c>
      <c r="M45" s="7">
        <f t="shared" si="3"/>
        <v>0</v>
      </c>
    </row>
    <row r="46" spans="1:13" x14ac:dyDescent="0.25">
      <c r="A46" s="1">
        <v>944733</v>
      </c>
      <c r="B46" s="6" t="s">
        <v>92</v>
      </c>
      <c r="F46" s="6" t="s">
        <v>9</v>
      </c>
      <c r="G46" s="6" t="s">
        <v>34</v>
      </c>
      <c r="H46" s="9" t="s">
        <v>35</v>
      </c>
      <c r="I46" s="7" t="str">
        <f t="shared" si="0"/>
        <v>61001002000</v>
      </c>
      <c r="J46" s="7" t="str">
        <f t="shared" si="1"/>
        <v>Материал по ЕГРН</v>
      </c>
      <c r="K46" s="7">
        <f>VLOOKUP(J46,Лист2!A$2:B$4,2,FALSE)</f>
        <v>792</v>
      </c>
      <c r="L46" s="7" t="str">
        <f t="shared" si="2"/>
        <v>ГОТОВ_ИЗМЕНЕН</v>
      </c>
      <c r="M46" s="7">
        <f t="shared" si="3"/>
        <v>0</v>
      </c>
    </row>
    <row r="47" spans="1:13" x14ac:dyDescent="0.25">
      <c r="A47" s="1">
        <v>944745</v>
      </c>
      <c r="B47" s="6" t="s">
        <v>93</v>
      </c>
      <c r="F47" s="6" t="s">
        <v>9</v>
      </c>
      <c r="G47" s="6" t="s">
        <v>34</v>
      </c>
      <c r="H47" s="9" t="s">
        <v>35</v>
      </c>
      <c r="I47" s="7" t="str">
        <f t="shared" si="0"/>
        <v>61001002000</v>
      </c>
      <c r="J47" s="7" t="str">
        <f t="shared" si="1"/>
        <v>Материал по ЕГРН</v>
      </c>
      <c r="K47" s="7">
        <f>VLOOKUP(J47,Лист2!A$2:B$4,2,FALSE)</f>
        <v>792</v>
      </c>
      <c r="L47" s="7" t="str">
        <f t="shared" si="2"/>
        <v>ГОТОВ_ИЗМЕНЕН</v>
      </c>
      <c r="M47" s="7">
        <f t="shared" si="3"/>
        <v>0</v>
      </c>
    </row>
    <row r="48" spans="1:13" x14ac:dyDescent="0.25">
      <c r="A48" s="1">
        <v>944757</v>
      </c>
      <c r="B48" s="6" t="s">
        <v>94</v>
      </c>
      <c r="F48" s="6" t="s">
        <v>9</v>
      </c>
      <c r="G48" s="6" t="s">
        <v>59</v>
      </c>
      <c r="H48" s="9" t="s">
        <v>60</v>
      </c>
      <c r="I48" s="7" t="str">
        <f t="shared" si="0"/>
        <v>61001001001</v>
      </c>
      <c r="J48" s="7" t="str">
        <f t="shared" si="1"/>
        <v>Материал по ЕГРН</v>
      </c>
      <c r="K48" s="7">
        <f>VLOOKUP(J48,Лист2!A$2:B$4,2,FALSE)</f>
        <v>792</v>
      </c>
      <c r="L48" s="7" t="str">
        <f t="shared" si="2"/>
        <v>ГОТОВ_ИЗМЕНЕН</v>
      </c>
      <c r="M48" s="7">
        <f t="shared" si="3"/>
        <v>0</v>
      </c>
    </row>
    <row r="49" spans="1:13" x14ac:dyDescent="0.25">
      <c r="A49" s="1">
        <v>944769</v>
      </c>
      <c r="B49" s="6" t="s">
        <v>95</v>
      </c>
      <c r="F49" s="6" t="s">
        <v>9</v>
      </c>
      <c r="G49" s="6" t="s">
        <v>62</v>
      </c>
      <c r="H49" s="9" t="s">
        <v>63</v>
      </c>
      <c r="I49" s="7" t="str">
        <f t="shared" si="0"/>
        <v>61001006002</v>
      </c>
      <c r="J49" s="7" t="str">
        <f t="shared" si="1"/>
        <v>Материал по ЕГРН</v>
      </c>
      <c r="K49" s="7">
        <f>VLOOKUP(J49,Лист2!A$2:B$4,2,FALSE)</f>
        <v>792</v>
      </c>
      <c r="L49" s="7" t="str">
        <f t="shared" si="2"/>
        <v>ГОТОВ_ИЗМЕНЕН</v>
      </c>
      <c r="M49" s="7">
        <f t="shared" si="3"/>
        <v>0</v>
      </c>
    </row>
    <row r="50" spans="1:13" x14ac:dyDescent="0.25">
      <c r="A50" s="1">
        <v>944781</v>
      </c>
      <c r="B50" s="6" t="s">
        <v>96</v>
      </c>
      <c r="F50" s="6" t="s">
        <v>9</v>
      </c>
      <c r="G50" s="6" t="s">
        <v>38</v>
      </c>
      <c r="H50" s="9" t="s">
        <v>33</v>
      </c>
      <c r="I50" s="7" t="str">
        <f t="shared" si="0"/>
        <v>61001005000</v>
      </c>
      <c r="J50" s="7" t="str">
        <f t="shared" si="1"/>
        <v>Материал по ЕГРН</v>
      </c>
      <c r="K50" s="7">
        <f>VLOOKUP(J50,Лист2!A$2:B$4,2,FALSE)</f>
        <v>792</v>
      </c>
      <c r="L50" s="7" t="str">
        <f t="shared" si="2"/>
        <v>ГОТОВ_ИЗМЕНЕН</v>
      </c>
      <c r="M50" s="7">
        <f t="shared" si="3"/>
        <v>0</v>
      </c>
    </row>
    <row r="51" spans="1:13" x14ac:dyDescent="0.25">
      <c r="A51" s="1">
        <v>944793</v>
      </c>
      <c r="B51" s="6" t="s">
        <v>97</v>
      </c>
      <c r="F51" s="6" t="s">
        <v>9</v>
      </c>
      <c r="G51" s="6" t="s">
        <v>38</v>
      </c>
      <c r="H51" s="9" t="s">
        <v>33</v>
      </c>
      <c r="I51" s="7" t="str">
        <f t="shared" si="0"/>
        <v>61001005000</v>
      </c>
      <c r="J51" s="7" t="str">
        <f t="shared" si="1"/>
        <v>Материал по ЕГРН</v>
      </c>
      <c r="K51" s="7">
        <f>VLOOKUP(J51,Лист2!A$2:B$4,2,FALSE)</f>
        <v>792</v>
      </c>
      <c r="L51" s="7" t="str">
        <f t="shared" si="2"/>
        <v>ГОТОВ_ИЗМЕНЕН</v>
      </c>
      <c r="M51" s="7">
        <f t="shared" si="3"/>
        <v>0</v>
      </c>
    </row>
    <row r="52" spans="1:13" x14ac:dyDescent="0.25">
      <c r="A52" s="1">
        <v>944805</v>
      </c>
      <c r="B52" s="6" t="s">
        <v>98</v>
      </c>
      <c r="F52" s="6" t="s">
        <v>9</v>
      </c>
      <c r="G52" s="6" t="s">
        <v>99</v>
      </c>
      <c r="H52" s="9" t="s">
        <v>100</v>
      </c>
      <c r="I52" s="7" t="str">
        <f t="shared" si="0"/>
        <v>61001003000</v>
      </c>
      <c r="J52" s="7" t="str">
        <f t="shared" si="1"/>
        <v>Смешанные по допущению</v>
      </c>
      <c r="K52" s="7">
        <f>VLOOKUP(J52,Лист2!A$2:B$4,2,FALSE)</f>
        <v>793</v>
      </c>
      <c r="L52" s="7" t="str">
        <f t="shared" si="2"/>
        <v>ГОТОВ_ИЗМЕНЕН</v>
      </c>
      <c r="M52" s="7">
        <f t="shared" si="3"/>
        <v>0</v>
      </c>
    </row>
    <row r="53" spans="1:13" x14ac:dyDescent="0.25">
      <c r="A53" s="1">
        <v>944817</v>
      </c>
      <c r="B53" s="6" t="s">
        <v>101</v>
      </c>
      <c r="F53" s="6" t="s">
        <v>9</v>
      </c>
      <c r="G53" s="6" t="s">
        <v>38</v>
      </c>
      <c r="H53" s="9" t="s">
        <v>33</v>
      </c>
      <c r="I53" s="7" t="str">
        <f t="shared" si="0"/>
        <v>61001005000</v>
      </c>
      <c r="J53" s="7" t="str">
        <f t="shared" si="1"/>
        <v>Материал по ЕГРН</v>
      </c>
      <c r="K53" s="7">
        <f>VLOOKUP(J53,Лист2!A$2:B$4,2,FALSE)</f>
        <v>792</v>
      </c>
      <c r="L53" s="7" t="str">
        <f t="shared" si="2"/>
        <v>ГОТОВ_ИЗМЕНЕН</v>
      </c>
      <c r="M53" s="7">
        <f t="shared" si="3"/>
        <v>0</v>
      </c>
    </row>
    <row r="54" spans="1:13" x14ac:dyDescent="0.25">
      <c r="A54" s="1">
        <v>944829</v>
      </c>
      <c r="B54" s="6" t="s">
        <v>102</v>
      </c>
      <c r="F54" s="6" t="s">
        <v>9</v>
      </c>
      <c r="G54" s="6" t="s">
        <v>38</v>
      </c>
      <c r="H54" s="9" t="s">
        <v>33</v>
      </c>
      <c r="I54" s="7" t="str">
        <f t="shared" si="0"/>
        <v>61001005000</v>
      </c>
      <c r="J54" s="7" t="str">
        <f t="shared" si="1"/>
        <v>Материал по ЕГРН</v>
      </c>
      <c r="K54" s="7">
        <f>VLOOKUP(J54,Лист2!A$2:B$4,2,FALSE)</f>
        <v>792</v>
      </c>
      <c r="L54" s="7" t="str">
        <f t="shared" si="2"/>
        <v>ГОТОВ_ИЗМЕНЕН</v>
      </c>
      <c r="M54" s="7">
        <f t="shared" si="3"/>
        <v>0</v>
      </c>
    </row>
    <row r="55" spans="1:13" x14ac:dyDescent="0.25">
      <c r="A55" s="1">
        <v>944841</v>
      </c>
      <c r="B55" s="6" t="s">
        <v>103</v>
      </c>
      <c r="F55" s="6" t="s">
        <v>9</v>
      </c>
      <c r="G55" s="6" t="s">
        <v>34</v>
      </c>
      <c r="H55" s="9" t="s">
        <v>35</v>
      </c>
      <c r="I55" s="7" t="str">
        <f t="shared" si="0"/>
        <v>61001002000</v>
      </c>
      <c r="J55" s="7" t="str">
        <f t="shared" si="1"/>
        <v>Материал по ЕГРН</v>
      </c>
      <c r="K55" s="7">
        <f>VLOOKUP(J55,Лист2!A$2:B$4,2,FALSE)</f>
        <v>792</v>
      </c>
      <c r="L55" s="7" t="str">
        <f t="shared" si="2"/>
        <v>ГОТОВ_ИЗМЕНЕН</v>
      </c>
      <c r="M55" s="7">
        <f t="shared" si="3"/>
        <v>0</v>
      </c>
    </row>
    <row r="56" spans="1:13" x14ac:dyDescent="0.25">
      <c r="A56" s="1">
        <v>944853</v>
      </c>
      <c r="B56" s="6" t="s">
        <v>104</v>
      </c>
      <c r="F56" s="6" t="s">
        <v>9</v>
      </c>
      <c r="G56" s="6" t="s">
        <v>62</v>
      </c>
      <c r="H56" s="9" t="s">
        <v>63</v>
      </c>
      <c r="I56" s="7" t="str">
        <f t="shared" si="0"/>
        <v>61001006002</v>
      </c>
      <c r="J56" s="7" t="str">
        <f t="shared" si="1"/>
        <v>Материал по ЕГРН</v>
      </c>
      <c r="K56" s="7">
        <f>VLOOKUP(J56,Лист2!A$2:B$4,2,FALSE)</f>
        <v>792</v>
      </c>
      <c r="L56" s="7" t="str">
        <f t="shared" si="2"/>
        <v>ГОТОВ_ИЗМЕНЕН</v>
      </c>
      <c r="M56" s="7">
        <f t="shared" si="3"/>
        <v>0</v>
      </c>
    </row>
    <row r="57" spans="1:13" x14ac:dyDescent="0.25">
      <c r="A57" s="1">
        <v>944865</v>
      </c>
      <c r="B57" s="6" t="s">
        <v>105</v>
      </c>
      <c r="F57" s="6" t="s">
        <v>9</v>
      </c>
      <c r="G57" s="6" t="s">
        <v>62</v>
      </c>
      <c r="H57" s="9" t="s">
        <v>63</v>
      </c>
      <c r="I57" s="7" t="str">
        <f t="shared" si="0"/>
        <v>61001006002</v>
      </c>
      <c r="J57" s="7" t="str">
        <f t="shared" si="1"/>
        <v>Материал по ЕГРН</v>
      </c>
      <c r="K57" s="7">
        <f>VLOOKUP(J57,Лист2!A$2:B$4,2,FALSE)</f>
        <v>792</v>
      </c>
      <c r="L57" s="7" t="str">
        <f t="shared" si="2"/>
        <v>ГОТОВ_ИЗМЕНЕН</v>
      </c>
      <c r="M57" s="7">
        <f t="shared" si="3"/>
        <v>0</v>
      </c>
    </row>
    <row r="58" spans="1:13" x14ac:dyDescent="0.25">
      <c r="A58" s="1">
        <v>944877</v>
      </c>
      <c r="B58" s="6" t="s">
        <v>106</v>
      </c>
      <c r="F58" s="6" t="s">
        <v>9</v>
      </c>
      <c r="G58" s="6" t="s">
        <v>10</v>
      </c>
      <c r="H58" s="9" t="s">
        <v>11</v>
      </c>
      <c r="I58" s="7" t="str">
        <f t="shared" si="0"/>
        <v>61001003000</v>
      </c>
      <c r="J58" s="7" t="str">
        <f t="shared" si="1"/>
        <v>Материал по ЕГРН</v>
      </c>
      <c r="K58" s="7">
        <f>VLOOKUP(J58,Лист2!A$2:B$4,2,FALSE)</f>
        <v>792</v>
      </c>
      <c r="L58" s="7" t="str">
        <f t="shared" si="2"/>
        <v>ГОТОВ_ИЗМЕНЕН</v>
      </c>
      <c r="M58" s="7">
        <f t="shared" si="3"/>
        <v>0</v>
      </c>
    </row>
    <row r="59" spans="1:13" x14ac:dyDescent="0.25">
      <c r="A59" s="1">
        <v>944889</v>
      </c>
      <c r="B59" s="6" t="s">
        <v>107</v>
      </c>
      <c r="F59" s="6" t="s">
        <v>9</v>
      </c>
      <c r="G59" s="6" t="s">
        <v>34</v>
      </c>
      <c r="H59" s="9" t="s">
        <v>35</v>
      </c>
      <c r="I59" s="7" t="str">
        <f t="shared" si="0"/>
        <v>61001002000</v>
      </c>
      <c r="J59" s="7" t="str">
        <f t="shared" si="1"/>
        <v>Материал по ЕГРН</v>
      </c>
      <c r="K59" s="7">
        <f>VLOOKUP(J59,Лист2!A$2:B$4,2,FALSE)</f>
        <v>792</v>
      </c>
      <c r="L59" s="7" t="str">
        <f t="shared" si="2"/>
        <v>ГОТОВ_ИЗМЕНЕН</v>
      </c>
      <c r="M59" s="7">
        <f t="shared" si="3"/>
        <v>0</v>
      </c>
    </row>
    <row r="60" spans="1:13" x14ac:dyDescent="0.25">
      <c r="A60" s="1">
        <v>944901</v>
      </c>
      <c r="B60" s="6" t="s">
        <v>108</v>
      </c>
      <c r="F60" s="6" t="s">
        <v>9</v>
      </c>
      <c r="G60" s="6" t="s">
        <v>38</v>
      </c>
      <c r="H60" s="9" t="s">
        <v>33</v>
      </c>
      <c r="I60" s="7" t="str">
        <f t="shared" si="0"/>
        <v>61001005000</v>
      </c>
      <c r="J60" s="7" t="str">
        <f t="shared" si="1"/>
        <v>Материал по ЕГРН</v>
      </c>
      <c r="K60" s="7">
        <f>VLOOKUP(J60,Лист2!A$2:B$4,2,FALSE)</f>
        <v>792</v>
      </c>
      <c r="L60" s="7" t="str">
        <f t="shared" si="2"/>
        <v>ГОТОВ_ИЗМЕНЕН</v>
      </c>
      <c r="M60" s="7">
        <f t="shared" si="3"/>
        <v>0</v>
      </c>
    </row>
    <row r="61" spans="1:13" x14ac:dyDescent="0.25">
      <c r="A61" s="1">
        <v>137553</v>
      </c>
      <c r="B61" s="6" t="s">
        <v>109</v>
      </c>
      <c r="C61" s="9" t="s">
        <v>110</v>
      </c>
      <c r="D61" s="6" t="s">
        <v>20</v>
      </c>
      <c r="E61" s="6" t="s">
        <v>37</v>
      </c>
      <c r="F61" s="6" t="s">
        <v>9</v>
      </c>
      <c r="G61" s="6" t="s">
        <v>111</v>
      </c>
      <c r="H61" s="9" t="s">
        <v>110</v>
      </c>
      <c r="I61" s="7" t="str">
        <f t="shared" si="0"/>
        <v>61001007001</v>
      </c>
      <c r="J61" s="7" t="str">
        <f t="shared" si="1"/>
        <v>Материал по ЕГРН</v>
      </c>
      <c r="K61" s="7">
        <f>VLOOKUP(J61,Лист2!A$2:B$4,2,FALSE)</f>
        <v>792</v>
      </c>
      <c r="L61" s="7" t="str">
        <f t="shared" si="2"/>
        <v>ГОТОВ</v>
      </c>
      <c r="M61" s="7" t="str">
        <f t="shared" si="3"/>
        <v>61001007001</v>
      </c>
    </row>
    <row r="62" spans="1:13" x14ac:dyDescent="0.25">
      <c r="A62" s="1">
        <v>350602</v>
      </c>
      <c r="B62" s="6" t="s">
        <v>112</v>
      </c>
      <c r="C62" s="9" t="s">
        <v>110</v>
      </c>
      <c r="D62" s="6" t="s">
        <v>20</v>
      </c>
      <c r="E62" s="6" t="s">
        <v>37</v>
      </c>
      <c r="F62" s="6" t="s">
        <v>9</v>
      </c>
      <c r="G62" s="6" t="s">
        <v>111</v>
      </c>
      <c r="H62" s="9" t="s">
        <v>110</v>
      </c>
      <c r="I62" s="7" t="str">
        <f t="shared" si="0"/>
        <v>61001007001</v>
      </c>
      <c r="J62" s="7" t="str">
        <f t="shared" si="1"/>
        <v>Материал по ЕГРН</v>
      </c>
      <c r="K62" s="7">
        <f>VLOOKUP(J62,Лист2!A$2:B$4,2,FALSE)</f>
        <v>792</v>
      </c>
      <c r="L62" s="7" t="str">
        <f t="shared" si="2"/>
        <v>ГОТОВ</v>
      </c>
      <c r="M62" s="7" t="str">
        <f t="shared" si="3"/>
        <v>61001007001</v>
      </c>
    </row>
    <row r="63" spans="1:13" x14ac:dyDescent="0.25">
      <c r="A63" s="1">
        <v>454470</v>
      </c>
      <c r="B63" s="6" t="s">
        <v>113</v>
      </c>
      <c r="C63" s="9" t="s">
        <v>33</v>
      </c>
      <c r="D63" s="6" t="s">
        <v>20</v>
      </c>
      <c r="E63" s="6" t="s">
        <v>37</v>
      </c>
      <c r="F63" s="6" t="s">
        <v>9</v>
      </c>
      <c r="G63" s="6" t="s">
        <v>38</v>
      </c>
      <c r="H63" s="9" t="s">
        <v>33</v>
      </c>
      <c r="I63" s="7" t="str">
        <f t="shared" si="0"/>
        <v>61001005000</v>
      </c>
      <c r="J63" s="7" t="str">
        <f t="shared" si="1"/>
        <v>Материал по ЕГРН</v>
      </c>
      <c r="K63" s="7">
        <f>VLOOKUP(J63,Лист2!A$2:B$4,2,FALSE)</f>
        <v>792</v>
      </c>
      <c r="L63" s="7" t="str">
        <f t="shared" si="2"/>
        <v>ГОТОВ</v>
      </c>
      <c r="M63" s="7" t="str">
        <f t="shared" si="3"/>
        <v>61001005000</v>
      </c>
    </row>
    <row r="64" spans="1:13" x14ac:dyDescent="0.25">
      <c r="A64" s="1">
        <v>792572</v>
      </c>
      <c r="B64" s="6" t="s">
        <v>114</v>
      </c>
      <c r="C64" s="9" t="s">
        <v>33</v>
      </c>
      <c r="D64" s="6" t="s">
        <v>20</v>
      </c>
      <c r="E64" s="6" t="s">
        <v>37</v>
      </c>
      <c r="F64" s="6" t="s">
        <v>9</v>
      </c>
      <c r="G64" s="6" t="s">
        <v>38</v>
      </c>
      <c r="H64" s="9" t="s">
        <v>33</v>
      </c>
      <c r="I64" s="7" t="str">
        <f t="shared" si="0"/>
        <v>61001005000</v>
      </c>
      <c r="J64" s="7" t="str">
        <f t="shared" si="1"/>
        <v>Материал по ЕГРН</v>
      </c>
      <c r="K64" s="7">
        <f>VLOOKUP(J64,Лист2!A$2:B$4,2,FALSE)</f>
        <v>792</v>
      </c>
      <c r="L64" s="7" t="str">
        <f t="shared" si="2"/>
        <v>ГОТОВ</v>
      </c>
      <c r="M64" s="7" t="str">
        <f t="shared" si="3"/>
        <v>61001005000</v>
      </c>
    </row>
    <row r="65" spans="1:13" x14ac:dyDescent="0.25">
      <c r="A65" s="1">
        <v>946165</v>
      </c>
      <c r="B65" s="6" t="s">
        <v>115</v>
      </c>
      <c r="F65" s="6" t="s">
        <v>9</v>
      </c>
      <c r="G65" s="6" t="s">
        <v>34</v>
      </c>
      <c r="H65" s="9" t="s">
        <v>35</v>
      </c>
      <c r="I65" s="7" t="str">
        <f t="shared" si="0"/>
        <v>61001002000</v>
      </c>
      <c r="J65" s="7" t="str">
        <f t="shared" si="1"/>
        <v>Материал по ЕГРН</v>
      </c>
      <c r="K65" s="7">
        <f>VLOOKUP(J65,Лист2!A$2:B$4,2,FALSE)</f>
        <v>792</v>
      </c>
      <c r="L65" s="7" t="str">
        <f t="shared" si="2"/>
        <v>ГОТОВ_ИЗМЕНЕН</v>
      </c>
      <c r="M65" s="7">
        <f t="shared" si="3"/>
        <v>0</v>
      </c>
    </row>
    <row r="66" spans="1:13" x14ac:dyDescent="0.25">
      <c r="A66" s="1">
        <v>946177</v>
      </c>
      <c r="B66" s="6" t="s">
        <v>116</v>
      </c>
      <c r="F66" s="6" t="s">
        <v>9</v>
      </c>
      <c r="G66" s="6" t="s">
        <v>65</v>
      </c>
      <c r="H66" s="9" t="s">
        <v>66</v>
      </c>
      <c r="I66" s="7" t="str">
        <f t="shared" si="0"/>
        <v>61001002003</v>
      </c>
      <c r="J66" s="7" t="str">
        <f t="shared" si="1"/>
        <v>Материал по ЕГРН</v>
      </c>
      <c r="K66" s="7">
        <f>VLOOKUP(J66,Лист2!A$2:B$4,2,FALSE)</f>
        <v>792</v>
      </c>
      <c r="L66" s="7" t="str">
        <f t="shared" si="2"/>
        <v>ГОТОВ_ИЗМЕНЕН</v>
      </c>
      <c r="M66" s="7">
        <f t="shared" si="3"/>
        <v>0</v>
      </c>
    </row>
    <row r="67" spans="1:13" x14ac:dyDescent="0.25">
      <c r="A67" s="1">
        <v>946189</v>
      </c>
      <c r="B67" s="6" t="s">
        <v>117</v>
      </c>
      <c r="F67" s="6" t="s">
        <v>9</v>
      </c>
      <c r="G67" s="6" t="s">
        <v>34</v>
      </c>
      <c r="H67" s="9" t="s">
        <v>35</v>
      </c>
      <c r="I67" s="7" t="str">
        <f t="shared" si="0"/>
        <v>61001002000</v>
      </c>
      <c r="J67" s="7" t="str">
        <f t="shared" si="1"/>
        <v>Материал по ЕГРН</v>
      </c>
      <c r="K67" s="7">
        <f>VLOOKUP(J67,Лист2!A$2:B$4,2,FALSE)</f>
        <v>792</v>
      </c>
      <c r="L67" s="7" t="str">
        <f t="shared" si="2"/>
        <v>ГОТОВ_ИЗМЕНЕН</v>
      </c>
      <c r="M67" s="7">
        <f t="shared" si="3"/>
        <v>0</v>
      </c>
    </row>
    <row r="68" spans="1:13" x14ac:dyDescent="0.25">
      <c r="A68" s="1">
        <v>946201</v>
      </c>
      <c r="B68" s="6" t="s">
        <v>118</v>
      </c>
      <c r="F68" s="6" t="s">
        <v>9</v>
      </c>
      <c r="G68" s="6" t="s">
        <v>10</v>
      </c>
      <c r="H68" s="9" t="s">
        <v>11</v>
      </c>
      <c r="I68" s="7" t="str">
        <f t="shared" si="0"/>
        <v>61001003000</v>
      </c>
      <c r="J68" s="7" t="str">
        <f t="shared" si="1"/>
        <v>Материал по ЕГРН</v>
      </c>
      <c r="K68" s="7">
        <f>VLOOKUP(J68,Лист2!A$2:B$4,2,FALSE)</f>
        <v>792</v>
      </c>
      <c r="L68" s="7" t="str">
        <f t="shared" si="2"/>
        <v>ГОТОВ_ИЗМЕНЕН</v>
      </c>
      <c r="M68" s="7">
        <f t="shared" si="3"/>
        <v>0</v>
      </c>
    </row>
    <row r="69" spans="1:13" x14ac:dyDescent="0.25">
      <c r="A69" s="1">
        <v>946213</v>
      </c>
      <c r="B69" s="6" t="s">
        <v>119</v>
      </c>
      <c r="F69" s="6" t="s">
        <v>9</v>
      </c>
      <c r="G69" s="6" t="s">
        <v>38</v>
      </c>
      <c r="H69" s="9" t="s">
        <v>33</v>
      </c>
      <c r="I69" s="7" t="str">
        <f t="shared" ref="I69:I132" si="4">IF(LEN(H69)=11,H69,IF(LEN(H69)=0,"61001005000","61001003000"))</f>
        <v>61001005000</v>
      </c>
      <c r="J69" s="7" t="str">
        <f t="shared" ref="J69:J132" si="5">IF(LEN(H69)=11,"Материал по ЕГРН",IF(LEN(H69)=0,"Прочие по допущению","Смешанные по допущению"))</f>
        <v>Материал по ЕГРН</v>
      </c>
      <c r="K69" s="7">
        <f>VLOOKUP(J69,Лист2!A$2:B$4,2,FALSE)</f>
        <v>792</v>
      </c>
      <c r="L69" s="7" t="str">
        <f t="shared" ref="L69:L132" si="6">IF(I69=C69,"ГОТОВ","ГОТОВ_ИЗМЕНЕН")</f>
        <v>ГОТОВ_ИЗМЕНЕН</v>
      </c>
      <c r="M69" s="7">
        <f t="shared" ref="M69:M132" si="7">C69</f>
        <v>0</v>
      </c>
    </row>
    <row r="70" spans="1:13" x14ac:dyDescent="0.25">
      <c r="A70" s="1">
        <v>946225</v>
      </c>
      <c r="B70" s="6" t="s">
        <v>120</v>
      </c>
      <c r="F70" s="6" t="s">
        <v>9</v>
      </c>
      <c r="G70" s="6" t="s">
        <v>34</v>
      </c>
      <c r="H70" s="9" t="s">
        <v>35</v>
      </c>
      <c r="I70" s="7" t="str">
        <f t="shared" si="4"/>
        <v>61001002000</v>
      </c>
      <c r="J70" s="7" t="str">
        <f t="shared" si="5"/>
        <v>Материал по ЕГРН</v>
      </c>
      <c r="K70" s="7">
        <f>VLOOKUP(J70,Лист2!A$2:B$4,2,FALSE)</f>
        <v>792</v>
      </c>
      <c r="L70" s="7" t="str">
        <f t="shared" si="6"/>
        <v>ГОТОВ_ИЗМЕНЕН</v>
      </c>
      <c r="M70" s="7">
        <f t="shared" si="7"/>
        <v>0</v>
      </c>
    </row>
    <row r="71" spans="1:13" x14ac:dyDescent="0.25">
      <c r="A71" s="1">
        <v>946237</v>
      </c>
      <c r="B71" s="6" t="s">
        <v>121</v>
      </c>
      <c r="F71" s="6" t="s">
        <v>9</v>
      </c>
      <c r="G71" s="6" t="s">
        <v>38</v>
      </c>
      <c r="H71" s="9" t="s">
        <v>33</v>
      </c>
      <c r="I71" s="7" t="str">
        <f t="shared" si="4"/>
        <v>61001005000</v>
      </c>
      <c r="J71" s="7" t="str">
        <f t="shared" si="5"/>
        <v>Материал по ЕГРН</v>
      </c>
      <c r="K71" s="7">
        <f>VLOOKUP(J71,Лист2!A$2:B$4,2,FALSE)</f>
        <v>792</v>
      </c>
      <c r="L71" s="7" t="str">
        <f t="shared" si="6"/>
        <v>ГОТОВ_ИЗМЕНЕН</v>
      </c>
      <c r="M71" s="7">
        <f t="shared" si="7"/>
        <v>0</v>
      </c>
    </row>
    <row r="72" spans="1:13" x14ac:dyDescent="0.25">
      <c r="A72" s="1">
        <v>946249</v>
      </c>
      <c r="B72" s="6" t="s">
        <v>122</v>
      </c>
      <c r="F72" s="6" t="s">
        <v>9</v>
      </c>
      <c r="G72" s="6" t="s">
        <v>34</v>
      </c>
      <c r="H72" s="9" t="s">
        <v>35</v>
      </c>
      <c r="I72" s="7" t="str">
        <f t="shared" si="4"/>
        <v>61001002000</v>
      </c>
      <c r="J72" s="7" t="str">
        <f t="shared" si="5"/>
        <v>Материал по ЕГРН</v>
      </c>
      <c r="K72" s="7">
        <f>VLOOKUP(J72,Лист2!A$2:B$4,2,FALSE)</f>
        <v>792</v>
      </c>
      <c r="L72" s="7" t="str">
        <f t="shared" si="6"/>
        <v>ГОТОВ_ИЗМЕНЕН</v>
      </c>
      <c r="M72" s="7">
        <f t="shared" si="7"/>
        <v>0</v>
      </c>
    </row>
    <row r="73" spans="1:13" x14ac:dyDescent="0.25">
      <c r="A73" s="1">
        <v>946261</v>
      </c>
      <c r="B73" s="6" t="s">
        <v>123</v>
      </c>
      <c r="F73" s="6" t="s">
        <v>9</v>
      </c>
      <c r="G73" s="6" t="s">
        <v>38</v>
      </c>
      <c r="H73" s="9" t="s">
        <v>33</v>
      </c>
      <c r="I73" s="7" t="str">
        <f t="shared" si="4"/>
        <v>61001005000</v>
      </c>
      <c r="J73" s="7" t="str">
        <f t="shared" si="5"/>
        <v>Материал по ЕГРН</v>
      </c>
      <c r="K73" s="7">
        <f>VLOOKUP(J73,Лист2!A$2:B$4,2,FALSE)</f>
        <v>792</v>
      </c>
      <c r="L73" s="7" t="str">
        <f t="shared" si="6"/>
        <v>ГОТОВ_ИЗМЕНЕН</v>
      </c>
      <c r="M73" s="7">
        <f t="shared" si="7"/>
        <v>0</v>
      </c>
    </row>
    <row r="74" spans="1:13" x14ac:dyDescent="0.25">
      <c r="A74" s="1">
        <v>946273</v>
      </c>
      <c r="B74" s="6" t="s">
        <v>124</v>
      </c>
      <c r="F74" s="6" t="s">
        <v>9</v>
      </c>
      <c r="G74" s="6" t="s">
        <v>125</v>
      </c>
      <c r="H74" s="9" t="s">
        <v>126</v>
      </c>
      <c r="I74" s="7" t="str">
        <f t="shared" si="4"/>
        <v>61001007004</v>
      </c>
      <c r="J74" s="7" t="str">
        <f t="shared" si="5"/>
        <v>Материал по ЕГРН</v>
      </c>
      <c r="K74" s="7">
        <f>VLOOKUP(J74,Лист2!A$2:B$4,2,FALSE)</f>
        <v>792</v>
      </c>
      <c r="L74" s="7" t="str">
        <f t="shared" si="6"/>
        <v>ГОТОВ_ИЗМЕНЕН</v>
      </c>
      <c r="M74" s="7">
        <f t="shared" si="7"/>
        <v>0</v>
      </c>
    </row>
    <row r="75" spans="1:13" x14ac:dyDescent="0.25">
      <c r="A75" s="1">
        <v>946285</v>
      </c>
      <c r="B75" s="6" t="s">
        <v>127</v>
      </c>
      <c r="F75" s="6" t="s">
        <v>9</v>
      </c>
      <c r="G75" s="6" t="s">
        <v>38</v>
      </c>
      <c r="H75" s="9" t="s">
        <v>33</v>
      </c>
      <c r="I75" s="7" t="str">
        <f t="shared" si="4"/>
        <v>61001005000</v>
      </c>
      <c r="J75" s="7" t="str">
        <f t="shared" si="5"/>
        <v>Материал по ЕГРН</v>
      </c>
      <c r="K75" s="7">
        <f>VLOOKUP(J75,Лист2!A$2:B$4,2,FALSE)</f>
        <v>792</v>
      </c>
      <c r="L75" s="7" t="str">
        <f t="shared" si="6"/>
        <v>ГОТОВ_ИЗМЕНЕН</v>
      </c>
      <c r="M75" s="7">
        <f t="shared" si="7"/>
        <v>0</v>
      </c>
    </row>
    <row r="76" spans="1:13" x14ac:dyDescent="0.25">
      <c r="A76" s="1">
        <v>946297</v>
      </c>
      <c r="B76" s="6" t="s">
        <v>128</v>
      </c>
      <c r="F76" s="6" t="s">
        <v>9</v>
      </c>
      <c r="G76" s="6" t="s">
        <v>38</v>
      </c>
      <c r="H76" s="9" t="s">
        <v>33</v>
      </c>
      <c r="I76" s="7" t="str">
        <f t="shared" si="4"/>
        <v>61001005000</v>
      </c>
      <c r="J76" s="7" t="str">
        <f t="shared" si="5"/>
        <v>Материал по ЕГРН</v>
      </c>
      <c r="K76" s="7">
        <f>VLOOKUP(J76,Лист2!A$2:B$4,2,FALSE)</f>
        <v>792</v>
      </c>
      <c r="L76" s="7" t="str">
        <f t="shared" si="6"/>
        <v>ГОТОВ_ИЗМЕНЕН</v>
      </c>
      <c r="M76" s="7">
        <f t="shared" si="7"/>
        <v>0</v>
      </c>
    </row>
    <row r="77" spans="1:13" x14ac:dyDescent="0.25">
      <c r="A77" s="1">
        <v>946309</v>
      </c>
      <c r="B77" s="6" t="s">
        <v>129</v>
      </c>
      <c r="F77" s="6" t="s">
        <v>9</v>
      </c>
      <c r="G77" s="6" t="s">
        <v>38</v>
      </c>
      <c r="H77" s="9" t="s">
        <v>33</v>
      </c>
      <c r="I77" s="7" t="str">
        <f t="shared" si="4"/>
        <v>61001005000</v>
      </c>
      <c r="J77" s="7" t="str">
        <f t="shared" si="5"/>
        <v>Материал по ЕГРН</v>
      </c>
      <c r="K77" s="7">
        <f>VLOOKUP(J77,Лист2!A$2:B$4,2,FALSE)</f>
        <v>792</v>
      </c>
      <c r="L77" s="7" t="str">
        <f t="shared" si="6"/>
        <v>ГОТОВ_ИЗМЕНЕН</v>
      </c>
      <c r="M77" s="7">
        <f t="shared" si="7"/>
        <v>0</v>
      </c>
    </row>
    <row r="78" spans="1:13" x14ac:dyDescent="0.25">
      <c r="A78" s="1">
        <v>946321</v>
      </c>
      <c r="B78" s="6" t="s">
        <v>130</v>
      </c>
      <c r="F78" s="6" t="s">
        <v>9</v>
      </c>
      <c r="G78" s="6" t="s">
        <v>90</v>
      </c>
      <c r="H78" s="9" t="s">
        <v>12</v>
      </c>
      <c r="I78" s="7" t="str">
        <f t="shared" si="4"/>
        <v>61001008000</v>
      </c>
      <c r="J78" s="7" t="str">
        <f t="shared" si="5"/>
        <v>Материал по ЕГРН</v>
      </c>
      <c r="K78" s="7">
        <f>VLOOKUP(J78,Лист2!A$2:B$4,2,FALSE)</f>
        <v>792</v>
      </c>
      <c r="L78" s="7" t="str">
        <f t="shared" si="6"/>
        <v>ГОТОВ_ИЗМЕНЕН</v>
      </c>
      <c r="M78" s="7">
        <f t="shared" si="7"/>
        <v>0</v>
      </c>
    </row>
    <row r="79" spans="1:13" x14ac:dyDescent="0.25">
      <c r="A79" s="1">
        <v>946333</v>
      </c>
      <c r="B79" s="6" t="s">
        <v>131</v>
      </c>
      <c r="F79" s="6" t="s">
        <v>9</v>
      </c>
      <c r="G79" s="6" t="s">
        <v>62</v>
      </c>
      <c r="H79" s="9" t="s">
        <v>63</v>
      </c>
      <c r="I79" s="7" t="str">
        <f t="shared" si="4"/>
        <v>61001006002</v>
      </c>
      <c r="J79" s="7" t="str">
        <f t="shared" si="5"/>
        <v>Материал по ЕГРН</v>
      </c>
      <c r="K79" s="7">
        <f>VLOOKUP(J79,Лист2!A$2:B$4,2,FALSE)</f>
        <v>792</v>
      </c>
      <c r="L79" s="7" t="str">
        <f t="shared" si="6"/>
        <v>ГОТОВ_ИЗМЕНЕН</v>
      </c>
      <c r="M79" s="7">
        <f t="shared" si="7"/>
        <v>0</v>
      </c>
    </row>
    <row r="80" spans="1:13" x14ac:dyDescent="0.25">
      <c r="A80" s="1">
        <v>946345</v>
      </c>
      <c r="B80" s="6" t="s">
        <v>132</v>
      </c>
      <c r="F80" s="6" t="s">
        <v>9</v>
      </c>
      <c r="G80" s="6" t="s">
        <v>133</v>
      </c>
      <c r="H80" s="9" t="s">
        <v>134</v>
      </c>
      <c r="I80" s="7" t="str">
        <f t="shared" si="4"/>
        <v>61001006003</v>
      </c>
      <c r="J80" s="7" t="str">
        <f t="shared" si="5"/>
        <v>Материал по ЕГРН</v>
      </c>
      <c r="K80" s="7">
        <f>VLOOKUP(J80,Лист2!A$2:B$4,2,FALSE)</f>
        <v>792</v>
      </c>
      <c r="L80" s="7" t="str">
        <f t="shared" si="6"/>
        <v>ГОТОВ_ИЗМЕНЕН</v>
      </c>
      <c r="M80" s="7">
        <f t="shared" si="7"/>
        <v>0</v>
      </c>
    </row>
    <row r="81" spans="1:13" x14ac:dyDescent="0.25">
      <c r="A81" s="1">
        <v>946357</v>
      </c>
      <c r="B81" s="6" t="s">
        <v>135</v>
      </c>
      <c r="F81" s="6" t="s">
        <v>9</v>
      </c>
      <c r="G81" s="6" t="s">
        <v>38</v>
      </c>
      <c r="H81" s="9" t="s">
        <v>33</v>
      </c>
      <c r="I81" s="7" t="str">
        <f t="shared" si="4"/>
        <v>61001005000</v>
      </c>
      <c r="J81" s="7" t="str">
        <f t="shared" si="5"/>
        <v>Материал по ЕГРН</v>
      </c>
      <c r="K81" s="7">
        <f>VLOOKUP(J81,Лист2!A$2:B$4,2,FALSE)</f>
        <v>792</v>
      </c>
      <c r="L81" s="7" t="str">
        <f t="shared" si="6"/>
        <v>ГОТОВ_ИЗМЕНЕН</v>
      </c>
      <c r="M81" s="7">
        <f t="shared" si="7"/>
        <v>0</v>
      </c>
    </row>
    <row r="82" spans="1:13" x14ac:dyDescent="0.25">
      <c r="A82" s="1">
        <v>946369</v>
      </c>
      <c r="B82" s="6" t="s">
        <v>136</v>
      </c>
      <c r="F82" s="6" t="s">
        <v>9</v>
      </c>
      <c r="G82" s="6" t="s">
        <v>34</v>
      </c>
      <c r="H82" s="9" t="s">
        <v>35</v>
      </c>
      <c r="I82" s="7" t="str">
        <f t="shared" si="4"/>
        <v>61001002000</v>
      </c>
      <c r="J82" s="7" t="str">
        <f t="shared" si="5"/>
        <v>Материал по ЕГРН</v>
      </c>
      <c r="K82" s="7">
        <f>VLOOKUP(J82,Лист2!A$2:B$4,2,FALSE)</f>
        <v>792</v>
      </c>
      <c r="L82" s="7" t="str">
        <f t="shared" si="6"/>
        <v>ГОТОВ_ИЗМЕНЕН</v>
      </c>
      <c r="M82" s="7">
        <f t="shared" si="7"/>
        <v>0</v>
      </c>
    </row>
    <row r="83" spans="1:13" x14ac:dyDescent="0.25">
      <c r="A83" s="1">
        <v>946381</v>
      </c>
      <c r="B83" s="6" t="s">
        <v>137</v>
      </c>
      <c r="F83" s="6" t="s">
        <v>9</v>
      </c>
      <c r="G83" s="6" t="s">
        <v>10</v>
      </c>
      <c r="H83" s="9" t="s">
        <v>11</v>
      </c>
      <c r="I83" s="7" t="str">
        <f t="shared" si="4"/>
        <v>61001003000</v>
      </c>
      <c r="J83" s="7" t="str">
        <f t="shared" si="5"/>
        <v>Материал по ЕГРН</v>
      </c>
      <c r="K83" s="7">
        <f>VLOOKUP(J83,Лист2!A$2:B$4,2,FALSE)</f>
        <v>792</v>
      </c>
      <c r="L83" s="7" t="str">
        <f t="shared" si="6"/>
        <v>ГОТОВ_ИЗМЕНЕН</v>
      </c>
      <c r="M83" s="7">
        <f t="shared" si="7"/>
        <v>0</v>
      </c>
    </row>
    <row r="84" spans="1:13" x14ac:dyDescent="0.25">
      <c r="A84" s="1">
        <v>946393</v>
      </c>
      <c r="B84" s="6" t="s">
        <v>138</v>
      </c>
      <c r="F84" s="6" t="s">
        <v>9</v>
      </c>
      <c r="G84" s="6" t="s">
        <v>139</v>
      </c>
      <c r="H84" s="9" t="s">
        <v>140</v>
      </c>
      <c r="I84" s="7" t="str">
        <f t="shared" si="4"/>
        <v>61001999000</v>
      </c>
      <c r="J84" s="7" t="str">
        <f t="shared" si="5"/>
        <v>Материал по ЕГРН</v>
      </c>
      <c r="K84" s="7">
        <f>VLOOKUP(J84,Лист2!A$2:B$4,2,FALSE)</f>
        <v>792</v>
      </c>
      <c r="L84" s="7" t="str">
        <f t="shared" si="6"/>
        <v>ГОТОВ_ИЗМЕНЕН</v>
      </c>
      <c r="M84" s="7">
        <f t="shared" si="7"/>
        <v>0</v>
      </c>
    </row>
    <row r="85" spans="1:13" x14ac:dyDescent="0.25">
      <c r="A85" s="1">
        <v>221759</v>
      </c>
      <c r="B85" s="6" t="s">
        <v>141</v>
      </c>
      <c r="C85" s="9" t="s">
        <v>33</v>
      </c>
      <c r="D85" s="6" t="s">
        <v>20</v>
      </c>
      <c r="E85" s="6" t="s">
        <v>37</v>
      </c>
      <c r="F85" s="6" t="s">
        <v>9</v>
      </c>
      <c r="G85" s="6" t="s">
        <v>38</v>
      </c>
      <c r="H85" s="9" t="s">
        <v>33</v>
      </c>
      <c r="I85" s="7" t="str">
        <f t="shared" si="4"/>
        <v>61001005000</v>
      </c>
      <c r="J85" s="7" t="str">
        <f t="shared" si="5"/>
        <v>Материал по ЕГРН</v>
      </c>
      <c r="K85" s="7">
        <f>VLOOKUP(J85,Лист2!A$2:B$4,2,FALSE)</f>
        <v>792</v>
      </c>
      <c r="L85" s="7" t="str">
        <f t="shared" si="6"/>
        <v>ГОТОВ</v>
      </c>
      <c r="M85" s="7" t="str">
        <f t="shared" si="7"/>
        <v>61001005000</v>
      </c>
    </row>
    <row r="86" spans="1:13" x14ac:dyDescent="0.25">
      <c r="A86" s="1">
        <v>535889</v>
      </c>
      <c r="B86" s="6" t="s">
        <v>142</v>
      </c>
      <c r="C86" s="9" t="s">
        <v>33</v>
      </c>
      <c r="D86" s="6" t="s">
        <v>20</v>
      </c>
      <c r="E86" s="6" t="s">
        <v>37</v>
      </c>
      <c r="F86" s="6" t="s">
        <v>9</v>
      </c>
      <c r="G86" s="6" t="s">
        <v>38</v>
      </c>
      <c r="H86" s="9" t="s">
        <v>33</v>
      </c>
      <c r="I86" s="7" t="str">
        <f t="shared" si="4"/>
        <v>61001005000</v>
      </c>
      <c r="J86" s="7" t="str">
        <f t="shared" si="5"/>
        <v>Материал по ЕГРН</v>
      </c>
      <c r="K86" s="7">
        <f>VLOOKUP(J86,Лист2!A$2:B$4,2,FALSE)</f>
        <v>792</v>
      </c>
      <c r="L86" s="7" t="str">
        <f t="shared" si="6"/>
        <v>ГОТОВ</v>
      </c>
      <c r="M86" s="7" t="str">
        <f t="shared" si="7"/>
        <v>61001005000</v>
      </c>
    </row>
    <row r="87" spans="1:13" x14ac:dyDescent="0.25">
      <c r="A87" s="1">
        <v>785565</v>
      </c>
      <c r="B87" s="6" t="s">
        <v>143</v>
      </c>
      <c r="C87" s="9" t="s">
        <v>33</v>
      </c>
      <c r="D87" s="6" t="s">
        <v>20</v>
      </c>
      <c r="E87" s="6" t="s">
        <v>37</v>
      </c>
      <c r="F87" s="6" t="s">
        <v>9</v>
      </c>
      <c r="G87" s="6" t="s">
        <v>38</v>
      </c>
      <c r="H87" s="9" t="s">
        <v>33</v>
      </c>
      <c r="I87" s="7" t="str">
        <f t="shared" si="4"/>
        <v>61001005000</v>
      </c>
      <c r="J87" s="7" t="str">
        <f t="shared" si="5"/>
        <v>Материал по ЕГРН</v>
      </c>
      <c r="K87" s="7">
        <f>VLOOKUP(J87,Лист2!A$2:B$4,2,FALSE)</f>
        <v>792</v>
      </c>
      <c r="L87" s="7" t="str">
        <f t="shared" si="6"/>
        <v>ГОТОВ</v>
      </c>
      <c r="M87" s="7" t="str">
        <f t="shared" si="7"/>
        <v>61001005000</v>
      </c>
    </row>
    <row r="88" spans="1:13" x14ac:dyDescent="0.25">
      <c r="A88" s="1">
        <v>944917</v>
      </c>
      <c r="B88" s="6" t="s">
        <v>144</v>
      </c>
      <c r="F88" s="6" t="s">
        <v>9</v>
      </c>
      <c r="G88" s="6" t="s">
        <v>38</v>
      </c>
      <c r="H88" s="9" t="s">
        <v>33</v>
      </c>
      <c r="I88" s="7" t="str">
        <f t="shared" si="4"/>
        <v>61001005000</v>
      </c>
      <c r="J88" s="7" t="str">
        <f t="shared" si="5"/>
        <v>Материал по ЕГРН</v>
      </c>
      <c r="K88" s="7">
        <f>VLOOKUP(J88,Лист2!A$2:B$4,2,FALSE)</f>
        <v>792</v>
      </c>
      <c r="L88" s="7" t="str">
        <f t="shared" si="6"/>
        <v>ГОТОВ_ИЗМЕНЕН</v>
      </c>
      <c r="M88" s="7">
        <f t="shared" si="7"/>
        <v>0</v>
      </c>
    </row>
    <row r="89" spans="1:13" x14ac:dyDescent="0.25">
      <c r="A89" s="1">
        <v>944929</v>
      </c>
      <c r="B89" s="6" t="s">
        <v>145</v>
      </c>
      <c r="F89" s="6" t="s">
        <v>9</v>
      </c>
      <c r="G89" s="6" t="s">
        <v>146</v>
      </c>
      <c r="H89" s="9" t="s">
        <v>147</v>
      </c>
      <c r="I89" s="7" t="str">
        <f t="shared" si="4"/>
        <v>61001000000</v>
      </c>
      <c r="J89" s="7" t="str">
        <f t="shared" si="5"/>
        <v>Материал по ЕГРН</v>
      </c>
      <c r="K89" s="7">
        <f>VLOOKUP(J89,Лист2!A$2:B$4,2,FALSE)</f>
        <v>792</v>
      </c>
      <c r="L89" s="7" t="str">
        <f t="shared" si="6"/>
        <v>ГОТОВ_ИЗМЕНЕН</v>
      </c>
      <c r="M89" s="7">
        <f t="shared" si="7"/>
        <v>0</v>
      </c>
    </row>
    <row r="90" spans="1:13" x14ac:dyDescent="0.25">
      <c r="A90" s="1">
        <v>944941</v>
      </c>
      <c r="B90" s="6" t="s">
        <v>148</v>
      </c>
      <c r="F90" s="6" t="s">
        <v>9</v>
      </c>
      <c r="G90" s="6" t="s">
        <v>149</v>
      </c>
      <c r="H90" s="9" t="s">
        <v>150</v>
      </c>
      <c r="I90" s="7" t="str">
        <f t="shared" si="4"/>
        <v>61001007000</v>
      </c>
      <c r="J90" s="7" t="str">
        <f t="shared" si="5"/>
        <v>Материал по ЕГРН</v>
      </c>
      <c r="K90" s="7">
        <f>VLOOKUP(J90,Лист2!A$2:B$4,2,FALSE)</f>
        <v>792</v>
      </c>
      <c r="L90" s="7" t="str">
        <f t="shared" si="6"/>
        <v>ГОТОВ_ИЗМЕНЕН</v>
      </c>
      <c r="M90" s="7">
        <f t="shared" si="7"/>
        <v>0</v>
      </c>
    </row>
    <row r="91" spans="1:13" x14ac:dyDescent="0.25">
      <c r="A91" s="1">
        <v>944953</v>
      </c>
      <c r="B91" s="6" t="s">
        <v>151</v>
      </c>
      <c r="F91" s="6" t="s">
        <v>9</v>
      </c>
      <c r="G91" s="6" t="s">
        <v>34</v>
      </c>
      <c r="H91" s="9" t="s">
        <v>35</v>
      </c>
      <c r="I91" s="7" t="str">
        <f t="shared" si="4"/>
        <v>61001002000</v>
      </c>
      <c r="J91" s="7" t="str">
        <f t="shared" si="5"/>
        <v>Материал по ЕГРН</v>
      </c>
      <c r="K91" s="7">
        <f>VLOOKUP(J91,Лист2!A$2:B$4,2,FALSE)</f>
        <v>792</v>
      </c>
      <c r="L91" s="7" t="str">
        <f t="shared" si="6"/>
        <v>ГОТОВ_ИЗМЕНЕН</v>
      </c>
      <c r="M91" s="7">
        <f t="shared" si="7"/>
        <v>0</v>
      </c>
    </row>
    <row r="92" spans="1:13" x14ac:dyDescent="0.25">
      <c r="A92" s="1">
        <v>944965</v>
      </c>
      <c r="B92" s="6" t="s">
        <v>152</v>
      </c>
      <c r="F92" s="6" t="s">
        <v>9</v>
      </c>
      <c r="G92" s="6" t="s">
        <v>59</v>
      </c>
      <c r="H92" s="9" t="s">
        <v>60</v>
      </c>
      <c r="I92" s="7" t="str">
        <f t="shared" si="4"/>
        <v>61001001001</v>
      </c>
      <c r="J92" s="7" t="str">
        <f t="shared" si="5"/>
        <v>Материал по ЕГРН</v>
      </c>
      <c r="K92" s="7">
        <f>VLOOKUP(J92,Лист2!A$2:B$4,2,FALSE)</f>
        <v>792</v>
      </c>
      <c r="L92" s="7" t="str">
        <f t="shared" si="6"/>
        <v>ГОТОВ_ИЗМЕНЕН</v>
      </c>
      <c r="M92" s="7">
        <f t="shared" si="7"/>
        <v>0</v>
      </c>
    </row>
    <row r="93" spans="1:13" x14ac:dyDescent="0.25">
      <c r="A93" s="1">
        <v>944977</v>
      </c>
      <c r="B93" s="6" t="s">
        <v>153</v>
      </c>
      <c r="F93" s="6" t="s">
        <v>9</v>
      </c>
      <c r="G93" s="6" t="s">
        <v>38</v>
      </c>
      <c r="H93" s="9" t="s">
        <v>33</v>
      </c>
      <c r="I93" s="7" t="str">
        <f t="shared" si="4"/>
        <v>61001005000</v>
      </c>
      <c r="J93" s="7" t="str">
        <f t="shared" si="5"/>
        <v>Материал по ЕГРН</v>
      </c>
      <c r="K93" s="7">
        <f>VLOOKUP(J93,Лист2!A$2:B$4,2,FALSE)</f>
        <v>792</v>
      </c>
      <c r="L93" s="7" t="str">
        <f t="shared" si="6"/>
        <v>ГОТОВ_ИЗМЕНЕН</v>
      </c>
      <c r="M93" s="7">
        <f t="shared" si="7"/>
        <v>0</v>
      </c>
    </row>
    <row r="94" spans="1:13" x14ac:dyDescent="0.25">
      <c r="A94" s="1">
        <v>944989</v>
      </c>
      <c r="B94" s="6" t="s">
        <v>154</v>
      </c>
      <c r="F94" s="6" t="s">
        <v>9</v>
      </c>
      <c r="G94" s="6" t="s">
        <v>90</v>
      </c>
      <c r="H94" s="9" t="s">
        <v>12</v>
      </c>
      <c r="I94" s="7" t="str">
        <f t="shared" si="4"/>
        <v>61001008000</v>
      </c>
      <c r="J94" s="7" t="str">
        <f t="shared" si="5"/>
        <v>Материал по ЕГРН</v>
      </c>
      <c r="K94" s="7">
        <f>VLOOKUP(J94,Лист2!A$2:B$4,2,FALSE)</f>
        <v>792</v>
      </c>
      <c r="L94" s="7" t="str">
        <f t="shared" si="6"/>
        <v>ГОТОВ_ИЗМЕНЕН</v>
      </c>
      <c r="M94" s="7">
        <f t="shared" si="7"/>
        <v>0</v>
      </c>
    </row>
    <row r="95" spans="1:13" x14ac:dyDescent="0.25">
      <c r="A95" s="1">
        <v>945001</v>
      </c>
      <c r="B95" s="6" t="s">
        <v>155</v>
      </c>
      <c r="F95" s="6" t="s">
        <v>9</v>
      </c>
      <c r="G95" s="6" t="s">
        <v>34</v>
      </c>
      <c r="H95" s="9" t="s">
        <v>35</v>
      </c>
      <c r="I95" s="7" t="str">
        <f t="shared" si="4"/>
        <v>61001002000</v>
      </c>
      <c r="J95" s="7" t="str">
        <f t="shared" si="5"/>
        <v>Материал по ЕГРН</v>
      </c>
      <c r="K95" s="7">
        <f>VLOOKUP(J95,Лист2!A$2:B$4,2,FALSE)</f>
        <v>792</v>
      </c>
      <c r="L95" s="7" t="str">
        <f t="shared" si="6"/>
        <v>ГОТОВ_ИЗМЕНЕН</v>
      </c>
      <c r="M95" s="7">
        <f t="shared" si="7"/>
        <v>0</v>
      </c>
    </row>
    <row r="96" spans="1:13" x14ac:dyDescent="0.25">
      <c r="A96" s="1">
        <v>945013</v>
      </c>
      <c r="B96" s="6" t="s">
        <v>156</v>
      </c>
      <c r="F96" s="6" t="s">
        <v>9</v>
      </c>
      <c r="G96" s="6" t="s">
        <v>10</v>
      </c>
      <c r="H96" s="9" t="s">
        <v>11</v>
      </c>
      <c r="I96" s="7" t="str">
        <f t="shared" si="4"/>
        <v>61001003000</v>
      </c>
      <c r="J96" s="7" t="str">
        <f t="shared" si="5"/>
        <v>Материал по ЕГРН</v>
      </c>
      <c r="K96" s="7">
        <f>VLOOKUP(J96,Лист2!A$2:B$4,2,FALSE)</f>
        <v>792</v>
      </c>
      <c r="L96" s="7" t="str">
        <f t="shared" si="6"/>
        <v>ГОТОВ_ИЗМЕНЕН</v>
      </c>
      <c r="M96" s="7">
        <f t="shared" si="7"/>
        <v>0</v>
      </c>
    </row>
    <row r="97" spans="1:13" x14ac:dyDescent="0.25">
      <c r="A97" s="1">
        <v>945025</v>
      </c>
      <c r="B97" s="6" t="s">
        <v>157</v>
      </c>
      <c r="F97" s="6" t="s">
        <v>9</v>
      </c>
      <c r="G97" s="6" t="s">
        <v>38</v>
      </c>
      <c r="H97" s="9" t="s">
        <v>33</v>
      </c>
      <c r="I97" s="7" t="str">
        <f t="shared" si="4"/>
        <v>61001005000</v>
      </c>
      <c r="J97" s="7" t="str">
        <f t="shared" si="5"/>
        <v>Материал по ЕГРН</v>
      </c>
      <c r="K97" s="7">
        <f>VLOOKUP(J97,Лист2!A$2:B$4,2,FALSE)</f>
        <v>792</v>
      </c>
      <c r="L97" s="7" t="str">
        <f t="shared" si="6"/>
        <v>ГОТОВ_ИЗМЕНЕН</v>
      </c>
      <c r="M97" s="7">
        <f t="shared" si="7"/>
        <v>0</v>
      </c>
    </row>
    <row r="98" spans="1:13" x14ac:dyDescent="0.25">
      <c r="A98" s="1">
        <v>945037</v>
      </c>
      <c r="B98" s="6" t="s">
        <v>158</v>
      </c>
      <c r="F98" s="6" t="s">
        <v>9</v>
      </c>
      <c r="G98" s="6" t="s">
        <v>159</v>
      </c>
      <c r="H98" s="9" t="s">
        <v>160</v>
      </c>
      <c r="I98" s="7" t="str">
        <f t="shared" si="4"/>
        <v>61001002005</v>
      </c>
      <c r="J98" s="7" t="str">
        <f t="shared" si="5"/>
        <v>Материал по ЕГРН</v>
      </c>
      <c r="K98" s="7">
        <f>VLOOKUP(J98,Лист2!A$2:B$4,2,FALSE)</f>
        <v>792</v>
      </c>
      <c r="L98" s="7" t="str">
        <f t="shared" si="6"/>
        <v>ГОТОВ_ИЗМЕНЕН</v>
      </c>
      <c r="M98" s="7">
        <f t="shared" si="7"/>
        <v>0</v>
      </c>
    </row>
    <row r="99" spans="1:13" x14ac:dyDescent="0.25">
      <c r="A99" s="1">
        <v>945049</v>
      </c>
      <c r="B99" s="6" t="s">
        <v>161</v>
      </c>
      <c r="F99" s="6" t="s">
        <v>9</v>
      </c>
      <c r="G99" s="6" t="s">
        <v>62</v>
      </c>
      <c r="H99" s="9" t="s">
        <v>63</v>
      </c>
      <c r="I99" s="7" t="str">
        <f t="shared" si="4"/>
        <v>61001006002</v>
      </c>
      <c r="J99" s="7" t="str">
        <f t="shared" si="5"/>
        <v>Материал по ЕГРН</v>
      </c>
      <c r="K99" s="7">
        <f>VLOOKUP(J99,Лист2!A$2:B$4,2,FALSE)</f>
        <v>792</v>
      </c>
      <c r="L99" s="7" t="str">
        <f t="shared" si="6"/>
        <v>ГОТОВ_ИЗМЕНЕН</v>
      </c>
      <c r="M99" s="7">
        <f t="shared" si="7"/>
        <v>0</v>
      </c>
    </row>
    <row r="100" spans="1:13" x14ac:dyDescent="0.25">
      <c r="A100" s="1">
        <v>945061</v>
      </c>
      <c r="B100" s="6" t="s">
        <v>162</v>
      </c>
      <c r="F100" s="6" t="s">
        <v>9</v>
      </c>
      <c r="G100" s="6" t="s">
        <v>43</v>
      </c>
      <c r="H100" s="9" t="s">
        <v>42</v>
      </c>
      <c r="I100" s="7" t="str">
        <f t="shared" si="4"/>
        <v>61001002001</v>
      </c>
      <c r="J100" s="7" t="str">
        <f t="shared" si="5"/>
        <v>Материал по ЕГРН</v>
      </c>
      <c r="K100" s="7">
        <f>VLOOKUP(J100,Лист2!A$2:B$4,2,FALSE)</f>
        <v>792</v>
      </c>
      <c r="L100" s="7" t="str">
        <f t="shared" si="6"/>
        <v>ГОТОВ_ИЗМЕНЕН</v>
      </c>
      <c r="M100" s="7">
        <f t="shared" si="7"/>
        <v>0</v>
      </c>
    </row>
    <row r="101" spans="1:13" x14ac:dyDescent="0.25">
      <c r="A101" s="1">
        <v>945073</v>
      </c>
      <c r="B101" s="6" t="s">
        <v>163</v>
      </c>
      <c r="F101" s="6" t="s">
        <v>9</v>
      </c>
      <c r="G101" s="6" t="s">
        <v>10</v>
      </c>
      <c r="H101" s="9" t="s">
        <v>11</v>
      </c>
      <c r="I101" s="7" t="str">
        <f t="shared" si="4"/>
        <v>61001003000</v>
      </c>
      <c r="J101" s="7" t="str">
        <f t="shared" si="5"/>
        <v>Материал по ЕГРН</v>
      </c>
      <c r="K101" s="7">
        <f>VLOOKUP(J101,Лист2!A$2:B$4,2,FALSE)</f>
        <v>792</v>
      </c>
      <c r="L101" s="7" t="str">
        <f t="shared" si="6"/>
        <v>ГОТОВ_ИЗМЕНЕН</v>
      </c>
      <c r="M101" s="7">
        <f t="shared" si="7"/>
        <v>0</v>
      </c>
    </row>
    <row r="102" spans="1:13" x14ac:dyDescent="0.25">
      <c r="A102" s="1">
        <v>945085</v>
      </c>
      <c r="B102" s="6" t="s">
        <v>164</v>
      </c>
      <c r="F102" s="6" t="s">
        <v>9</v>
      </c>
      <c r="G102" s="6" t="s">
        <v>38</v>
      </c>
      <c r="H102" s="9" t="s">
        <v>33</v>
      </c>
      <c r="I102" s="7" t="str">
        <f t="shared" si="4"/>
        <v>61001005000</v>
      </c>
      <c r="J102" s="7" t="str">
        <f t="shared" si="5"/>
        <v>Материал по ЕГРН</v>
      </c>
      <c r="K102" s="7">
        <f>VLOOKUP(J102,Лист2!A$2:B$4,2,FALSE)</f>
        <v>792</v>
      </c>
      <c r="L102" s="7" t="str">
        <f t="shared" si="6"/>
        <v>ГОТОВ_ИЗМЕНЕН</v>
      </c>
      <c r="M102" s="7">
        <f t="shared" si="7"/>
        <v>0</v>
      </c>
    </row>
    <row r="103" spans="1:13" x14ac:dyDescent="0.25">
      <c r="A103" s="1">
        <v>945097</v>
      </c>
      <c r="B103" s="6" t="s">
        <v>165</v>
      </c>
      <c r="F103" s="6" t="s">
        <v>9</v>
      </c>
      <c r="G103" s="6" t="s">
        <v>38</v>
      </c>
      <c r="H103" s="9" t="s">
        <v>33</v>
      </c>
      <c r="I103" s="7" t="str">
        <f t="shared" si="4"/>
        <v>61001005000</v>
      </c>
      <c r="J103" s="7" t="str">
        <f t="shared" si="5"/>
        <v>Материал по ЕГРН</v>
      </c>
      <c r="K103" s="7">
        <f>VLOOKUP(J103,Лист2!A$2:B$4,2,FALSE)</f>
        <v>792</v>
      </c>
      <c r="L103" s="7" t="str">
        <f t="shared" si="6"/>
        <v>ГОТОВ_ИЗМЕНЕН</v>
      </c>
      <c r="M103" s="7">
        <f t="shared" si="7"/>
        <v>0</v>
      </c>
    </row>
    <row r="104" spans="1:13" x14ac:dyDescent="0.25">
      <c r="A104" s="1">
        <v>945109</v>
      </c>
      <c r="B104" s="6" t="s">
        <v>166</v>
      </c>
      <c r="F104" s="6" t="s">
        <v>9</v>
      </c>
      <c r="G104" s="6" t="s">
        <v>38</v>
      </c>
      <c r="H104" s="9" t="s">
        <v>33</v>
      </c>
      <c r="I104" s="7" t="str">
        <f t="shared" si="4"/>
        <v>61001005000</v>
      </c>
      <c r="J104" s="7" t="str">
        <f t="shared" si="5"/>
        <v>Материал по ЕГРН</v>
      </c>
      <c r="K104" s="7">
        <f>VLOOKUP(J104,Лист2!A$2:B$4,2,FALSE)</f>
        <v>792</v>
      </c>
      <c r="L104" s="7" t="str">
        <f t="shared" si="6"/>
        <v>ГОТОВ_ИЗМЕНЕН</v>
      </c>
      <c r="M104" s="7">
        <f t="shared" si="7"/>
        <v>0</v>
      </c>
    </row>
    <row r="105" spans="1:13" x14ac:dyDescent="0.25">
      <c r="A105" s="1">
        <v>945121</v>
      </c>
      <c r="B105" s="6" t="s">
        <v>167</v>
      </c>
      <c r="F105" s="6" t="s">
        <v>9</v>
      </c>
      <c r="G105" s="6" t="s">
        <v>10</v>
      </c>
      <c r="H105" s="9" t="s">
        <v>11</v>
      </c>
      <c r="I105" s="7" t="str">
        <f t="shared" si="4"/>
        <v>61001003000</v>
      </c>
      <c r="J105" s="7" t="str">
        <f t="shared" si="5"/>
        <v>Материал по ЕГРН</v>
      </c>
      <c r="K105" s="7">
        <f>VLOOKUP(J105,Лист2!A$2:B$4,2,FALSE)</f>
        <v>792</v>
      </c>
      <c r="L105" s="7" t="str">
        <f t="shared" si="6"/>
        <v>ГОТОВ_ИЗМЕНЕН</v>
      </c>
      <c r="M105" s="7">
        <f t="shared" si="7"/>
        <v>0</v>
      </c>
    </row>
    <row r="106" spans="1:13" x14ac:dyDescent="0.25">
      <c r="A106" s="1">
        <v>945133</v>
      </c>
      <c r="B106" s="6" t="s">
        <v>168</v>
      </c>
      <c r="F106" s="6" t="s">
        <v>9</v>
      </c>
      <c r="G106" s="6" t="s">
        <v>34</v>
      </c>
      <c r="H106" s="9" t="s">
        <v>35</v>
      </c>
      <c r="I106" s="7" t="str">
        <f t="shared" si="4"/>
        <v>61001002000</v>
      </c>
      <c r="J106" s="7" t="str">
        <f t="shared" si="5"/>
        <v>Материал по ЕГРН</v>
      </c>
      <c r="K106" s="7">
        <f>VLOOKUP(J106,Лист2!A$2:B$4,2,FALSE)</f>
        <v>792</v>
      </c>
      <c r="L106" s="7" t="str">
        <f t="shared" si="6"/>
        <v>ГОТОВ_ИЗМЕНЕН</v>
      </c>
      <c r="M106" s="7">
        <f t="shared" si="7"/>
        <v>0</v>
      </c>
    </row>
    <row r="107" spans="1:13" x14ac:dyDescent="0.25">
      <c r="A107" s="1">
        <v>945145</v>
      </c>
      <c r="B107" s="6" t="s">
        <v>169</v>
      </c>
      <c r="F107" s="6" t="s">
        <v>9</v>
      </c>
      <c r="G107" s="6" t="s">
        <v>170</v>
      </c>
      <c r="H107" s="9" t="s">
        <v>171</v>
      </c>
      <c r="I107" s="7" t="str">
        <f t="shared" si="4"/>
        <v>61001001000</v>
      </c>
      <c r="J107" s="7" t="str">
        <f t="shared" si="5"/>
        <v>Материал по ЕГРН</v>
      </c>
      <c r="K107" s="7">
        <f>VLOOKUP(J107,Лист2!A$2:B$4,2,FALSE)</f>
        <v>792</v>
      </c>
      <c r="L107" s="7" t="str">
        <f t="shared" si="6"/>
        <v>ГОТОВ_ИЗМЕНЕН</v>
      </c>
      <c r="M107" s="7">
        <f t="shared" si="7"/>
        <v>0</v>
      </c>
    </row>
    <row r="108" spans="1:13" x14ac:dyDescent="0.25">
      <c r="A108" s="1">
        <v>945157</v>
      </c>
      <c r="B108" s="6" t="s">
        <v>172</v>
      </c>
      <c r="F108" s="6" t="s">
        <v>9</v>
      </c>
      <c r="G108" s="6" t="s">
        <v>62</v>
      </c>
      <c r="H108" s="9" t="s">
        <v>63</v>
      </c>
      <c r="I108" s="7" t="str">
        <f t="shared" si="4"/>
        <v>61001006002</v>
      </c>
      <c r="J108" s="7" t="str">
        <f t="shared" si="5"/>
        <v>Материал по ЕГРН</v>
      </c>
      <c r="K108" s="7">
        <f>VLOOKUP(J108,Лист2!A$2:B$4,2,FALSE)</f>
        <v>792</v>
      </c>
      <c r="L108" s="7" t="str">
        <f t="shared" si="6"/>
        <v>ГОТОВ_ИЗМЕНЕН</v>
      </c>
      <c r="M108" s="7">
        <f t="shared" si="7"/>
        <v>0</v>
      </c>
    </row>
    <row r="109" spans="1:13" x14ac:dyDescent="0.25">
      <c r="A109" s="1">
        <v>945169</v>
      </c>
      <c r="B109" s="6" t="s">
        <v>173</v>
      </c>
      <c r="F109" s="6" t="s">
        <v>9</v>
      </c>
      <c r="G109" s="6" t="s">
        <v>10</v>
      </c>
      <c r="H109" s="9" t="s">
        <v>11</v>
      </c>
      <c r="I109" s="7" t="str">
        <f t="shared" si="4"/>
        <v>61001003000</v>
      </c>
      <c r="J109" s="7" t="str">
        <f t="shared" si="5"/>
        <v>Материал по ЕГРН</v>
      </c>
      <c r="K109" s="7">
        <f>VLOOKUP(J109,Лист2!A$2:B$4,2,FALSE)</f>
        <v>792</v>
      </c>
      <c r="L109" s="7" t="str">
        <f t="shared" si="6"/>
        <v>ГОТОВ_ИЗМЕНЕН</v>
      </c>
      <c r="M109" s="7">
        <f t="shared" si="7"/>
        <v>0</v>
      </c>
    </row>
    <row r="110" spans="1:13" x14ac:dyDescent="0.25">
      <c r="A110" s="1">
        <v>945181</v>
      </c>
      <c r="B110" s="6" t="s">
        <v>174</v>
      </c>
      <c r="F110" s="6" t="s">
        <v>9</v>
      </c>
      <c r="G110" s="6" t="s">
        <v>125</v>
      </c>
      <c r="H110" s="9" t="s">
        <v>126</v>
      </c>
      <c r="I110" s="7" t="str">
        <f t="shared" si="4"/>
        <v>61001007004</v>
      </c>
      <c r="J110" s="7" t="str">
        <f t="shared" si="5"/>
        <v>Материал по ЕГРН</v>
      </c>
      <c r="K110" s="7">
        <f>VLOOKUP(J110,Лист2!A$2:B$4,2,FALSE)</f>
        <v>792</v>
      </c>
      <c r="L110" s="7" t="str">
        <f t="shared" si="6"/>
        <v>ГОТОВ_ИЗМЕНЕН</v>
      </c>
      <c r="M110" s="7">
        <f t="shared" si="7"/>
        <v>0</v>
      </c>
    </row>
    <row r="111" spans="1:13" x14ac:dyDescent="0.25">
      <c r="A111" s="1">
        <v>945193</v>
      </c>
      <c r="B111" s="6" t="s">
        <v>175</v>
      </c>
      <c r="F111" s="6" t="s">
        <v>9</v>
      </c>
      <c r="G111" s="6" t="s">
        <v>38</v>
      </c>
      <c r="H111" s="9" t="s">
        <v>33</v>
      </c>
      <c r="I111" s="7" t="str">
        <f t="shared" si="4"/>
        <v>61001005000</v>
      </c>
      <c r="J111" s="7" t="str">
        <f t="shared" si="5"/>
        <v>Материал по ЕГРН</v>
      </c>
      <c r="K111" s="7">
        <f>VLOOKUP(J111,Лист2!A$2:B$4,2,FALSE)</f>
        <v>792</v>
      </c>
      <c r="L111" s="7" t="str">
        <f t="shared" si="6"/>
        <v>ГОТОВ_ИЗМЕНЕН</v>
      </c>
      <c r="M111" s="7">
        <f t="shared" si="7"/>
        <v>0</v>
      </c>
    </row>
    <row r="112" spans="1:13" x14ac:dyDescent="0.25">
      <c r="A112" s="1">
        <v>354050</v>
      </c>
      <c r="B112" s="6" t="s">
        <v>176</v>
      </c>
      <c r="C112" s="9" t="s">
        <v>63</v>
      </c>
      <c r="D112" s="6" t="s">
        <v>20</v>
      </c>
      <c r="E112" s="6" t="s">
        <v>37</v>
      </c>
      <c r="F112" s="6" t="s">
        <v>9</v>
      </c>
      <c r="G112" s="6" t="s">
        <v>62</v>
      </c>
      <c r="H112" s="9" t="s">
        <v>63</v>
      </c>
      <c r="I112" s="7" t="str">
        <f t="shared" si="4"/>
        <v>61001006002</v>
      </c>
      <c r="J112" s="7" t="str">
        <f t="shared" si="5"/>
        <v>Материал по ЕГРН</v>
      </c>
      <c r="K112" s="7">
        <f>VLOOKUP(J112,Лист2!A$2:B$4,2,FALSE)</f>
        <v>792</v>
      </c>
      <c r="L112" s="7" t="str">
        <f t="shared" si="6"/>
        <v>ГОТОВ</v>
      </c>
      <c r="M112" s="7" t="str">
        <f t="shared" si="7"/>
        <v>61001006002</v>
      </c>
    </row>
    <row r="113" spans="1:13" x14ac:dyDescent="0.25">
      <c r="A113" s="1">
        <v>540915</v>
      </c>
      <c r="B113" s="6" t="s">
        <v>177</v>
      </c>
      <c r="C113" s="9" t="s">
        <v>33</v>
      </c>
      <c r="D113" s="6" t="s">
        <v>20</v>
      </c>
      <c r="E113" s="6" t="s">
        <v>37</v>
      </c>
      <c r="F113" s="6" t="s">
        <v>9</v>
      </c>
      <c r="G113" s="6" t="s">
        <v>38</v>
      </c>
      <c r="H113" s="9" t="s">
        <v>33</v>
      </c>
      <c r="I113" s="7" t="str">
        <f t="shared" si="4"/>
        <v>61001005000</v>
      </c>
      <c r="J113" s="7" t="str">
        <f t="shared" si="5"/>
        <v>Материал по ЕГРН</v>
      </c>
      <c r="K113" s="7">
        <f>VLOOKUP(J113,Лист2!A$2:B$4,2,FALSE)</f>
        <v>792</v>
      </c>
      <c r="L113" s="7" t="str">
        <f t="shared" si="6"/>
        <v>ГОТОВ</v>
      </c>
      <c r="M113" s="7" t="str">
        <f t="shared" si="7"/>
        <v>61001005000</v>
      </c>
    </row>
    <row r="114" spans="1:13" x14ac:dyDescent="0.25">
      <c r="A114" s="1">
        <v>945196</v>
      </c>
      <c r="B114" s="6" t="s">
        <v>178</v>
      </c>
      <c r="F114" s="6" t="s">
        <v>9</v>
      </c>
      <c r="G114" s="6" t="s">
        <v>73</v>
      </c>
      <c r="H114" s="9" t="s">
        <v>74</v>
      </c>
      <c r="I114" s="7" t="str">
        <f t="shared" si="4"/>
        <v>61001006000</v>
      </c>
      <c r="J114" s="7" t="str">
        <f t="shared" si="5"/>
        <v>Материал по ЕГРН</v>
      </c>
      <c r="K114" s="7">
        <f>VLOOKUP(J114,Лист2!A$2:B$4,2,FALSE)</f>
        <v>792</v>
      </c>
      <c r="L114" s="7" t="str">
        <f t="shared" si="6"/>
        <v>ГОТОВ_ИЗМЕНЕН</v>
      </c>
      <c r="M114" s="7">
        <f t="shared" si="7"/>
        <v>0</v>
      </c>
    </row>
    <row r="115" spans="1:13" x14ac:dyDescent="0.25">
      <c r="A115" s="1">
        <v>945208</v>
      </c>
      <c r="B115" s="6" t="s">
        <v>179</v>
      </c>
      <c r="F115" s="6" t="s">
        <v>9</v>
      </c>
      <c r="G115" s="6" t="s">
        <v>180</v>
      </c>
      <c r="H115" s="9" t="s">
        <v>181</v>
      </c>
      <c r="I115" s="7" t="str">
        <f t="shared" si="4"/>
        <v>61001009000</v>
      </c>
      <c r="J115" s="7" t="str">
        <f t="shared" si="5"/>
        <v>Материал по ЕГРН</v>
      </c>
      <c r="K115" s="7">
        <f>VLOOKUP(J115,Лист2!A$2:B$4,2,FALSE)</f>
        <v>792</v>
      </c>
      <c r="L115" s="7" t="str">
        <f t="shared" si="6"/>
        <v>ГОТОВ_ИЗМЕНЕН</v>
      </c>
      <c r="M115" s="7">
        <f t="shared" si="7"/>
        <v>0</v>
      </c>
    </row>
    <row r="116" spans="1:13" x14ac:dyDescent="0.25">
      <c r="A116" s="1">
        <v>945220</v>
      </c>
      <c r="B116" s="6" t="s">
        <v>182</v>
      </c>
      <c r="F116" s="6" t="s">
        <v>9</v>
      </c>
      <c r="G116" s="6" t="s">
        <v>62</v>
      </c>
      <c r="H116" s="9" t="s">
        <v>63</v>
      </c>
      <c r="I116" s="7" t="str">
        <f t="shared" si="4"/>
        <v>61001006002</v>
      </c>
      <c r="J116" s="7" t="str">
        <f t="shared" si="5"/>
        <v>Материал по ЕГРН</v>
      </c>
      <c r="K116" s="7">
        <f>VLOOKUP(J116,Лист2!A$2:B$4,2,FALSE)</f>
        <v>792</v>
      </c>
      <c r="L116" s="7" t="str">
        <f t="shared" si="6"/>
        <v>ГОТОВ_ИЗМЕНЕН</v>
      </c>
      <c r="M116" s="7">
        <f t="shared" si="7"/>
        <v>0</v>
      </c>
    </row>
    <row r="117" spans="1:13" x14ac:dyDescent="0.25">
      <c r="A117" s="1">
        <v>945232</v>
      </c>
      <c r="B117" s="6" t="s">
        <v>183</v>
      </c>
      <c r="F117" s="6" t="s">
        <v>9</v>
      </c>
      <c r="G117" s="6" t="s">
        <v>170</v>
      </c>
      <c r="H117" s="9" t="s">
        <v>171</v>
      </c>
      <c r="I117" s="7" t="str">
        <f t="shared" si="4"/>
        <v>61001001000</v>
      </c>
      <c r="J117" s="7" t="str">
        <f t="shared" si="5"/>
        <v>Материал по ЕГРН</v>
      </c>
      <c r="K117" s="7">
        <f>VLOOKUP(J117,Лист2!A$2:B$4,2,FALSE)</f>
        <v>792</v>
      </c>
      <c r="L117" s="7" t="str">
        <f t="shared" si="6"/>
        <v>ГОТОВ_ИЗМЕНЕН</v>
      </c>
      <c r="M117" s="7">
        <f t="shared" si="7"/>
        <v>0</v>
      </c>
    </row>
    <row r="118" spans="1:13" x14ac:dyDescent="0.25">
      <c r="A118" s="1">
        <v>945244</v>
      </c>
      <c r="B118" s="6" t="s">
        <v>184</v>
      </c>
      <c r="F118" s="6" t="s">
        <v>9</v>
      </c>
      <c r="G118" s="6" t="s">
        <v>38</v>
      </c>
      <c r="H118" s="9" t="s">
        <v>33</v>
      </c>
      <c r="I118" s="7" t="str">
        <f t="shared" si="4"/>
        <v>61001005000</v>
      </c>
      <c r="J118" s="7" t="str">
        <f t="shared" si="5"/>
        <v>Материал по ЕГРН</v>
      </c>
      <c r="K118" s="7">
        <f>VLOOKUP(J118,Лист2!A$2:B$4,2,FALSE)</f>
        <v>792</v>
      </c>
      <c r="L118" s="7" t="str">
        <f t="shared" si="6"/>
        <v>ГОТОВ_ИЗМЕНЕН</v>
      </c>
      <c r="M118" s="7">
        <f t="shared" si="7"/>
        <v>0</v>
      </c>
    </row>
    <row r="119" spans="1:13" x14ac:dyDescent="0.25">
      <c r="A119" s="1">
        <v>945256</v>
      </c>
      <c r="B119" s="6" t="s">
        <v>185</v>
      </c>
      <c r="F119" s="6" t="s">
        <v>9</v>
      </c>
      <c r="G119" s="6" t="s">
        <v>38</v>
      </c>
      <c r="H119" s="9" t="s">
        <v>33</v>
      </c>
      <c r="I119" s="7" t="str">
        <f t="shared" si="4"/>
        <v>61001005000</v>
      </c>
      <c r="J119" s="7" t="str">
        <f t="shared" si="5"/>
        <v>Материал по ЕГРН</v>
      </c>
      <c r="K119" s="7">
        <f>VLOOKUP(J119,Лист2!A$2:B$4,2,FALSE)</f>
        <v>792</v>
      </c>
      <c r="L119" s="7" t="str">
        <f t="shared" si="6"/>
        <v>ГОТОВ_ИЗМЕНЕН</v>
      </c>
      <c r="M119" s="7">
        <f t="shared" si="7"/>
        <v>0</v>
      </c>
    </row>
    <row r="120" spans="1:13" x14ac:dyDescent="0.25">
      <c r="A120" s="1">
        <v>945268</v>
      </c>
      <c r="B120" s="6" t="s">
        <v>186</v>
      </c>
      <c r="F120" s="6" t="s">
        <v>9</v>
      </c>
      <c r="G120" s="6" t="s">
        <v>38</v>
      </c>
      <c r="H120" s="9" t="s">
        <v>33</v>
      </c>
      <c r="I120" s="7" t="str">
        <f t="shared" si="4"/>
        <v>61001005000</v>
      </c>
      <c r="J120" s="7" t="str">
        <f t="shared" si="5"/>
        <v>Материал по ЕГРН</v>
      </c>
      <c r="K120" s="7">
        <f>VLOOKUP(J120,Лист2!A$2:B$4,2,FALSE)</f>
        <v>792</v>
      </c>
      <c r="L120" s="7" t="str">
        <f t="shared" si="6"/>
        <v>ГОТОВ_ИЗМЕНЕН</v>
      </c>
      <c r="M120" s="7">
        <f t="shared" si="7"/>
        <v>0</v>
      </c>
    </row>
    <row r="121" spans="1:13" x14ac:dyDescent="0.25">
      <c r="A121" s="1">
        <v>945280</v>
      </c>
      <c r="B121" s="6" t="s">
        <v>187</v>
      </c>
      <c r="F121" s="6" t="s">
        <v>9</v>
      </c>
      <c r="G121" s="6" t="s">
        <v>38</v>
      </c>
      <c r="H121" s="9" t="s">
        <v>33</v>
      </c>
      <c r="I121" s="7" t="str">
        <f t="shared" si="4"/>
        <v>61001005000</v>
      </c>
      <c r="J121" s="7" t="str">
        <f t="shared" si="5"/>
        <v>Материал по ЕГРН</v>
      </c>
      <c r="K121" s="7">
        <f>VLOOKUP(J121,Лист2!A$2:B$4,2,FALSE)</f>
        <v>792</v>
      </c>
      <c r="L121" s="7" t="str">
        <f t="shared" si="6"/>
        <v>ГОТОВ_ИЗМЕНЕН</v>
      </c>
      <c r="M121" s="7">
        <f t="shared" si="7"/>
        <v>0</v>
      </c>
    </row>
    <row r="122" spans="1:13" x14ac:dyDescent="0.25">
      <c r="A122" s="1">
        <v>945292</v>
      </c>
      <c r="B122" s="6" t="s">
        <v>188</v>
      </c>
      <c r="F122" s="6" t="s">
        <v>9</v>
      </c>
      <c r="G122" s="6" t="s">
        <v>59</v>
      </c>
      <c r="H122" s="9" t="s">
        <v>60</v>
      </c>
      <c r="I122" s="7" t="str">
        <f t="shared" si="4"/>
        <v>61001001001</v>
      </c>
      <c r="J122" s="7" t="str">
        <f t="shared" si="5"/>
        <v>Материал по ЕГРН</v>
      </c>
      <c r="K122" s="7">
        <f>VLOOKUP(J122,Лист2!A$2:B$4,2,FALSE)</f>
        <v>792</v>
      </c>
      <c r="L122" s="7" t="str">
        <f t="shared" si="6"/>
        <v>ГОТОВ_ИЗМЕНЕН</v>
      </c>
      <c r="M122" s="7">
        <f t="shared" si="7"/>
        <v>0</v>
      </c>
    </row>
    <row r="123" spans="1:13" x14ac:dyDescent="0.25">
      <c r="A123" s="1">
        <v>945304</v>
      </c>
      <c r="B123" s="6" t="s">
        <v>189</v>
      </c>
      <c r="F123" s="6" t="s">
        <v>9</v>
      </c>
      <c r="G123" s="6" t="s">
        <v>34</v>
      </c>
      <c r="H123" s="9" t="s">
        <v>35</v>
      </c>
      <c r="I123" s="7" t="str">
        <f t="shared" si="4"/>
        <v>61001002000</v>
      </c>
      <c r="J123" s="7" t="str">
        <f t="shared" si="5"/>
        <v>Материал по ЕГРН</v>
      </c>
      <c r="K123" s="7">
        <f>VLOOKUP(J123,Лист2!A$2:B$4,2,FALSE)</f>
        <v>792</v>
      </c>
      <c r="L123" s="7" t="str">
        <f t="shared" si="6"/>
        <v>ГОТОВ_ИЗМЕНЕН</v>
      </c>
      <c r="M123" s="7">
        <f t="shared" si="7"/>
        <v>0</v>
      </c>
    </row>
    <row r="124" spans="1:13" x14ac:dyDescent="0.25">
      <c r="A124" s="1">
        <v>945316</v>
      </c>
      <c r="B124" s="6" t="s">
        <v>190</v>
      </c>
      <c r="F124" s="6" t="s">
        <v>9</v>
      </c>
      <c r="G124" s="6" t="s">
        <v>38</v>
      </c>
      <c r="H124" s="9" t="s">
        <v>33</v>
      </c>
      <c r="I124" s="7" t="str">
        <f t="shared" si="4"/>
        <v>61001005000</v>
      </c>
      <c r="J124" s="7" t="str">
        <f t="shared" si="5"/>
        <v>Материал по ЕГРН</v>
      </c>
      <c r="K124" s="7">
        <f>VLOOKUP(J124,Лист2!A$2:B$4,2,FALSE)</f>
        <v>792</v>
      </c>
      <c r="L124" s="7" t="str">
        <f t="shared" si="6"/>
        <v>ГОТОВ_ИЗМЕНЕН</v>
      </c>
      <c r="M124" s="7">
        <f t="shared" si="7"/>
        <v>0</v>
      </c>
    </row>
    <row r="125" spans="1:13" x14ac:dyDescent="0.25">
      <c r="A125" s="1">
        <v>945328</v>
      </c>
      <c r="B125" s="6" t="s">
        <v>191</v>
      </c>
      <c r="F125" s="6" t="s">
        <v>9</v>
      </c>
      <c r="G125" s="6" t="s">
        <v>34</v>
      </c>
      <c r="H125" s="9" t="s">
        <v>35</v>
      </c>
      <c r="I125" s="7" t="str">
        <f t="shared" si="4"/>
        <v>61001002000</v>
      </c>
      <c r="J125" s="7" t="str">
        <f t="shared" si="5"/>
        <v>Материал по ЕГРН</v>
      </c>
      <c r="K125" s="7">
        <f>VLOOKUP(J125,Лист2!A$2:B$4,2,FALSE)</f>
        <v>792</v>
      </c>
      <c r="L125" s="7" t="str">
        <f t="shared" si="6"/>
        <v>ГОТОВ_ИЗМЕНЕН</v>
      </c>
      <c r="M125" s="7">
        <f t="shared" si="7"/>
        <v>0</v>
      </c>
    </row>
    <row r="126" spans="1:13" x14ac:dyDescent="0.25">
      <c r="A126" s="1">
        <v>945340</v>
      </c>
      <c r="B126" s="6" t="s">
        <v>192</v>
      </c>
      <c r="F126" s="6" t="s">
        <v>9</v>
      </c>
      <c r="G126" s="6" t="s">
        <v>34</v>
      </c>
      <c r="H126" s="9" t="s">
        <v>35</v>
      </c>
      <c r="I126" s="7" t="str">
        <f t="shared" si="4"/>
        <v>61001002000</v>
      </c>
      <c r="J126" s="7" t="str">
        <f t="shared" si="5"/>
        <v>Материал по ЕГРН</v>
      </c>
      <c r="K126" s="7">
        <f>VLOOKUP(J126,Лист2!A$2:B$4,2,FALSE)</f>
        <v>792</v>
      </c>
      <c r="L126" s="7" t="str">
        <f t="shared" si="6"/>
        <v>ГОТОВ_ИЗМЕНЕН</v>
      </c>
      <c r="M126" s="7">
        <f t="shared" si="7"/>
        <v>0</v>
      </c>
    </row>
    <row r="127" spans="1:13" x14ac:dyDescent="0.25">
      <c r="A127" s="1">
        <v>945352</v>
      </c>
      <c r="B127" s="6" t="s">
        <v>193</v>
      </c>
      <c r="F127" s="6" t="s">
        <v>9</v>
      </c>
      <c r="G127" s="6" t="s">
        <v>38</v>
      </c>
      <c r="H127" s="9" t="s">
        <v>33</v>
      </c>
      <c r="I127" s="7" t="str">
        <f t="shared" si="4"/>
        <v>61001005000</v>
      </c>
      <c r="J127" s="7" t="str">
        <f t="shared" si="5"/>
        <v>Материал по ЕГРН</v>
      </c>
      <c r="K127" s="7">
        <f>VLOOKUP(J127,Лист2!A$2:B$4,2,FALSE)</f>
        <v>792</v>
      </c>
      <c r="L127" s="7" t="str">
        <f t="shared" si="6"/>
        <v>ГОТОВ_ИЗМЕНЕН</v>
      </c>
      <c r="M127" s="7">
        <f t="shared" si="7"/>
        <v>0</v>
      </c>
    </row>
    <row r="128" spans="1:13" x14ac:dyDescent="0.25">
      <c r="A128" s="1">
        <v>945364</v>
      </c>
      <c r="B128" s="6" t="s">
        <v>194</v>
      </c>
      <c r="F128" s="6" t="s">
        <v>9</v>
      </c>
      <c r="G128" s="6" t="s">
        <v>139</v>
      </c>
      <c r="H128" s="9" t="s">
        <v>140</v>
      </c>
      <c r="I128" s="7" t="str">
        <f t="shared" si="4"/>
        <v>61001999000</v>
      </c>
      <c r="J128" s="7" t="str">
        <f t="shared" si="5"/>
        <v>Материал по ЕГРН</v>
      </c>
      <c r="K128" s="7">
        <f>VLOOKUP(J128,Лист2!A$2:B$4,2,FALSE)</f>
        <v>792</v>
      </c>
      <c r="L128" s="7" t="str">
        <f t="shared" si="6"/>
        <v>ГОТОВ_ИЗМЕНЕН</v>
      </c>
      <c r="M128" s="7">
        <f t="shared" si="7"/>
        <v>0</v>
      </c>
    </row>
    <row r="129" spans="1:13" x14ac:dyDescent="0.25">
      <c r="A129" s="1">
        <v>945376</v>
      </c>
      <c r="B129" s="6" t="s">
        <v>195</v>
      </c>
      <c r="F129" s="6" t="s">
        <v>9</v>
      </c>
      <c r="G129" s="6" t="s">
        <v>38</v>
      </c>
      <c r="H129" s="9" t="s">
        <v>33</v>
      </c>
      <c r="I129" s="7" t="str">
        <f t="shared" si="4"/>
        <v>61001005000</v>
      </c>
      <c r="J129" s="7" t="str">
        <f t="shared" si="5"/>
        <v>Материал по ЕГРН</v>
      </c>
      <c r="K129" s="7">
        <f>VLOOKUP(J129,Лист2!A$2:B$4,2,FALSE)</f>
        <v>792</v>
      </c>
      <c r="L129" s="7" t="str">
        <f t="shared" si="6"/>
        <v>ГОТОВ_ИЗМЕНЕН</v>
      </c>
      <c r="M129" s="7">
        <f t="shared" si="7"/>
        <v>0</v>
      </c>
    </row>
    <row r="130" spans="1:13" x14ac:dyDescent="0.25">
      <c r="A130" s="1">
        <v>945388</v>
      </c>
      <c r="B130" s="6" t="s">
        <v>196</v>
      </c>
      <c r="F130" s="6" t="s">
        <v>9</v>
      </c>
      <c r="G130" s="6" t="s">
        <v>34</v>
      </c>
      <c r="H130" s="9" t="s">
        <v>35</v>
      </c>
      <c r="I130" s="7" t="str">
        <f t="shared" si="4"/>
        <v>61001002000</v>
      </c>
      <c r="J130" s="7" t="str">
        <f t="shared" si="5"/>
        <v>Материал по ЕГРН</v>
      </c>
      <c r="K130" s="7">
        <f>VLOOKUP(J130,Лист2!A$2:B$4,2,FALSE)</f>
        <v>792</v>
      </c>
      <c r="L130" s="7" t="str">
        <f t="shared" si="6"/>
        <v>ГОТОВ_ИЗМЕНЕН</v>
      </c>
      <c r="M130" s="7">
        <f t="shared" si="7"/>
        <v>0</v>
      </c>
    </row>
    <row r="131" spans="1:13" x14ac:dyDescent="0.25">
      <c r="A131" s="1">
        <v>945400</v>
      </c>
      <c r="B131" s="6" t="s">
        <v>197</v>
      </c>
      <c r="F131" s="6" t="s">
        <v>9</v>
      </c>
      <c r="G131" s="6" t="s">
        <v>38</v>
      </c>
      <c r="H131" s="9" t="s">
        <v>33</v>
      </c>
      <c r="I131" s="7" t="str">
        <f t="shared" si="4"/>
        <v>61001005000</v>
      </c>
      <c r="J131" s="7" t="str">
        <f t="shared" si="5"/>
        <v>Материал по ЕГРН</v>
      </c>
      <c r="K131" s="7">
        <f>VLOOKUP(J131,Лист2!A$2:B$4,2,FALSE)</f>
        <v>792</v>
      </c>
      <c r="L131" s="7" t="str">
        <f t="shared" si="6"/>
        <v>ГОТОВ_ИЗМЕНЕН</v>
      </c>
      <c r="M131" s="7">
        <f t="shared" si="7"/>
        <v>0</v>
      </c>
    </row>
    <row r="132" spans="1:13" x14ac:dyDescent="0.25">
      <c r="A132" s="1">
        <v>945412</v>
      </c>
      <c r="B132" s="6" t="s">
        <v>198</v>
      </c>
      <c r="F132" s="6" t="s">
        <v>9</v>
      </c>
      <c r="G132" s="6" t="s">
        <v>10</v>
      </c>
      <c r="H132" s="9" t="s">
        <v>11</v>
      </c>
      <c r="I132" s="7" t="str">
        <f t="shared" si="4"/>
        <v>61001003000</v>
      </c>
      <c r="J132" s="7" t="str">
        <f t="shared" si="5"/>
        <v>Материал по ЕГРН</v>
      </c>
      <c r="K132" s="7">
        <f>VLOOKUP(J132,Лист2!A$2:B$4,2,FALSE)</f>
        <v>792</v>
      </c>
      <c r="L132" s="7" t="str">
        <f t="shared" si="6"/>
        <v>ГОТОВ_ИЗМЕНЕН</v>
      </c>
      <c r="M132" s="7">
        <f t="shared" si="7"/>
        <v>0</v>
      </c>
    </row>
    <row r="133" spans="1:13" x14ac:dyDescent="0.25">
      <c r="A133" s="1">
        <v>945424</v>
      </c>
      <c r="B133" s="6" t="s">
        <v>199</v>
      </c>
      <c r="F133" s="6" t="s">
        <v>9</v>
      </c>
      <c r="I133" s="7" t="str">
        <f t="shared" ref="I133:I196" si="8">IF(LEN(H133)=11,H133,IF(LEN(H133)=0,"61001005000","61001003000"))</f>
        <v>61001005000</v>
      </c>
      <c r="J133" s="7" t="str">
        <f t="shared" ref="J133:J196" si="9">IF(LEN(H133)=11,"Материал по ЕГРН",IF(LEN(H133)=0,"Прочие по допущению","Смешанные по допущению"))</f>
        <v>Прочие по допущению</v>
      </c>
      <c r="K133" s="7">
        <f>VLOOKUP(J133,Лист2!A$2:B$4,2,FALSE)</f>
        <v>794</v>
      </c>
      <c r="L133" s="7" t="str">
        <f t="shared" ref="L133:L196" si="10">IF(I133=C133,"ГОТОВ","ГОТОВ_ИЗМЕНЕН")</f>
        <v>ГОТОВ_ИЗМЕНЕН</v>
      </c>
      <c r="M133" s="7">
        <f t="shared" ref="M133:M196" si="11">C133</f>
        <v>0</v>
      </c>
    </row>
    <row r="134" spans="1:13" x14ac:dyDescent="0.25">
      <c r="A134" s="1">
        <v>945436</v>
      </c>
      <c r="B134" s="6" t="s">
        <v>200</v>
      </c>
      <c r="F134" s="6" t="s">
        <v>9</v>
      </c>
      <c r="G134" s="6" t="s">
        <v>38</v>
      </c>
      <c r="H134" s="9" t="s">
        <v>33</v>
      </c>
      <c r="I134" s="7" t="str">
        <f t="shared" si="8"/>
        <v>61001005000</v>
      </c>
      <c r="J134" s="7" t="str">
        <f t="shared" si="9"/>
        <v>Материал по ЕГРН</v>
      </c>
      <c r="K134" s="7">
        <f>VLOOKUP(J134,Лист2!A$2:B$4,2,FALSE)</f>
        <v>792</v>
      </c>
      <c r="L134" s="7" t="str">
        <f t="shared" si="10"/>
        <v>ГОТОВ_ИЗМЕНЕН</v>
      </c>
      <c r="M134" s="7">
        <f t="shared" si="11"/>
        <v>0</v>
      </c>
    </row>
    <row r="135" spans="1:13" x14ac:dyDescent="0.25">
      <c r="A135" s="1">
        <v>945448</v>
      </c>
      <c r="B135" s="6" t="s">
        <v>201</v>
      </c>
      <c r="F135" s="6" t="s">
        <v>9</v>
      </c>
      <c r="G135" s="6" t="s">
        <v>62</v>
      </c>
      <c r="H135" s="9" t="s">
        <v>63</v>
      </c>
      <c r="I135" s="7" t="str">
        <f t="shared" si="8"/>
        <v>61001006002</v>
      </c>
      <c r="J135" s="7" t="str">
        <f t="shared" si="9"/>
        <v>Материал по ЕГРН</v>
      </c>
      <c r="K135" s="7">
        <f>VLOOKUP(J135,Лист2!A$2:B$4,2,FALSE)</f>
        <v>792</v>
      </c>
      <c r="L135" s="7" t="str">
        <f t="shared" si="10"/>
        <v>ГОТОВ_ИЗМЕНЕН</v>
      </c>
      <c r="M135" s="7">
        <f t="shared" si="11"/>
        <v>0</v>
      </c>
    </row>
    <row r="136" spans="1:13" x14ac:dyDescent="0.25">
      <c r="A136" s="1">
        <v>945460</v>
      </c>
      <c r="B136" s="6" t="s">
        <v>202</v>
      </c>
      <c r="F136" s="6" t="s">
        <v>9</v>
      </c>
      <c r="G136" s="6" t="s">
        <v>10</v>
      </c>
      <c r="H136" s="9" t="s">
        <v>11</v>
      </c>
      <c r="I136" s="7" t="str">
        <f t="shared" si="8"/>
        <v>61001003000</v>
      </c>
      <c r="J136" s="7" t="str">
        <f t="shared" si="9"/>
        <v>Материал по ЕГРН</v>
      </c>
      <c r="K136" s="7">
        <f>VLOOKUP(J136,Лист2!A$2:B$4,2,FALSE)</f>
        <v>792</v>
      </c>
      <c r="L136" s="7" t="str">
        <f t="shared" si="10"/>
        <v>ГОТОВ_ИЗМЕНЕН</v>
      </c>
      <c r="M136" s="7">
        <f t="shared" si="11"/>
        <v>0</v>
      </c>
    </row>
    <row r="137" spans="1:13" x14ac:dyDescent="0.25">
      <c r="A137" s="1">
        <v>945472</v>
      </c>
      <c r="B137" s="6" t="s">
        <v>203</v>
      </c>
      <c r="F137" s="6" t="s">
        <v>9</v>
      </c>
      <c r="G137" s="6" t="s">
        <v>38</v>
      </c>
      <c r="H137" s="9" t="s">
        <v>33</v>
      </c>
      <c r="I137" s="7" t="str">
        <f t="shared" si="8"/>
        <v>61001005000</v>
      </c>
      <c r="J137" s="7" t="str">
        <f t="shared" si="9"/>
        <v>Материал по ЕГРН</v>
      </c>
      <c r="K137" s="7">
        <f>VLOOKUP(J137,Лист2!A$2:B$4,2,FALSE)</f>
        <v>792</v>
      </c>
      <c r="L137" s="7" t="str">
        <f t="shared" si="10"/>
        <v>ГОТОВ_ИЗМЕНЕН</v>
      </c>
      <c r="M137" s="7">
        <f t="shared" si="11"/>
        <v>0</v>
      </c>
    </row>
    <row r="138" spans="1:13" x14ac:dyDescent="0.25">
      <c r="A138" s="1">
        <v>945484</v>
      </c>
      <c r="B138" s="6" t="s">
        <v>204</v>
      </c>
      <c r="F138" s="6" t="s">
        <v>9</v>
      </c>
      <c r="G138" s="6" t="s">
        <v>34</v>
      </c>
      <c r="H138" s="9" t="s">
        <v>35</v>
      </c>
      <c r="I138" s="7" t="str">
        <f t="shared" si="8"/>
        <v>61001002000</v>
      </c>
      <c r="J138" s="7" t="str">
        <f t="shared" si="9"/>
        <v>Материал по ЕГРН</v>
      </c>
      <c r="K138" s="7">
        <f>VLOOKUP(J138,Лист2!A$2:B$4,2,FALSE)</f>
        <v>792</v>
      </c>
      <c r="L138" s="7" t="str">
        <f t="shared" si="10"/>
        <v>ГОТОВ_ИЗМЕНЕН</v>
      </c>
      <c r="M138" s="7">
        <f t="shared" si="11"/>
        <v>0</v>
      </c>
    </row>
    <row r="139" spans="1:13" x14ac:dyDescent="0.25">
      <c r="A139" s="1">
        <v>287857</v>
      </c>
      <c r="B139" s="6" t="s">
        <v>205</v>
      </c>
      <c r="C139" s="9" t="s">
        <v>42</v>
      </c>
      <c r="D139" s="6" t="s">
        <v>20</v>
      </c>
      <c r="E139" s="6" t="s">
        <v>37</v>
      </c>
      <c r="F139" s="6" t="s">
        <v>9</v>
      </c>
      <c r="G139" s="6" t="s">
        <v>43</v>
      </c>
      <c r="H139" s="9" t="s">
        <v>42</v>
      </c>
      <c r="I139" s="7" t="str">
        <f t="shared" si="8"/>
        <v>61001002001</v>
      </c>
      <c r="J139" s="7" t="str">
        <f t="shared" si="9"/>
        <v>Материал по ЕГРН</v>
      </c>
      <c r="K139" s="7">
        <f>VLOOKUP(J139,Лист2!A$2:B$4,2,FALSE)</f>
        <v>792</v>
      </c>
      <c r="L139" s="7" t="str">
        <f t="shared" si="10"/>
        <v>ГОТОВ</v>
      </c>
      <c r="M139" s="7" t="str">
        <f t="shared" si="11"/>
        <v>61001002001</v>
      </c>
    </row>
    <row r="140" spans="1:13" x14ac:dyDescent="0.25">
      <c r="A140" s="1">
        <v>643255</v>
      </c>
      <c r="B140" s="6" t="s">
        <v>206</v>
      </c>
      <c r="C140" s="9" t="s">
        <v>42</v>
      </c>
      <c r="D140" s="6" t="s">
        <v>20</v>
      </c>
      <c r="E140" s="6" t="s">
        <v>37</v>
      </c>
      <c r="F140" s="6" t="s">
        <v>9</v>
      </c>
      <c r="G140" s="6" t="s">
        <v>43</v>
      </c>
      <c r="H140" s="9" t="s">
        <v>42</v>
      </c>
      <c r="I140" s="7" t="str">
        <f t="shared" si="8"/>
        <v>61001002001</v>
      </c>
      <c r="J140" s="7" t="str">
        <f t="shared" si="9"/>
        <v>Материал по ЕГРН</v>
      </c>
      <c r="K140" s="7">
        <f>VLOOKUP(J140,Лист2!A$2:B$4,2,FALSE)</f>
        <v>792</v>
      </c>
      <c r="L140" s="7" t="str">
        <f t="shared" si="10"/>
        <v>ГОТОВ</v>
      </c>
      <c r="M140" s="7" t="str">
        <f t="shared" si="11"/>
        <v>61001002001</v>
      </c>
    </row>
    <row r="141" spans="1:13" x14ac:dyDescent="0.25">
      <c r="A141" s="1">
        <v>830961</v>
      </c>
      <c r="B141" s="6" t="s">
        <v>207</v>
      </c>
      <c r="C141" s="9" t="s">
        <v>42</v>
      </c>
      <c r="D141" s="6" t="s">
        <v>20</v>
      </c>
      <c r="E141" s="6" t="s">
        <v>37</v>
      </c>
      <c r="F141" s="6" t="s">
        <v>9</v>
      </c>
      <c r="G141" s="6" t="s">
        <v>43</v>
      </c>
      <c r="H141" s="9" t="s">
        <v>42</v>
      </c>
      <c r="I141" s="7" t="str">
        <f t="shared" si="8"/>
        <v>61001002001</v>
      </c>
      <c r="J141" s="7" t="str">
        <f t="shared" si="9"/>
        <v>Материал по ЕГРН</v>
      </c>
      <c r="K141" s="7">
        <f>VLOOKUP(J141,Лист2!A$2:B$4,2,FALSE)</f>
        <v>792</v>
      </c>
      <c r="L141" s="7" t="str">
        <f t="shared" si="10"/>
        <v>ГОТОВ</v>
      </c>
      <c r="M141" s="7" t="str">
        <f t="shared" si="11"/>
        <v>61001002001</v>
      </c>
    </row>
    <row r="142" spans="1:13" x14ac:dyDescent="0.25">
      <c r="A142" s="1">
        <v>943629</v>
      </c>
      <c r="B142" s="6" t="s">
        <v>208</v>
      </c>
      <c r="F142" s="6" t="s">
        <v>9</v>
      </c>
      <c r="G142" s="6" t="s">
        <v>34</v>
      </c>
      <c r="H142" s="9" t="s">
        <v>35</v>
      </c>
      <c r="I142" s="7" t="str">
        <f t="shared" si="8"/>
        <v>61001002000</v>
      </c>
      <c r="J142" s="7" t="str">
        <f t="shared" si="9"/>
        <v>Материал по ЕГРН</v>
      </c>
      <c r="K142" s="7">
        <f>VLOOKUP(J142,Лист2!A$2:B$4,2,FALSE)</f>
        <v>792</v>
      </c>
      <c r="L142" s="7" t="str">
        <f t="shared" si="10"/>
        <v>ГОТОВ_ИЗМЕНЕН</v>
      </c>
      <c r="M142" s="7">
        <f t="shared" si="11"/>
        <v>0</v>
      </c>
    </row>
    <row r="143" spans="1:13" x14ac:dyDescent="0.25">
      <c r="A143" s="1">
        <v>943641</v>
      </c>
      <c r="B143" s="6" t="s">
        <v>209</v>
      </c>
      <c r="F143" s="6" t="s">
        <v>9</v>
      </c>
      <c r="G143" s="6" t="s">
        <v>38</v>
      </c>
      <c r="H143" s="9" t="s">
        <v>33</v>
      </c>
      <c r="I143" s="7" t="str">
        <f t="shared" si="8"/>
        <v>61001005000</v>
      </c>
      <c r="J143" s="7" t="str">
        <f t="shared" si="9"/>
        <v>Материал по ЕГРН</v>
      </c>
      <c r="K143" s="7">
        <f>VLOOKUP(J143,Лист2!A$2:B$4,2,FALSE)</f>
        <v>792</v>
      </c>
      <c r="L143" s="7" t="str">
        <f t="shared" si="10"/>
        <v>ГОТОВ_ИЗМЕНЕН</v>
      </c>
      <c r="M143" s="7">
        <f t="shared" si="11"/>
        <v>0</v>
      </c>
    </row>
    <row r="144" spans="1:13" x14ac:dyDescent="0.25">
      <c r="A144" s="1">
        <v>943653</v>
      </c>
      <c r="B144" s="6" t="s">
        <v>210</v>
      </c>
      <c r="F144" s="6" t="s">
        <v>9</v>
      </c>
      <c r="G144" s="6" t="s">
        <v>90</v>
      </c>
      <c r="H144" s="9" t="s">
        <v>12</v>
      </c>
      <c r="I144" s="7" t="str">
        <f t="shared" si="8"/>
        <v>61001008000</v>
      </c>
      <c r="J144" s="7" t="str">
        <f t="shared" si="9"/>
        <v>Материал по ЕГРН</v>
      </c>
      <c r="K144" s="7">
        <f>VLOOKUP(J144,Лист2!A$2:B$4,2,FALSE)</f>
        <v>792</v>
      </c>
      <c r="L144" s="7" t="str">
        <f t="shared" si="10"/>
        <v>ГОТОВ_ИЗМЕНЕН</v>
      </c>
      <c r="M144" s="7">
        <f t="shared" si="11"/>
        <v>0</v>
      </c>
    </row>
    <row r="145" spans="1:13" x14ac:dyDescent="0.25">
      <c r="A145" s="1">
        <v>943665</v>
      </c>
      <c r="B145" s="6" t="s">
        <v>211</v>
      </c>
      <c r="F145" s="6" t="s">
        <v>9</v>
      </c>
      <c r="G145" s="6" t="s">
        <v>34</v>
      </c>
      <c r="H145" s="9" t="s">
        <v>35</v>
      </c>
      <c r="I145" s="7" t="str">
        <f t="shared" si="8"/>
        <v>61001002000</v>
      </c>
      <c r="J145" s="7" t="str">
        <f t="shared" si="9"/>
        <v>Материал по ЕГРН</v>
      </c>
      <c r="K145" s="7">
        <f>VLOOKUP(J145,Лист2!A$2:B$4,2,FALSE)</f>
        <v>792</v>
      </c>
      <c r="L145" s="7" t="str">
        <f t="shared" si="10"/>
        <v>ГОТОВ_ИЗМЕНЕН</v>
      </c>
      <c r="M145" s="7">
        <f t="shared" si="11"/>
        <v>0</v>
      </c>
    </row>
    <row r="146" spans="1:13" x14ac:dyDescent="0.25">
      <c r="A146" s="1">
        <v>943677</v>
      </c>
      <c r="B146" s="6" t="s">
        <v>212</v>
      </c>
      <c r="F146" s="6" t="s">
        <v>9</v>
      </c>
      <c r="G146" s="6" t="s">
        <v>170</v>
      </c>
      <c r="H146" s="9" t="s">
        <v>171</v>
      </c>
      <c r="I146" s="7" t="str">
        <f t="shared" si="8"/>
        <v>61001001000</v>
      </c>
      <c r="J146" s="7" t="str">
        <f t="shared" si="9"/>
        <v>Материал по ЕГРН</v>
      </c>
      <c r="K146" s="7">
        <f>VLOOKUP(J146,Лист2!A$2:B$4,2,FALSE)</f>
        <v>792</v>
      </c>
      <c r="L146" s="7" t="str">
        <f t="shared" si="10"/>
        <v>ГОТОВ_ИЗМЕНЕН</v>
      </c>
      <c r="M146" s="7">
        <f t="shared" si="11"/>
        <v>0</v>
      </c>
    </row>
    <row r="147" spans="1:13" x14ac:dyDescent="0.25">
      <c r="A147" s="1">
        <v>943689</v>
      </c>
      <c r="B147" s="6" t="s">
        <v>213</v>
      </c>
      <c r="F147" s="6" t="s">
        <v>9</v>
      </c>
      <c r="G147" s="6" t="s">
        <v>38</v>
      </c>
      <c r="H147" s="9" t="s">
        <v>33</v>
      </c>
      <c r="I147" s="7" t="str">
        <f t="shared" si="8"/>
        <v>61001005000</v>
      </c>
      <c r="J147" s="7" t="str">
        <f t="shared" si="9"/>
        <v>Материал по ЕГРН</v>
      </c>
      <c r="K147" s="7">
        <f>VLOOKUP(J147,Лист2!A$2:B$4,2,FALSE)</f>
        <v>792</v>
      </c>
      <c r="L147" s="7" t="str">
        <f t="shared" si="10"/>
        <v>ГОТОВ_ИЗМЕНЕН</v>
      </c>
      <c r="M147" s="7">
        <f t="shared" si="11"/>
        <v>0</v>
      </c>
    </row>
    <row r="148" spans="1:13" x14ac:dyDescent="0.25">
      <c r="A148" s="1">
        <v>943701</v>
      </c>
      <c r="B148" s="6" t="s">
        <v>214</v>
      </c>
      <c r="F148" s="6" t="s">
        <v>9</v>
      </c>
      <c r="G148" s="6" t="s">
        <v>139</v>
      </c>
      <c r="H148" s="9" t="s">
        <v>140</v>
      </c>
      <c r="I148" s="7" t="str">
        <f t="shared" si="8"/>
        <v>61001999000</v>
      </c>
      <c r="J148" s="7" t="str">
        <f t="shared" si="9"/>
        <v>Материал по ЕГРН</v>
      </c>
      <c r="K148" s="7">
        <f>VLOOKUP(J148,Лист2!A$2:B$4,2,FALSE)</f>
        <v>792</v>
      </c>
      <c r="L148" s="7" t="str">
        <f t="shared" si="10"/>
        <v>ГОТОВ_ИЗМЕНЕН</v>
      </c>
      <c r="M148" s="7">
        <f t="shared" si="11"/>
        <v>0</v>
      </c>
    </row>
    <row r="149" spans="1:13" x14ac:dyDescent="0.25">
      <c r="A149" s="1">
        <v>943713</v>
      </c>
      <c r="B149" s="6" t="s">
        <v>215</v>
      </c>
      <c r="F149" s="6" t="s">
        <v>9</v>
      </c>
      <c r="G149" s="6" t="s">
        <v>34</v>
      </c>
      <c r="H149" s="9" t="s">
        <v>35</v>
      </c>
      <c r="I149" s="7" t="str">
        <f t="shared" si="8"/>
        <v>61001002000</v>
      </c>
      <c r="J149" s="7" t="str">
        <f t="shared" si="9"/>
        <v>Материал по ЕГРН</v>
      </c>
      <c r="K149" s="7">
        <f>VLOOKUP(J149,Лист2!A$2:B$4,2,FALSE)</f>
        <v>792</v>
      </c>
      <c r="L149" s="7" t="str">
        <f t="shared" si="10"/>
        <v>ГОТОВ_ИЗМЕНЕН</v>
      </c>
      <c r="M149" s="7">
        <f t="shared" si="11"/>
        <v>0</v>
      </c>
    </row>
    <row r="150" spans="1:13" x14ac:dyDescent="0.25">
      <c r="A150" s="1">
        <v>943725</v>
      </c>
      <c r="B150" s="6" t="s">
        <v>216</v>
      </c>
      <c r="F150" s="6" t="s">
        <v>9</v>
      </c>
      <c r="G150" s="6" t="s">
        <v>62</v>
      </c>
      <c r="H150" s="9" t="s">
        <v>63</v>
      </c>
      <c r="I150" s="7" t="str">
        <f t="shared" si="8"/>
        <v>61001006002</v>
      </c>
      <c r="J150" s="7" t="str">
        <f t="shared" si="9"/>
        <v>Материал по ЕГРН</v>
      </c>
      <c r="K150" s="7">
        <f>VLOOKUP(J150,Лист2!A$2:B$4,2,FALSE)</f>
        <v>792</v>
      </c>
      <c r="L150" s="7" t="str">
        <f t="shared" si="10"/>
        <v>ГОТОВ_ИЗМЕНЕН</v>
      </c>
      <c r="M150" s="7">
        <f t="shared" si="11"/>
        <v>0</v>
      </c>
    </row>
    <row r="151" spans="1:13" x14ac:dyDescent="0.25">
      <c r="A151" s="1">
        <v>943737</v>
      </c>
      <c r="B151" s="6" t="s">
        <v>217</v>
      </c>
      <c r="F151" s="6" t="s">
        <v>9</v>
      </c>
      <c r="G151" s="6" t="s">
        <v>62</v>
      </c>
      <c r="H151" s="9" t="s">
        <v>63</v>
      </c>
      <c r="I151" s="7" t="str">
        <f t="shared" si="8"/>
        <v>61001006002</v>
      </c>
      <c r="J151" s="7" t="str">
        <f t="shared" si="9"/>
        <v>Материал по ЕГРН</v>
      </c>
      <c r="K151" s="7">
        <f>VLOOKUP(J151,Лист2!A$2:B$4,2,FALSE)</f>
        <v>792</v>
      </c>
      <c r="L151" s="7" t="str">
        <f t="shared" si="10"/>
        <v>ГОТОВ_ИЗМЕНЕН</v>
      </c>
      <c r="M151" s="7">
        <f t="shared" si="11"/>
        <v>0</v>
      </c>
    </row>
    <row r="152" spans="1:13" x14ac:dyDescent="0.25">
      <c r="A152" s="1">
        <v>943749</v>
      </c>
      <c r="B152" s="6" t="s">
        <v>218</v>
      </c>
      <c r="F152" s="6" t="s">
        <v>9</v>
      </c>
      <c r="G152" s="6" t="s">
        <v>34</v>
      </c>
      <c r="H152" s="9" t="s">
        <v>35</v>
      </c>
      <c r="I152" s="7" t="str">
        <f t="shared" si="8"/>
        <v>61001002000</v>
      </c>
      <c r="J152" s="7" t="str">
        <f t="shared" si="9"/>
        <v>Материал по ЕГРН</v>
      </c>
      <c r="K152" s="7">
        <f>VLOOKUP(J152,Лист2!A$2:B$4,2,FALSE)</f>
        <v>792</v>
      </c>
      <c r="L152" s="7" t="str">
        <f t="shared" si="10"/>
        <v>ГОТОВ_ИЗМЕНЕН</v>
      </c>
      <c r="M152" s="7">
        <f t="shared" si="11"/>
        <v>0</v>
      </c>
    </row>
    <row r="153" spans="1:13" x14ac:dyDescent="0.25">
      <c r="A153" s="1">
        <v>943761</v>
      </c>
      <c r="B153" s="6" t="s">
        <v>219</v>
      </c>
      <c r="F153" s="6" t="s">
        <v>9</v>
      </c>
      <c r="G153" s="6" t="s">
        <v>59</v>
      </c>
      <c r="H153" s="9" t="s">
        <v>60</v>
      </c>
      <c r="I153" s="7" t="str">
        <f t="shared" si="8"/>
        <v>61001001001</v>
      </c>
      <c r="J153" s="7" t="str">
        <f t="shared" si="9"/>
        <v>Материал по ЕГРН</v>
      </c>
      <c r="K153" s="7">
        <f>VLOOKUP(J153,Лист2!A$2:B$4,2,FALSE)</f>
        <v>792</v>
      </c>
      <c r="L153" s="7" t="str">
        <f t="shared" si="10"/>
        <v>ГОТОВ_ИЗМЕНЕН</v>
      </c>
      <c r="M153" s="7">
        <f t="shared" si="11"/>
        <v>0</v>
      </c>
    </row>
    <row r="154" spans="1:13" x14ac:dyDescent="0.25">
      <c r="A154" s="1">
        <v>943773</v>
      </c>
      <c r="B154" s="6" t="s">
        <v>220</v>
      </c>
      <c r="F154" s="6" t="s">
        <v>9</v>
      </c>
      <c r="G154" s="6" t="s">
        <v>90</v>
      </c>
      <c r="H154" s="9" t="s">
        <v>12</v>
      </c>
      <c r="I154" s="7" t="str">
        <f t="shared" si="8"/>
        <v>61001008000</v>
      </c>
      <c r="J154" s="7" t="str">
        <f t="shared" si="9"/>
        <v>Материал по ЕГРН</v>
      </c>
      <c r="K154" s="7">
        <f>VLOOKUP(J154,Лист2!A$2:B$4,2,FALSE)</f>
        <v>792</v>
      </c>
      <c r="L154" s="7" t="str">
        <f t="shared" si="10"/>
        <v>ГОТОВ_ИЗМЕНЕН</v>
      </c>
      <c r="M154" s="7">
        <f t="shared" si="11"/>
        <v>0</v>
      </c>
    </row>
    <row r="155" spans="1:13" x14ac:dyDescent="0.25">
      <c r="A155" s="1">
        <v>943785</v>
      </c>
      <c r="B155" s="6" t="s">
        <v>221</v>
      </c>
      <c r="F155" s="6" t="s">
        <v>9</v>
      </c>
      <c r="G155" s="6" t="s">
        <v>34</v>
      </c>
      <c r="H155" s="9" t="s">
        <v>35</v>
      </c>
      <c r="I155" s="7" t="str">
        <f t="shared" si="8"/>
        <v>61001002000</v>
      </c>
      <c r="J155" s="7" t="str">
        <f t="shared" si="9"/>
        <v>Материал по ЕГРН</v>
      </c>
      <c r="K155" s="7">
        <f>VLOOKUP(J155,Лист2!A$2:B$4,2,FALSE)</f>
        <v>792</v>
      </c>
      <c r="L155" s="7" t="str">
        <f t="shared" si="10"/>
        <v>ГОТОВ_ИЗМЕНЕН</v>
      </c>
      <c r="M155" s="7">
        <f t="shared" si="11"/>
        <v>0</v>
      </c>
    </row>
    <row r="156" spans="1:13" x14ac:dyDescent="0.25">
      <c r="A156" s="1">
        <v>943797</v>
      </c>
      <c r="B156" s="6" t="s">
        <v>222</v>
      </c>
      <c r="F156" s="6" t="s">
        <v>9</v>
      </c>
      <c r="G156" s="6" t="s">
        <v>43</v>
      </c>
      <c r="H156" s="9" t="s">
        <v>42</v>
      </c>
      <c r="I156" s="7" t="str">
        <f t="shared" si="8"/>
        <v>61001002001</v>
      </c>
      <c r="J156" s="7" t="str">
        <f t="shared" si="9"/>
        <v>Материал по ЕГРН</v>
      </c>
      <c r="K156" s="7">
        <f>VLOOKUP(J156,Лист2!A$2:B$4,2,FALSE)</f>
        <v>792</v>
      </c>
      <c r="L156" s="7" t="str">
        <f t="shared" si="10"/>
        <v>ГОТОВ_ИЗМЕНЕН</v>
      </c>
      <c r="M156" s="7">
        <f t="shared" si="11"/>
        <v>0</v>
      </c>
    </row>
    <row r="157" spans="1:13" x14ac:dyDescent="0.25">
      <c r="A157" s="1">
        <v>943809</v>
      </c>
      <c r="B157" s="6" t="s">
        <v>223</v>
      </c>
      <c r="F157" s="6" t="s">
        <v>9</v>
      </c>
      <c r="G157" s="6" t="s">
        <v>59</v>
      </c>
      <c r="H157" s="9" t="s">
        <v>60</v>
      </c>
      <c r="I157" s="7" t="str">
        <f t="shared" si="8"/>
        <v>61001001001</v>
      </c>
      <c r="J157" s="7" t="str">
        <f t="shared" si="9"/>
        <v>Материал по ЕГРН</v>
      </c>
      <c r="K157" s="7">
        <f>VLOOKUP(J157,Лист2!A$2:B$4,2,FALSE)</f>
        <v>792</v>
      </c>
      <c r="L157" s="7" t="str">
        <f t="shared" si="10"/>
        <v>ГОТОВ_ИЗМЕНЕН</v>
      </c>
      <c r="M157" s="7">
        <f t="shared" si="11"/>
        <v>0</v>
      </c>
    </row>
    <row r="158" spans="1:13" x14ac:dyDescent="0.25">
      <c r="A158" s="1">
        <v>943821</v>
      </c>
      <c r="B158" s="6" t="s">
        <v>224</v>
      </c>
      <c r="F158" s="6" t="s">
        <v>9</v>
      </c>
      <c r="G158" s="6" t="s">
        <v>34</v>
      </c>
      <c r="H158" s="9" t="s">
        <v>35</v>
      </c>
      <c r="I158" s="7" t="str">
        <f t="shared" si="8"/>
        <v>61001002000</v>
      </c>
      <c r="J158" s="7" t="str">
        <f t="shared" si="9"/>
        <v>Материал по ЕГРН</v>
      </c>
      <c r="K158" s="7">
        <f>VLOOKUP(J158,Лист2!A$2:B$4,2,FALSE)</f>
        <v>792</v>
      </c>
      <c r="L158" s="7" t="str">
        <f t="shared" si="10"/>
        <v>ГОТОВ_ИЗМЕНЕН</v>
      </c>
      <c r="M158" s="7">
        <f t="shared" si="11"/>
        <v>0</v>
      </c>
    </row>
    <row r="159" spans="1:13" x14ac:dyDescent="0.25">
      <c r="A159" s="1">
        <v>943833</v>
      </c>
      <c r="B159" s="6" t="s">
        <v>225</v>
      </c>
      <c r="F159" s="6" t="s">
        <v>9</v>
      </c>
      <c r="G159" s="6" t="s">
        <v>10</v>
      </c>
      <c r="H159" s="9" t="s">
        <v>11</v>
      </c>
      <c r="I159" s="7" t="str">
        <f t="shared" si="8"/>
        <v>61001003000</v>
      </c>
      <c r="J159" s="7" t="str">
        <f t="shared" si="9"/>
        <v>Материал по ЕГРН</v>
      </c>
      <c r="K159" s="7">
        <f>VLOOKUP(J159,Лист2!A$2:B$4,2,FALSE)</f>
        <v>792</v>
      </c>
      <c r="L159" s="7" t="str">
        <f t="shared" si="10"/>
        <v>ГОТОВ_ИЗМЕНЕН</v>
      </c>
      <c r="M159" s="7">
        <f t="shared" si="11"/>
        <v>0</v>
      </c>
    </row>
    <row r="160" spans="1:13" x14ac:dyDescent="0.25">
      <c r="A160" s="1">
        <v>943845</v>
      </c>
      <c r="B160" s="6" t="s">
        <v>226</v>
      </c>
      <c r="F160" s="6" t="s">
        <v>9</v>
      </c>
      <c r="G160" s="6" t="s">
        <v>34</v>
      </c>
      <c r="H160" s="9" t="s">
        <v>35</v>
      </c>
      <c r="I160" s="7" t="str">
        <f t="shared" si="8"/>
        <v>61001002000</v>
      </c>
      <c r="J160" s="7" t="str">
        <f t="shared" si="9"/>
        <v>Материал по ЕГРН</v>
      </c>
      <c r="K160" s="7">
        <f>VLOOKUP(J160,Лист2!A$2:B$4,2,FALSE)</f>
        <v>792</v>
      </c>
      <c r="L160" s="7" t="str">
        <f t="shared" si="10"/>
        <v>ГОТОВ_ИЗМЕНЕН</v>
      </c>
      <c r="M160" s="7">
        <f t="shared" si="11"/>
        <v>0</v>
      </c>
    </row>
    <row r="161" spans="1:13" x14ac:dyDescent="0.25">
      <c r="A161" s="1">
        <v>943857</v>
      </c>
      <c r="B161" s="6" t="s">
        <v>227</v>
      </c>
      <c r="F161" s="6" t="s">
        <v>9</v>
      </c>
      <c r="G161" s="6" t="s">
        <v>10</v>
      </c>
      <c r="H161" s="9" t="s">
        <v>11</v>
      </c>
      <c r="I161" s="7" t="str">
        <f t="shared" si="8"/>
        <v>61001003000</v>
      </c>
      <c r="J161" s="7" t="str">
        <f t="shared" si="9"/>
        <v>Материал по ЕГРН</v>
      </c>
      <c r="K161" s="7">
        <f>VLOOKUP(J161,Лист2!A$2:B$4,2,FALSE)</f>
        <v>792</v>
      </c>
      <c r="L161" s="7" t="str">
        <f t="shared" si="10"/>
        <v>ГОТОВ_ИЗМЕНЕН</v>
      </c>
      <c r="M161" s="7">
        <f t="shared" si="11"/>
        <v>0</v>
      </c>
    </row>
    <row r="162" spans="1:13" x14ac:dyDescent="0.25">
      <c r="A162" s="1">
        <v>943869</v>
      </c>
      <c r="B162" s="6" t="s">
        <v>228</v>
      </c>
      <c r="F162" s="6" t="s">
        <v>9</v>
      </c>
      <c r="G162" s="6" t="s">
        <v>38</v>
      </c>
      <c r="H162" s="9" t="s">
        <v>33</v>
      </c>
      <c r="I162" s="7" t="str">
        <f t="shared" si="8"/>
        <v>61001005000</v>
      </c>
      <c r="J162" s="7" t="str">
        <f t="shared" si="9"/>
        <v>Материал по ЕГРН</v>
      </c>
      <c r="K162" s="7">
        <f>VLOOKUP(J162,Лист2!A$2:B$4,2,FALSE)</f>
        <v>792</v>
      </c>
      <c r="L162" s="7" t="str">
        <f t="shared" si="10"/>
        <v>ГОТОВ_ИЗМЕНЕН</v>
      </c>
      <c r="M162" s="7">
        <f t="shared" si="11"/>
        <v>0</v>
      </c>
    </row>
    <row r="163" spans="1:13" x14ac:dyDescent="0.25">
      <c r="A163" s="1">
        <v>943881</v>
      </c>
      <c r="B163" s="6" t="s">
        <v>229</v>
      </c>
      <c r="F163" s="6" t="s">
        <v>9</v>
      </c>
      <c r="G163" s="6" t="s">
        <v>73</v>
      </c>
      <c r="H163" s="9" t="s">
        <v>74</v>
      </c>
      <c r="I163" s="7" t="str">
        <f t="shared" si="8"/>
        <v>61001006000</v>
      </c>
      <c r="J163" s="7" t="str">
        <f t="shared" si="9"/>
        <v>Материал по ЕГРН</v>
      </c>
      <c r="K163" s="7">
        <f>VLOOKUP(J163,Лист2!A$2:B$4,2,FALSE)</f>
        <v>792</v>
      </c>
      <c r="L163" s="7" t="str">
        <f t="shared" si="10"/>
        <v>ГОТОВ_ИЗМЕНЕН</v>
      </c>
      <c r="M163" s="7">
        <f t="shared" si="11"/>
        <v>0</v>
      </c>
    </row>
    <row r="164" spans="1:13" x14ac:dyDescent="0.25">
      <c r="A164" s="1">
        <v>943893</v>
      </c>
      <c r="B164" s="6" t="s">
        <v>230</v>
      </c>
      <c r="F164" s="6" t="s">
        <v>9</v>
      </c>
      <c r="G164" s="6" t="s">
        <v>38</v>
      </c>
      <c r="H164" s="9" t="s">
        <v>33</v>
      </c>
      <c r="I164" s="7" t="str">
        <f t="shared" si="8"/>
        <v>61001005000</v>
      </c>
      <c r="J164" s="7" t="str">
        <f t="shared" si="9"/>
        <v>Материал по ЕГРН</v>
      </c>
      <c r="K164" s="7">
        <f>VLOOKUP(J164,Лист2!A$2:B$4,2,FALSE)</f>
        <v>792</v>
      </c>
      <c r="L164" s="7" t="str">
        <f t="shared" si="10"/>
        <v>ГОТОВ_ИЗМЕНЕН</v>
      </c>
      <c r="M164" s="7">
        <f t="shared" si="11"/>
        <v>0</v>
      </c>
    </row>
    <row r="165" spans="1:13" x14ac:dyDescent="0.25">
      <c r="A165" s="1">
        <v>943905</v>
      </c>
      <c r="B165" s="6" t="s">
        <v>231</v>
      </c>
      <c r="F165" s="6" t="s">
        <v>9</v>
      </c>
      <c r="G165" s="6" t="s">
        <v>125</v>
      </c>
      <c r="H165" s="9" t="s">
        <v>126</v>
      </c>
      <c r="I165" s="7" t="str">
        <f t="shared" si="8"/>
        <v>61001007004</v>
      </c>
      <c r="J165" s="7" t="str">
        <f t="shared" si="9"/>
        <v>Материал по ЕГРН</v>
      </c>
      <c r="K165" s="7">
        <f>VLOOKUP(J165,Лист2!A$2:B$4,2,FALSE)</f>
        <v>792</v>
      </c>
      <c r="L165" s="7" t="str">
        <f t="shared" si="10"/>
        <v>ГОТОВ_ИЗМЕНЕН</v>
      </c>
      <c r="M165" s="7">
        <f t="shared" si="11"/>
        <v>0</v>
      </c>
    </row>
    <row r="166" spans="1:13" x14ac:dyDescent="0.25">
      <c r="A166" s="1">
        <v>943917</v>
      </c>
      <c r="B166" s="6" t="s">
        <v>232</v>
      </c>
      <c r="F166" s="6" t="s">
        <v>9</v>
      </c>
      <c r="G166" s="6" t="s">
        <v>10</v>
      </c>
      <c r="H166" s="9" t="s">
        <v>11</v>
      </c>
      <c r="I166" s="7" t="str">
        <f t="shared" si="8"/>
        <v>61001003000</v>
      </c>
      <c r="J166" s="7" t="str">
        <f t="shared" si="9"/>
        <v>Материал по ЕГРН</v>
      </c>
      <c r="K166" s="7">
        <f>VLOOKUP(J166,Лист2!A$2:B$4,2,FALSE)</f>
        <v>792</v>
      </c>
      <c r="L166" s="7" t="str">
        <f t="shared" si="10"/>
        <v>ГОТОВ_ИЗМЕНЕН</v>
      </c>
      <c r="M166" s="7">
        <f t="shared" si="11"/>
        <v>0</v>
      </c>
    </row>
    <row r="167" spans="1:13" x14ac:dyDescent="0.25">
      <c r="A167" s="1">
        <v>943929</v>
      </c>
      <c r="B167" s="6" t="s">
        <v>233</v>
      </c>
      <c r="F167" s="6" t="s">
        <v>9</v>
      </c>
      <c r="G167" s="6" t="s">
        <v>180</v>
      </c>
      <c r="H167" s="9" t="s">
        <v>181</v>
      </c>
      <c r="I167" s="7" t="str">
        <f t="shared" si="8"/>
        <v>61001009000</v>
      </c>
      <c r="J167" s="7" t="str">
        <f t="shared" si="9"/>
        <v>Материал по ЕГРН</v>
      </c>
      <c r="K167" s="7">
        <f>VLOOKUP(J167,Лист2!A$2:B$4,2,FALSE)</f>
        <v>792</v>
      </c>
      <c r="L167" s="7" t="str">
        <f t="shared" si="10"/>
        <v>ГОТОВ_ИЗМЕНЕН</v>
      </c>
      <c r="M167" s="7">
        <f t="shared" si="11"/>
        <v>0</v>
      </c>
    </row>
    <row r="168" spans="1:13" x14ac:dyDescent="0.25">
      <c r="A168" s="1">
        <v>943941</v>
      </c>
      <c r="B168" s="6" t="s">
        <v>234</v>
      </c>
      <c r="F168" s="6" t="s">
        <v>9</v>
      </c>
      <c r="G168" s="6" t="s">
        <v>34</v>
      </c>
      <c r="H168" s="9" t="s">
        <v>35</v>
      </c>
      <c r="I168" s="7" t="str">
        <f t="shared" si="8"/>
        <v>61001002000</v>
      </c>
      <c r="J168" s="7" t="str">
        <f t="shared" si="9"/>
        <v>Материал по ЕГРН</v>
      </c>
      <c r="K168" s="7">
        <f>VLOOKUP(J168,Лист2!A$2:B$4,2,FALSE)</f>
        <v>792</v>
      </c>
      <c r="L168" s="7" t="str">
        <f t="shared" si="10"/>
        <v>ГОТОВ_ИЗМЕНЕН</v>
      </c>
      <c r="M168" s="7">
        <f t="shared" si="11"/>
        <v>0</v>
      </c>
    </row>
    <row r="169" spans="1:13" x14ac:dyDescent="0.25">
      <c r="A169" s="1">
        <v>85981</v>
      </c>
      <c r="B169" s="6" t="s">
        <v>235</v>
      </c>
      <c r="C169" s="9" t="s">
        <v>33</v>
      </c>
      <c r="D169" s="6" t="s">
        <v>20</v>
      </c>
      <c r="E169" s="6" t="s">
        <v>37</v>
      </c>
      <c r="F169" s="6" t="s">
        <v>9</v>
      </c>
      <c r="G169" s="6" t="s">
        <v>38</v>
      </c>
      <c r="H169" s="9" t="s">
        <v>33</v>
      </c>
      <c r="I169" s="7" t="str">
        <f t="shared" si="8"/>
        <v>61001005000</v>
      </c>
      <c r="J169" s="7" t="str">
        <f t="shared" si="9"/>
        <v>Материал по ЕГРН</v>
      </c>
      <c r="K169" s="7">
        <f>VLOOKUP(J169,Лист2!A$2:B$4,2,FALSE)</f>
        <v>792</v>
      </c>
      <c r="L169" s="7" t="str">
        <f t="shared" si="10"/>
        <v>ГОТОВ</v>
      </c>
      <c r="M169" s="7" t="str">
        <f t="shared" si="11"/>
        <v>61001005000</v>
      </c>
    </row>
    <row r="170" spans="1:13" x14ac:dyDescent="0.25">
      <c r="A170" s="1">
        <v>519257</v>
      </c>
      <c r="B170" s="6" t="s">
        <v>236</v>
      </c>
      <c r="C170" s="9" t="s">
        <v>33</v>
      </c>
      <c r="D170" s="6" t="s">
        <v>20</v>
      </c>
      <c r="E170" s="6" t="s">
        <v>37</v>
      </c>
      <c r="F170" s="6" t="s">
        <v>9</v>
      </c>
      <c r="G170" s="6" t="s">
        <v>38</v>
      </c>
      <c r="H170" s="9" t="s">
        <v>33</v>
      </c>
      <c r="I170" s="7" t="str">
        <f t="shared" si="8"/>
        <v>61001005000</v>
      </c>
      <c r="J170" s="7" t="str">
        <f t="shared" si="9"/>
        <v>Материал по ЕГРН</v>
      </c>
      <c r="K170" s="7">
        <f>VLOOKUP(J170,Лист2!A$2:B$4,2,FALSE)</f>
        <v>792</v>
      </c>
      <c r="L170" s="7" t="str">
        <f t="shared" si="10"/>
        <v>ГОТОВ</v>
      </c>
      <c r="M170" s="7" t="str">
        <f t="shared" si="11"/>
        <v>61001005000</v>
      </c>
    </row>
    <row r="171" spans="1:13" x14ac:dyDescent="0.25">
      <c r="A171" s="1">
        <v>529430</v>
      </c>
      <c r="B171" s="6" t="s">
        <v>237</v>
      </c>
      <c r="C171" s="9" t="s">
        <v>33</v>
      </c>
      <c r="D171" s="6" t="s">
        <v>20</v>
      </c>
      <c r="E171" s="6" t="s">
        <v>37</v>
      </c>
      <c r="F171" s="6" t="s">
        <v>9</v>
      </c>
      <c r="G171" s="6" t="s">
        <v>38</v>
      </c>
      <c r="H171" s="9" t="s">
        <v>33</v>
      </c>
      <c r="I171" s="7" t="str">
        <f t="shared" si="8"/>
        <v>61001005000</v>
      </c>
      <c r="J171" s="7" t="str">
        <f t="shared" si="9"/>
        <v>Материал по ЕГРН</v>
      </c>
      <c r="K171" s="7">
        <f>VLOOKUP(J171,Лист2!A$2:B$4,2,FALSE)</f>
        <v>792</v>
      </c>
      <c r="L171" s="7" t="str">
        <f t="shared" si="10"/>
        <v>ГОТОВ</v>
      </c>
      <c r="M171" s="7" t="str">
        <f t="shared" si="11"/>
        <v>61001005000</v>
      </c>
    </row>
    <row r="172" spans="1:13" x14ac:dyDescent="0.25">
      <c r="A172" s="1">
        <v>656901</v>
      </c>
      <c r="B172" s="6" t="s">
        <v>238</v>
      </c>
      <c r="C172" s="9" t="s">
        <v>33</v>
      </c>
      <c r="D172" s="6" t="s">
        <v>20</v>
      </c>
      <c r="E172" s="6" t="s">
        <v>37</v>
      </c>
      <c r="F172" s="6" t="s">
        <v>9</v>
      </c>
      <c r="G172" s="6" t="s">
        <v>38</v>
      </c>
      <c r="H172" s="9" t="s">
        <v>33</v>
      </c>
      <c r="I172" s="7" t="str">
        <f t="shared" si="8"/>
        <v>61001005000</v>
      </c>
      <c r="J172" s="7" t="str">
        <f t="shared" si="9"/>
        <v>Материал по ЕГРН</v>
      </c>
      <c r="K172" s="7">
        <f>VLOOKUP(J172,Лист2!A$2:B$4,2,FALSE)</f>
        <v>792</v>
      </c>
      <c r="L172" s="7" t="str">
        <f t="shared" si="10"/>
        <v>ГОТОВ</v>
      </c>
      <c r="M172" s="7" t="str">
        <f t="shared" si="11"/>
        <v>61001005000</v>
      </c>
    </row>
    <row r="173" spans="1:13" x14ac:dyDescent="0.25">
      <c r="A173" s="1">
        <v>943953</v>
      </c>
      <c r="B173" s="6" t="s">
        <v>239</v>
      </c>
      <c r="F173" s="6" t="s">
        <v>9</v>
      </c>
      <c r="G173" s="6" t="s">
        <v>38</v>
      </c>
      <c r="H173" s="9" t="s">
        <v>33</v>
      </c>
      <c r="I173" s="7" t="str">
        <f t="shared" si="8"/>
        <v>61001005000</v>
      </c>
      <c r="J173" s="7" t="str">
        <f t="shared" si="9"/>
        <v>Материал по ЕГРН</v>
      </c>
      <c r="K173" s="7">
        <f>VLOOKUP(J173,Лист2!A$2:B$4,2,FALSE)</f>
        <v>792</v>
      </c>
      <c r="L173" s="7" t="str">
        <f t="shared" si="10"/>
        <v>ГОТОВ_ИЗМЕНЕН</v>
      </c>
      <c r="M173" s="7">
        <f t="shared" si="11"/>
        <v>0</v>
      </c>
    </row>
    <row r="174" spans="1:13" x14ac:dyDescent="0.25">
      <c r="A174" s="1">
        <v>943965</v>
      </c>
      <c r="B174" s="6" t="s">
        <v>240</v>
      </c>
      <c r="F174" s="6" t="s">
        <v>9</v>
      </c>
      <c r="G174" s="6" t="s">
        <v>10</v>
      </c>
      <c r="H174" s="9" t="s">
        <v>11</v>
      </c>
      <c r="I174" s="7" t="str">
        <f t="shared" si="8"/>
        <v>61001003000</v>
      </c>
      <c r="J174" s="7" t="str">
        <f t="shared" si="9"/>
        <v>Материал по ЕГРН</v>
      </c>
      <c r="K174" s="7">
        <f>VLOOKUP(J174,Лист2!A$2:B$4,2,FALSE)</f>
        <v>792</v>
      </c>
      <c r="L174" s="7" t="str">
        <f t="shared" si="10"/>
        <v>ГОТОВ_ИЗМЕНЕН</v>
      </c>
      <c r="M174" s="7">
        <f t="shared" si="11"/>
        <v>0</v>
      </c>
    </row>
    <row r="175" spans="1:13" x14ac:dyDescent="0.25">
      <c r="A175" s="1">
        <v>943977</v>
      </c>
      <c r="B175" s="6" t="s">
        <v>241</v>
      </c>
      <c r="F175" s="6" t="s">
        <v>9</v>
      </c>
      <c r="G175" s="6" t="s">
        <v>10</v>
      </c>
      <c r="H175" s="9" t="s">
        <v>11</v>
      </c>
      <c r="I175" s="7" t="str">
        <f t="shared" si="8"/>
        <v>61001003000</v>
      </c>
      <c r="J175" s="7" t="str">
        <f t="shared" si="9"/>
        <v>Материал по ЕГРН</v>
      </c>
      <c r="K175" s="7">
        <f>VLOOKUP(J175,Лист2!A$2:B$4,2,FALSE)</f>
        <v>792</v>
      </c>
      <c r="L175" s="7" t="str">
        <f t="shared" si="10"/>
        <v>ГОТОВ_ИЗМЕНЕН</v>
      </c>
      <c r="M175" s="7">
        <f t="shared" si="11"/>
        <v>0</v>
      </c>
    </row>
    <row r="176" spans="1:13" x14ac:dyDescent="0.25">
      <c r="A176" s="1">
        <v>943989</v>
      </c>
      <c r="B176" s="6" t="s">
        <v>242</v>
      </c>
      <c r="F176" s="6" t="s">
        <v>9</v>
      </c>
      <c r="G176" s="6" t="s">
        <v>34</v>
      </c>
      <c r="H176" s="9" t="s">
        <v>35</v>
      </c>
      <c r="I176" s="7" t="str">
        <f t="shared" si="8"/>
        <v>61001002000</v>
      </c>
      <c r="J176" s="7" t="str">
        <f t="shared" si="9"/>
        <v>Материал по ЕГРН</v>
      </c>
      <c r="K176" s="7">
        <f>VLOOKUP(J176,Лист2!A$2:B$4,2,FALSE)</f>
        <v>792</v>
      </c>
      <c r="L176" s="7" t="str">
        <f t="shared" si="10"/>
        <v>ГОТОВ_ИЗМЕНЕН</v>
      </c>
      <c r="M176" s="7">
        <f t="shared" si="11"/>
        <v>0</v>
      </c>
    </row>
    <row r="177" spans="1:13" x14ac:dyDescent="0.25">
      <c r="A177" s="1">
        <v>944001</v>
      </c>
      <c r="B177" s="6" t="s">
        <v>243</v>
      </c>
      <c r="F177" s="6" t="s">
        <v>9</v>
      </c>
      <c r="G177" s="6" t="s">
        <v>10</v>
      </c>
      <c r="H177" s="9" t="s">
        <v>11</v>
      </c>
      <c r="I177" s="7" t="str">
        <f t="shared" si="8"/>
        <v>61001003000</v>
      </c>
      <c r="J177" s="7" t="str">
        <f t="shared" si="9"/>
        <v>Материал по ЕГРН</v>
      </c>
      <c r="K177" s="7">
        <f>VLOOKUP(J177,Лист2!A$2:B$4,2,FALSE)</f>
        <v>792</v>
      </c>
      <c r="L177" s="7" t="str">
        <f t="shared" si="10"/>
        <v>ГОТОВ_ИЗМЕНЕН</v>
      </c>
      <c r="M177" s="7">
        <f t="shared" si="11"/>
        <v>0</v>
      </c>
    </row>
    <row r="178" spans="1:13" x14ac:dyDescent="0.25">
      <c r="A178" s="1">
        <v>944013</v>
      </c>
      <c r="B178" s="6" t="s">
        <v>244</v>
      </c>
      <c r="F178" s="6" t="s">
        <v>9</v>
      </c>
      <c r="G178" s="6" t="s">
        <v>59</v>
      </c>
      <c r="H178" s="9" t="s">
        <v>60</v>
      </c>
      <c r="I178" s="7" t="str">
        <f t="shared" si="8"/>
        <v>61001001001</v>
      </c>
      <c r="J178" s="7" t="str">
        <f t="shared" si="9"/>
        <v>Материал по ЕГРН</v>
      </c>
      <c r="K178" s="7">
        <f>VLOOKUP(J178,Лист2!A$2:B$4,2,FALSE)</f>
        <v>792</v>
      </c>
      <c r="L178" s="7" t="str">
        <f t="shared" si="10"/>
        <v>ГОТОВ_ИЗМЕНЕН</v>
      </c>
      <c r="M178" s="7">
        <f t="shared" si="11"/>
        <v>0</v>
      </c>
    </row>
    <row r="179" spans="1:13" x14ac:dyDescent="0.25">
      <c r="A179" s="1">
        <v>944025</v>
      </c>
      <c r="B179" s="6" t="s">
        <v>245</v>
      </c>
      <c r="F179" s="6" t="s">
        <v>9</v>
      </c>
      <c r="G179" s="6" t="s">
        <v>34</v>
      </c>
      <c r="H179" s="9" t="s">
        <v>35</v>
      </c>
      <c r="I179" s="7" t="str">
        <f t="shared" si="8"/>
        <v>61001002000</v>
      </c>
      <c r="J179" s="7" t="str">
        <f t="shared" si="9"/>
        <v>Материал по ЕГРН</v>
      </c>
      <c r="K179" s="7">
        <f>VLOOKUP(J179,Лист2!A$2:B$4,2,FALSE)</f>
        <v>792</v>
      </c>
      <c r="L179" s="7" t="str">
        <f t="shared" si="10"/>
        <v>ГОТОВ_ИЗМЕНЕН</v>
      </c>
      <c r="M179" s="7">
        <f t="shared" si="11"/>
        <v>0</v>
      </c>
    </row>
    <row r="180" spans="1:13" x14ac:dyDescent="0.25">
      <c r="A180" s="1">
        <v>944037</v>
      </c>
      <c r="B180" s="6" t="s">
        <v>246</v>
      </c>
      <c r="F180" s="6" t="s">
        <v>9</v>
      </c>
      <c r="G180" s="6" t="s">
        <v>38</v>
      </c>
      <c r="H180" s="9" t="s">
        <v>33</v>
      </c>
      <c r="I180" s="7" t="str">
        <f t="shared" si="8"/>
        <v>61001005000</v>
      </c>
      <c r="J180" s="7" t="str">
        <f t="shared" si="9"/>
        <v>Материал по ЕГРН</v>
      </c>
      <c r="K180" s="7">
        <f>VLOOKUP(J180,Лист2!A$2:B$4,2,FALSE)</f>
        <v>792</v>
      </c>
      <c r="L180" s="7" t="str">
        <f t="shared" si="10"/>
        <v>ГОТОВ_ИЗМЕНЕН</v>
      </c>
      <c r="M180" s="7">
        <f t="shared" si="11"/>
        <v>0</v>
      </c>
    </row>
    <row r="181" spans="1:13" x14ac:dyDescent="0.25">
      <c r="A181" s="1">
        <v>944049</v>
      </c>
      <c r="B181" s="6" t="s">
        <v>247</v>
      </c>
      <c r="F181" s="6" t="s">
        <v>9</v>
      </c>
      <c r="G181" s="6" t="s">
        <v>34</v>
      </c>
      <c r="H181" s="9" t="s">
        <v>35</v>
      </c>
      <c r="I181" s="7" t="str">
        <f t="shared" si="8"/>
        <v>61001002000</v>
      </c>
      <c r="J181" s="7" t="str">
        <f t="shared" si="9"/>
        <v>Материал по ЕГРН</v>
      </c>
      <c r="K181" s="7">
        <f>VLOOKUP(J181,Лист2!A$2:B$4,2,FALSE)</f>
        <v>792</v>
      </c>
      <c r="L181" s="7" t="str">
        <f t="shared" si="10"/>
        <v>ГОТОВ_ИЗМЕНЕН</v>
      </c>
      <c r="M181" s="7">
        <f t="shared" si="11"/>
        <v>0</v>
      </c>
    </row>
    <row r="182" spans="1:13" x14ac:dyDescent="0.25">
      <c r="A182" s="1">
        <v>944061</v>
      </c>
      <c r="B182" s="6" t="s">
        <v>248</v>
      </c>
      <c r="F182" s="6" t="s">
        <v>9</v>
      </c>
      <c r="G182" s="6" t="s">
        <v>34</v>
      </c>
      <c r="H182" s="9" t="s">
        <v>35</v>
      </c>
      <c r="I182" s="7" t="str">
        <f t="shared" si="8"/>
        <v>61001002000</v>
      </c>
      <c r="J182" s="7" t="str">
        <f t="shared" si="9"/>
        <v>Материал по ЕГРН</v>
      </c>
      <c r="K182" s="7">
        <f>VLOOKUP(J182,Лист2!A$2:B$4,2,FALSE)</f>
        <v>792</v>
      </c>
      <c r="L182" s="7" t="str">
        <f t="shared" si="10"/>
        <v>ГОТОВ_ИЗМЕНЕН</v>
      </c>
      <c r="M182" s="7">
        <f t="shared" si="11"/>
        <v>0</v>
      </c>
    </row>
    <row r="183" spans="1:13" x14ac:dyDescent="0.25">
      <c r="A183" s="1">
        <v>944073</v>
      </c>
      <c r="B183" s="6" t="s">
        <v>249</v>
      </c>
      <c r="F183" s="6" t="s">
        <v>9</v>
      </c>
      <c r="G183" s="6" t="s">
        <v>90</v>
      </c>
      <c r="H183" s="9" t="s">
        <v>12</v>
      </c>
      <c r="I183" s="7" t="str">
        <f t="shared" si="8"/>
        <v>61001008000</v>
      </c>
      <c r="J183" s="7" t="str">
        <f t="shared" si="9"/>
        <v>Материал по ЕГРН</v>
      </c>
      <c r="K183" s="7">
        <f>VLOOKUP(J183,Лист2!A$2:B$4,2,FALSE)</f>
        <v>792</v>
      </c>
      <c r="L183" s="7" t="str">
        <f t="shared" si="10"/>
        <v>ГОТОВ_ИЗМЕНЕН</v>
      </c>
      <c r="M183" s="7">
        <f t="shared" si="11"/>
        <v>0</v>
      </c>
    </row>
    <row r="184" spans="1:13" x14ac:dyDescent="0.25">
      <c r="A184" s="1">
        <v>944085</v>
      </c>
      <c r="B184" s="6" t="s">
        <v>250</v>
      </c>
      <c r="F184" s="6" t="s">
        <v>9</v>
      </c>
      <c r="G184" s="6" t="s">
        <v>43</v>
      </c>
      <c r="H184" s="9" t="s">
        <v>42</v>
      </c>
      <c r="I184" s="7" t="str">
        <f t="shared" si="8"/>
        <v>61001002001</v>
      </c>
      <c r="J184" s="7" t="str">
        <f t="shared" si="9"/>
        <v>Материал по ЕГРН</v>
      </c>
      <c r="K184" s="7">
        <f>VLOOKUP(J184,Лист2!A$2:B$4,2,FALSE)</f>
        <v>792</v>
      </c>
      <c r="L184" s="7" t="str">
        <f t="shared" si="10"/>
        <v>ГОТОВ_ИЗМЕНЕН</v>
      </c>
      <c r="M184" s="7">
        <f t="shared" si="11"/>
        <v>0</v>
      </c>
    </row>
    <row r="185" spans="1:13" x14ac:dyDescent="0.25">
      <c r="A185" s="1">
        <v>944097</v>
      </c>
      <c r="B185" s="6" t="s">
        <v>251</v>
      </c>
      <c r="F185" s="6" t="s">
        <v>9</v>
      </c>
      <c r="G185" s="6" t="s">
        <v>38</v>
      </c>
      <c r="H185" s="9" t="s">
        <v>33</v>
      </c>
      <c r="I185" s="7" t="str">
        <f t="shared" si="8"/>
        <v>61001005000</v>
      </c>
      <c r="J185" s="7" t="str">
        <f t="shared" si="9"/>
        <v>Материал по ЕГРН</v>
      </c>
      <c r="K185" s="7">
        <f>VLOOKUP(J185,Лист2!A$2:B$4,2,FALSE)</f>
        <v>792</v>
      </c>
      <c r="L185" s="7" t="str">
        <f t="shared" si="10"/>
        <v>ГОТОВ_ИЗМЕНЕН</v>
      </c>
      <c r="M185" s="7">
        <f t="shared" si="11"/>
        <v>0</v>
      </c>
    </row>
    <row r="186" spans="1:13" x14ac:dyDescent="0.25">
      <c r="A186" s="1">
        <v>944109</v>
      </c>
      <c r="B186" s="6" t="s">
        <v>252</v>
      </c>
      <c r="F186" s="6" t="s">
        <v>9</v>
      </c>
      <c r="G186" s="6" t="s">
        <v>38</v>
      </c>
      <c r="H186" s="9" t="s">
        <v>33</v>
      </c>
      <c r="I186" s="7" t="str">
        <f t="shared" si="8"/>
        <v>61001005000</v>
      </c>
      <c r="J186" s="7" t="str">
        <f t="shared" si="9"/>
        <v>Материал по ЕГРН</v>
      </c>
      <c r="K186" s="7">
        <f>VLOOKUP(J186,Лист2!A$2:B$4,2,FALSE)</f>
        <v>792</v>
      </c>
      <c r="L186" s="7" t="str">
        <f t="shared" si="10"/>
        <v>ГОТОВ_ИЗМЕНЕН</v>
      </c>
      <c r="M186" s="7">
        <f t="shared" si="11"/>
        <v>0</v>
      </c>
    </row>
    <row r="187" spans="1:13" x14ac:dyDescent="0.25">
      <c r="A187" s="1">
        <v>944121</v>
      </c>
      <c r="B187" s="6" t="s">
        <v>253</v>
      </c>
      <c r="F187" s="6" t="s">
        <v>9</v>
      </c>
      <c r="G187" s="6" t="s">
        <v>43</v>
      </c>
      <c r="H187" s="9" t="s">
        <v>42</v>
      </c>
      <c r="I187" s="7" t="str">
        <f t="shared" si="8"/>
        <v>61001002001</v>
      </c>
      <c r="J187" s="7" t="str">
        <f t="shared" si="9"/>
        <v>Материал по ЕГРН</v>
      </c>
      <c r="K187" s="7">
        <f>VLOOKUP(J187,Лист2!A$2:B$4,2,FALSE)</f>
        <v>792</v>
      </c>
      <c r="L187" s="7" t="str">
        <f t="shared" si="10"/>
        <v>ГОТОВ_ИЗМЕНЕН</v>
      </c>
      <c r="M187" s="7">
        <f t="shared" si="11"/>
        <v>0</v>
      </c>
    </row>
    <row r="188" spans="1:13" x14ac:dyDescent="0.25">
      <c r="A188" s="1">
        <v>944133</v>
      </c>
      <c r="B188" s="6" t="s">
        <v>254</v>
      </c>
      <c r="F188" s="6" t="s">
        <v>9</v>
      </c>
      <c r="G188" s="6" t="s">
        <v>38</v>
      </c>
      <c r="H188" s="9" t="s">
        <v>33</v>
      </c>
      <c r="I188" s="7" t="str">
        <f t="shared" si="8"/>
        <v>61001005000</v>
      </c>
      <c r="J188" s="7" t="str">
        <f t="shared" si="9"/>
        <v>Материал по ЕГРН</v>
      </c>
      <c r="K188" s="7">
        <f>VLOOKUP(J188,Лист2!A$2:B$4,2,FALSE)</f>
        <v>792</v>
      </c>
      <c r="L188" s="7" t="str">
        <f t="shared" si="10"/>
        <v>ГОТОВ_ИЗМЕНЕН</v>
      </c>
      <c r="M188" s="7">
        <f t="shared" si="11"/>
        <v>0</v>
      </c>
    </row>
    <row r="189" spans="1:13" x14ac:dyDescent="0.25">
      <c r="A189" s="1">
        <v>944145</v>
      </c>
      <c r="B189" s="6" t="s">
        <v>255</v>
      </c>
      <c r="F189" s="6" t="s">
        <v>9</v>
      </c>
      <c r="G189" s="6" t="s">
        <v>10</v>
      </c>
      <c r="H189" s="9" t="s">
        <v>11</v>
      </c>
      <c r="I189" s="7" t="str">
        <f t="shared" si="8"/>
        <v>61001003000</v>
      </c>
      <c r="J189" s="7" t="str">
        <f t="shared" si="9"/>
        <v>Материал по ЕГРН</v>
      </c>
      <c r="K189" s="7">
        <f>VLOOKUP(J189,Лист2!A$2:B$4,2,FALSE)</f>
        <v>792</v>
      </c>
      <c r="L189" s="7" t="str">
        <f t="shared" si="10"/>
        <v>ГОТОВ_ИЗМЕНЕН</v>
      </c>
      <c r="M189" s="7">
        <f t="shared" si="11"/>
        <v>0</v>
      </c>
    </row>
    <row r="190" spans="1:13" x14ac:dyDescent="0.25">
      <c r="A190" s="1">
        <v>944157</v>
      </c>
      <c r="B190" s="6" t="s">
        <v>256</v>
      </c>
      <c r="F190" s="6" t="s">
        <v>9</v>
      </c>
      <c r="G190" s="6" t="s">
        <v>170</v>
      </c>
      <c r="H190" s="9" t="s">
        <v>171</v>
      </c>
      <c r="I190" s="7" t="str">
        <f t="shared" si="8"/>
        <v>61001001000</v>
      </c>
      <c r="J190" s="7" t="str">
        <f t="shared" si="9"/>
        <v>Материал по ЕГРН</v>
      </c>
      <c r="K190" s="7">
        <f>VLOOKUP(J190,Лист2!A$2:B$4,2,FALSE)</f>
        <v>792</v>
      </c>
      <c r="L190" s="7" t="str">
        <f t="shared" si="10"/>
        <v>ГОТОВ_ИЗМЕНЕН</v>
      </c>
      <c r="M190" s="7">
        <f t="shared" si="11"/>
        <v>0</v>
      </c>
    </row>
    <row r="191" spans="1:13" x14ac:dyDescent="0.25">
      <c r="A191" s="1">
        <v>944169</v>
      </c>
      <c r="B191" s="6" t="s">
        <v>257</v>
      </c>
      <c r="F191" s="6" t="s">
        <v>9</v>
      </c>
      <c r="G191" s="6" t="s">
        <v>38</v>
      </c>
      <c r="H191" s="9" t="s">
        <v>33</v>
      </c>
      <c r="I191" s="7" t="str">
        <f t="shared" si="8"/>
        <v>61001005000</v>
      </c>
      <c r="J191" s="7" t="str">
        <f t="shared" si="9"/>
        <v>Материал по ЕГРН</v>
      </c>
      <c r="K191" s="7">
        <f>VLOOKUP(J191,Лист2!A$2:B$4,2,FALSE)</f>
        <v>792</v>
      </c>
      <c r="L191" s="7" t="str">
        <f t="shared" si="10"/>
        <v>ГОТОВ_ИЗМЕНЕН</v>
      </c>
      <c r="M191" s="7">
        <f t="shared" si="11"/>
        <v>0</v>
      </c>
    </row>
    <row r="192" spans="1:13" x14ac:dyDescent="0.25">
      <c r="A192" s="1">
        <v>944181</v>
      </c>
      <c r="B192" s="6" t="s">
        <v>258</v>
      </c>
      <c r="F192" s="6" t="s">
        <v>9</v>
      </c>
      <c r="G192" s="6" t="s">
        <v>59</v>
      </c>
      <c r="H192" s="9" t="s">
        <v>60</v>
      </c>
      <c r="I192" s="7" t="str">
        <f t="shared" si="8"/>
        <v>61001001001</v>
      </c>
      <c r="J192" s="7" t="str">
        <f t="shared" si="9"/>
        <v>Материал по ЕГРН</v>
      </c>
      <c r="K192" s="7">
        <f>VLOOKUP(J192,Лист2!A$2:B$4,2,FALSE)</f>
        <v>792</v>
      </c>
      <c r="L192" s="7" t="str">
        <f t="shared" si="10"/>
        <v>ГОТОВ_ИЗМЕНЕН</v>
      </c>
      <c r="M192" s="7">
        <f t="shared" si="11"/>
        <v>0</v>
      </c>
    </row>
    <row r="193" spans="1:13" x14ac:dyDescent="0.25">
      <c r="A193" s="1">
        <v>944193</v>
      </c>
      <c r="B193" s="6" t="s">
        <v>259</v>
      </c>
      <c r="F193" s="6" t="s">
        <v>9</v>
      </c>
      <c r="G193" s="6" t="s">
        <v>38</v>
      </c>
      <c r="H193" s="9" t="s">
        <v>33</v>
      </c>
      <c r="I193" s="7" t="str">
        <f t="shared" si="8"/>
        <v>61001005000</v>
      </c>
      <c r="J193" s="7" t="str">
        <f t="shared" si="9"/>
        <v>Материал по ЕГРН</v>
      </c>
      <c r="K193" s="7">
        <f>VLOOKUP(J193,Лист2!A$2:B$4,2,FALSE)</f>
        <v>792</v>
      </c>
      <c r="L193" s="7" t="str">
        <f t="shared" si="10"/>
        <v>ГОТОВ_ИЗМЕНЕН</v>
      </c>
      <c r="M193" s="7">
        <f t="shared" si="11"/>
        <v>0</v>
      </c>
    </row>
    <row r="194" spans="1:13" x14ac:dyDescent="0.25">
      <c r="A194" s="1">
        <v>944205</v>
      </c>
      <c r="B194" s="6" t="s">
        <v>260</v>
      </c>
      <c r="F194" s="6" t="s">
        <v>9</v>
      </c>
      <c r="G194" s="6" t="s">
        <v>34</v>
      </c>
      <c r="H194" s="9" t="s">
        <v>35</v>
      </c>
      <c r="I194" s="7" t="str">
        <f t="shared" si="8"/>
        <v>61001002000</v>
      </c>
      <c r="J194" s="7" t="str">
        <f t="shared" si="9"/>
        <v>Материал по ЕГРН</v>
      </c>
      <c r="K194" s="7">
        <f>VLOOKUP(J194,Лист2!A$2:B$4,2,FALSE)</f>
        <v>792</v>
      </c>
      <c r="L194" s="7" t="str">
        <f t="shared" si="10"/>
        <v>ГОТОВ_ИЗМЕНЕН</v>
      </c>
      <c r="M194" s="7">
        <f t="shared" si="11"/>
        <v>0</v>
      </c>
    </row>
    <row r="195" spans="1:13" x14ac:dyDescent="0.25">
      <c r="A195" s="1">
        <v>944217</v>
      </c>
      <c r="B195" s="6" t="s">
        <v>261</v>
      </c>
      <c r="F195" s="6" t="s">
        <v>9</v>
      </c>
      <c r="G195" s="6" t="s">
        <v>10</v>
      </c>
      <c r="H195" s="9" t="s">
        <v>11</v>
      </c>
      <c r="I195" s="7" t="str">
        <f t="shared" si="8"/>
        <v>61001003000</v>
      </c>
      <c r="J195" s="7" t="str">
        <f t="shared" si="9"/>
        <v>Материал по ЕГРН</v>
      </c>
      <c r="K195" s="7">
        <f>VLOOKUP(J195,Лист2!A$2:B$4,2,FALSE)</f>
        <v>792</v>
      </c>
      <c r="L195" s="7" t="str">
        <f t="shared" si="10"/>
        <v>ГОТОВ_ИЗМЕНЕН</v>
      </c>
      <c r="M195" s="7">
        <f t="shared" si="11"/>
        <v>0</v>
      </c>
    </row>
    <row r="196" spans="1:13" x14ac:dyDescent="0.25">
      <c r="A196" s="1">
        <v>944229</v>
      </c>
      <c r="B196" s="6" t="s">
        <v>262</v>
      </c>
      <c r="F196" s="6" t="s">
        <v>9</v>
      </c>
      <c r="G196" s="6" t="s">
        <v>10</v>
      </c>
      <c r="H196" s="9" t="s">
        <v>11</v>
      </c>
      <c r="I196" s="7" t="str">
        <f t="shared" si="8"/>
        <v>61001003000</v>
      </c>
      <c r="J196" s="7" t="str">
        <f t="shared" si="9"/>
        <v>Материал по ЕГРН</v>
      </c>
      <c r="K196" s="7">
        <f>VLOOKUP(J196,Лист2!A$2:B$4,2,FALSE)</f>
        <v>792</v>
      </c>
      <c r="L196" s="7" t="str">
        <f t="shared" si="10"/>
        <v>ГОТОВ_ИЗМЕНЕН</v>
      </c>
      <c r="M196" s="7">
        <f t="shared" si="11"/>
        <v>0</v>
      </c>
    </row>
    <row r="197" spans="1:13" x14ac:dyDescent="0.25">
      <c r="A197" s="1">
        <v>944241</v>
      </c>
      <c r="B197" s="6" t="s">
        <v>263</v>
      </c>
      <c r="F197" s="6" t="s">
        <v>9</v>
      </c>
      <c r="G197" s="6" t="s">
        <v>34</v>
      </c>
      <c r="H197" s="9" t="s">
        <v>35</v>
      </c>
      <c r="I197" s="7" t="str">
        <f t="shared" ref="I197:I260" si="12">IF(LEN(H197)=11,H197,IF(LEN(H197)=0,"61001005000","61001003000"))</f>
        <v>61001002000</v>
      </c>
      <c r="J197" s="7" t="str">
        <f t="shared" ref="J197:J260" si="13">IF(LEN(H197)=11,"Материал по ЕГРН",IF(LEN(H197)=0,"Прочие по допущению","Смешанные по допущению"))</f>
        <v>Материал по ЕГРН</v>
      </c>
      <c r="K197" s="7">
        <f>VLOOKUP(J197,Лист2!A$2:B$4,2,FALSE)</f>
        <v>792</v>
      </c>
      <c r="L197" s="7" t="str">
        <f t="shared" ref="L197:L260" si="14">IF(I197=C197,"ГОТОВ","ГОТОВ_ИЗМЕНЕН")</f>
        <v>ГОТОВ_ИЗМЕНЕН</v>
      </c>
      <c r="M197" s="7">
        <f t="shared" ref="M197:M260" si="15">C197</f>
        <v>0</v>
      </c>
    </row>
    <row r="198" spans="1:13" x14ac:dyDescent="0.25">
      <c r="A198" s="1">
        <v>944253</v>
      </c>
      <c r="B198" s="6" t="s">
        <v>264</v>
      </c>
      <c r="F198" s="6" t="s">
        <v>9</v>
      </c>
      <c r="G198" s="6" t="s">
        <v>10</v>
      </c>
      <c r="H198" s="9" t="s">
        <v>11</v>
      </c>
      <c r="I198" s="7" t="str">
        <f t="shared" si="12"/>
        <v>61001003000</v>
      </c>
      <c r="J198" s="7" t="str">
        <f t="shared" si="13"/>
        <v>Материал по ЕГРН</v>
      </c>
      <c r="K198" s="7">
        <f>VLOOKUP(J198,Лист2!A$2:B$4,2,FALSE)</f>
        <v>792</v>
      </c>
      <c r="L198" s="7" t="str">
        <f t="shared" si="14"/>
        <v>ГОТОВ_ИЗМЕНЕН</v>
      </c>
      <c r="M198" s="7">
        <f t="shared" si="15"/>
        <v>0</v>
      </c>
    </row>
    <row r="199" spans="1:13" x14ac:dyDescent="0.25">
      <c r="A199" s="1">
        <v>944265</v>
      </c>
      <c r="B199" s="6" t="s">
        <v>265</v>
      </c>
      <c r="F199" s="6" t="s">
        <v>9</v>
      </c>
      <c r="G199" s="6" t="s">
        <v>34</v>
      </c>
      <c r="H199" s="9" t="s">
        <v>35</v>
      </c>
      <c r="I199" s="7" t="str">
        <f t="shared" si="12"/>
        <v>61001002000</v>
      </c>
      <c r="J199" s="7" t="str">
        <f t="shared" si="13"/>
        <v>Материал по ЕГРН</v>
      </c>
      <c r="K199" s="7">
        <f>VLOOKUP(J199,Лист2!A$2:B$4,2,FALSE)</f>
        <v>792</v>
      </c>
      <c r="L199" s="7" t="str">
        <f t="shared" si="14"/>
        <v>ГОТОВ_ИЗМЕНЕН</v>
      </c>
      <c r="M199" s="7">
        <f t="shared" si="15"/>
        <v>0</v>
      </c>
    </row>
    <row r="200" spans="1:13" x14ac:dyDescent="0.25">
      <c r="A200" s="1">
        <v>944277</v>
      </c>
      <c r="B200" s="6" t="s">
        <v>266</v>
      </c>
      <c r="F200" s="6" t="s">
        <v>9</v>
      </c>
      <c r="G200" s="6" t="s">
        <v>59</v>
      </c>
      <c r="H200" s="9" t="s">
        <v>60</v>
      </c>
      <c r="I200" s="7" t="str">
        <f t="shared" si="12"/>
        <v>61001001001</v>
      </c>
      <c r="J200" s="7" t="str">
        <f t="shared" si="13"/>
        <v>Материал по ЕГРН</v>
      </c>
      <c r="K200" s="7">
        <f>VLOOKUP(J200,Лист2!A$2:B$4,2,FALSE)</f>
        <v>792</v>
      </c>
      <c r="L200" s="7" t="str">
        <f t="shared" si="14"/>
        <v>ГОТОВ_ИЗМЕНЕН</v>
      </c>
      <c r="M200" s="7">
        <f t="shared" si="15"/>
        <v>0</v>
      </c>
    </row>
    <row r="201" spans="1:13" x14ac:dyDescent="0.25">
      <c r="A201" s="1">
        <v>215892</v>
      </c>
      <c r="B201" s="6" t="s">
        <v>267</v>
      </c>
      <c r="C201" s="9" t="s">
        <v>33</v>
      </c>
      <c r="D201" s="6" t="s">
        <v>20</v>
      </c>
      <c r="E201" s="6" t="s">
        <v>8</v>
      </c>
      <c r="F201" s="6" t="s">
        <v>9</v>
      </c>
      <c r="G201" s="6" t="s">
        <v>10</v>
      </c>
      <c r="H201" s="9" t="s">
        <v>11</v>
      </c>
      <c r="I201" s="7" t="str">
        <f t="shared" si="12"/>
        <v>61001003000</v>
      </c>
      <c r="J201" s="7" t="str">
        <f t="shared" si="13"/>
        <v>Материал по ЕГРН</v>
      </c>
      <c r="K201" s="7">
        <f>VLOOKUP(J201,Лист2!A$2:B$4,2,FALSE)</f>
        <v>792</v>
      </c>
      <c r="L201" s="7" t="str">
        <f t="shared" si="14"/>
        <v>ГОТОВ_ИЗМЕНЕН</v>
      </c>
      <c r="M201" s="7" t="str">
        <f t="shared" si="15"/>
        <v>61001005000</v>
      </c>
    </row>
    <row r="202" spans="1:13" x14ac:dyDescent="0.25">
      <c r="A202" s="1">
        <v>378803</v>
      </c>
      <c r="B202" s="6" t="s">
        <v>268</v>
      </c>
      <c r="C202" s="9" t="s">
        <v>60</v>
      </c>
      <c r="D202" s="6" t="s">
        <v>20</v>
      </c>
      <c r="E202" s="6" t="s">
        <v>37</v>
      </c>
      <c r="F202" s="6" t="s">
        <v>9</v>
      </c>
      <c r="G202" s="6" t="s">
        <v>59</v>
      </c>
      <c r="H202" s="9" t="s">
        <v>60</v>
      </c>
      <c r="I202" s="7" t="str">
        <f t="shared" si="12"/>
        <v>61001001001</v>
      </c>
      <c r="J202" s="7" t="str">
        <f t="shared" si="13"/>
        <v>Материал по ЕГРН</v>
      </c>
      <c r="K202" s="7">
        <f>VLOOKUP(J202,Лист2!A$2:B$4,2,FALSE)</f>
        <v>792</v>
      </c>
      <c r="L202" s="7" t="str">
        <f t="shared" si="14"/>
        <v>ГОТОВ</v>
      </c>
      <c r="M202" s="7" t="str">
        <f t="shared" si="15"/>
        <v>61001001001</v>
      </c>
    </row>
    <row r="203" spans="1:13" x14ac:dyDescent="0.25">
      <c r="A203" s="1">
        <v>787983</v>
      </c>
      <c r="B203" s="6" t="s">
        <v>269</v>
      </c>
      <c r="C203" s="9" t="s">
        <v>33</v>
      </c>
      <c r="D203" s="6" t="s">
        <v>20</v>
      </c>
      <c r="E203" s="6" t="s">
        <v>37</v>
      </c>
      <c r="F203" s="6" t="s">
        <v>9</v>
      </c>
      <c r="G203" s="6" t="s">
        <v>38</v>
      </c>
      <c r="H203" s="9" t="s">
        <v>33</v>
      </c>
      <c r="I203" s="7" t="str">
        <f t="shared" si="12"/>
        <v>61001005000</v>
      </c>
      <c r="J203" s="7" t="str">
        <f t="shared" si="13"/>
        <v>Материал по ЕГРН</v>
      </c>
      <c r="K203" s="7">
        <f>VLOOKUP(J203,Лист2!A$2:B$4,2,FALSE)</f>
        <v>792</v>
      </c>
      <c r="L203" s="7" t="str">
        <f t="shared" si="14"/>
        <v>ГОТОВ</v>
      </c>
      <c r="M203" s="7" t="str">
        <f t="shared" si="15"/>
        <v>61001005000</v>
      </c>
    </row>
    <row r="204" spans="1:13" x14ac:dyDescent="0.25">
      <c r="A204" s="1">
        <v>945782</v>
      </c>
      <c r="B204" s="6" t="s">
        <v>270</v>
      </c>
      <c r="F204" s="6" t="s">
        <v>9</v>
      </c>
      <c r="G204" s="6" t="s">
        <v>38</v>
      </c>
      <c r="H204" s="9" t="s">
        <v>33</v>
      </c>
      <c r="I204" s="7" t="str">
        <f t="shared" si="12"/>
        <v>61001005000</v>
      </c>
      <c r="J204" s="7" t="str">
        <f t="shared" si="13"/>
        <v>Материал по ЕГРН</v>
      </c>
      <c r="K204" s="7">
        <f>VLOOKUP(J204,Лист2!A$2:B$4,2,FALSE)</f>
        <v>792</v>
      </c>
      <c r="L204" s="7" t="str">
        <f t="shared" si="14"/>
        <v>ГОТОВ_ИЗМЕНЕН</v>
      </c>
      <c r="M204" s="7">
        <f t="shared" si="15"/>
        <v>0</v>
      </c>
    </row>
    <row r="205" spans="1:13" x14ac:dyDescent="0.25">
      <c r="A205" s="1">
        <v>945794</v>
      </c>
      <c r="B205" s="6" t="s">
        <v>271</v>
      </c>
      <c r="F205" s="6" t="s">
        <v>9</v>
      </c>
      <c r="G205" s="6" t="s">
        <v>34</v>
      </c>
      <c r="H205" s="9" t="s">
        <v>35</v>
      </c>
      <c r="I205" s="7" t="str">
        <f t="shared" si="12"/>
        <v>61001002000</v>
      </c>
      <c r="J205" s="7" t="str">
        <f t="shared" si="13"/>
        <v>Материал по ЕГРН</v>
      </c>
      <c r="K205" s="7">
        <f>VLOOKUP(J205,Лист2!A$2:B$4,2,FALSE)</f>
        <v>792</v>
      </c>
      <c r="L205" s="7" t="str">
        <f t="shared" si="14"/>
        <v>ГОТОВ_ИЗМЕНЕН</v>
      </c>
      <c r="M205" s="7">
        <f t="shared" si="15"/>
        <v>0</v>
      </c>
    </row>
    <row r="206" spans="1:13" x14ac:dyDescent="0.25">
      <c r="A206" s="1">
        <v>945806</v>
      </c>
      <c r="B206" s="6" t="s">
        <v>272</v>
      </c>
      <c r="F206" s="6" t="s">
        <v>9</v>
      </c>
      <c r="G206" s="6" t="s">
        <v>34</v>
      </c>
      <c r="H206" s="9" t="s">
        <v>35</v>
      </c>
      <c r="I206" s="7" t="str">
        <f t="shared" si="12"/>
        <v>61001002000</v>
      </c>
      <c r="J206" s="7" t="str">
        <f t="shared" si="13"/>
        <v>Материал по ЕГРН</v>
      </c>
      <c r="K206" s="7">
        <f>VLOOKUP(J206,Лист2!A$2:B$4,2,FALSE)</f>
        <v>792</v>
      </c>
      <c r="L206" s="7" t="str">
        <f t="shared" si="14"/>
        <v>ГОТОВ_ИЗМЕНЕН</v>
      </c>
      <c r="M206" s="7">
        <f t="shared" si="15"/>
        <v>0</v>
      </c>
    </row>
    <row r="207" spans="1:13" x14ac:dyDescent="0.25">
      <c r="A207" s="1">
        <v>945818</v>
      </c>
      <c r="B207" s="6" t="s">
        <v>273</v>
      </c>
      <c r="F207" s="6" t="s">
        <v>9</v>
      </c>
      <c r="G207" s="6" t="s">
        <v>73</v>
      </c>
      <c r="H207" s="9" t="s">
        <v>74</v>
      </c>
      <c r="I207" s="7" t="str">
        <f t="shared" si="12"/>
        <v>61001006000</v>
      </c>
      <c r="J207" s="7" t="str">
        <f t="shared" si="13"/>
        <v>Материал по ЕГРН</v>
      </c>
      <c r="K207" s="7">
        <f>VLOOKUP(J207,Лист2!A$2:B$4,2,FALSE)</f>
        <v>792</v>
      </c>
      <c r="L207" s="7" t="str">
        <f t="shared" si="14"/>
        <v>ГОТОВ_ИЗМЕНЕН</v>
      </c>
      <c r="M207" s="7">
        <f t="shared" si="15"/>
        <v>0</v>
      </c>
    </row>
    <row r="208" spans="1:13" x14ac:dyDescent="0.25">
      <c r="A208" s="1">
        <v>154591</v>
      </c>
      <c r="B208" s="6" t="s">
        <v>274</v>
      </c>
      <c r="C208" s="9" t="s">
        <v>110</v>
      </c>
      <c r="D208" s="6" t="s">
        <v>20</v>
      </c>
      <c r="E208" s="6" t="s">
        <v>37</v>
      </c>
      <c r="F208" s="6" t="s">
        <v>9</v>
      </c>
      <c r="G208" s="6" t="s">
        <v>111</v>
      </c>
      <c r="H208" s="9" t="s">
        <v>110</v>
      </c>
      <c r="I208" s="7" t="str">
        <f t="shared" si="12"/>
        <v>61001007001</v>
      </c>
      <c r="J208" s="7" t="str">
        <f t="shared" si="13"/>
        <v>Материал по ЕГРН</v>
      </c>
      <c r="K208" s="7">
        <f>VLOOKUP(J208,Лист2!A$2:B$4,2,FALSE)</f>
        <v>792</v>
      </c>
      <c r="L208" s="7" t="str">
        <f t="shared" si="14"/>
        <v>ГОТОВ</v>
      </c>
      <c r="M208" s="7" t="str">
        <f t="shared" si="15"/>
        <v>61001007001</v>
      </c>
    </row>
    <row r="209" spans="1:13" x14ac:dyDescent="0.25">
      <c r="A209" s="1">
        <v>440973</v>
      </c>
      <c r="B209" s="6" t="s">
        <v>275</v>
      </c>
      <c r="C209" s="9" t="s">
        <v>11</v>
      </c>
      <c r="D209" s="6" t="s">
        <v>20</v>
      </c>
      <c r="E209" s="6" t="s">
        <v>37</v>
      </c>
      <c r="F209" s="6" t="s">
        <v>9</v>
      </c>
      <c r="G209" s="6" t="s">
        <v>10</v>
      </c>
      <c r="H209" s="9" t="s">
        <v>11</v>
      </c>
      <c r="I209" s="7" t="str">
        <f t="shared" si="12"/>
        <v>61001003000</v>
      </c>
      <c r="J209" s="7" t="str">
        <f t="shared" si="13"/>
        <v>Материал по ЕГРН</v>
      </c>
      <c r="K209" s="7">
        <f>VLOOKUP(J209,Лист2!A$2:B$4,2,FALSE)</f>
        <v>792</v>
      </c>
      <c r="L209" s="7" t="str">
        <f t="shared" si="14"/>
        <v>ГОТОВ</v>
      </c>
      <c r="M209" s="7" t="str">
        <f t="shared" si="15"/>
        <v>61001003000</v>
      </c>
    </row>
    <row r="210" spans="1:13" x14ac:dyDescent="0.25">
      <c r="A210" s="1">
        <v>515733</v>
      </c>
      <c r="B210" s="6" t="s">
        <v>276</v>
      </c>
      <c r="C210" s="9" t="s">
        <v>33</v>
      </c>
      <c r="D210" s="6" t="s">
        <v>20</v>
      </c>
      <c r="E210" s="6" t="s">
        <v>37</v>
      </c>
      <c r="F210" s="6" t="s">
        <v>9</v>
      </c>
      <c r="G210" s="6" t="s">
        <v>38</v>
      </c>
      <c r="H210" s="9" t="s">
        <v>33</v>
      </c>
      <c r="I210" s="7" t="str">
        <f t="shared" si="12"/>
        <v>61001005000</v>
      </c>
      <c r="J210" s="7" t="str">
        <f t="shared" si="13"/>
        <v>Материал по ЕГРН</v>
      </c>
      <c r="K210" s="7">
        <f>VLOOKUP(J210,Лист2!A$2:B$4,2,FALSE)</f>
        <v>792</v>
      </c>
      <c r="L210" s="7" t="str">
        <f t="shared" si="14"/>
        <v>ГОТОВ</v>
      </c>
      <c r="M210" s="7" t="str">
        <f t="shared" si="15"/>
        <v>61001005000</v>
      </c>
    </row>
    <row r="211" spans="1:13" x14ac:dyDescent="0.25">
      <c r="A211" s="1">
        <v>530978</v>
      </c>
      <c r="B211" s="6" t="s">
        <v>277</v>
      </c>
      <c r="C211" s="9" t="s">
        <v>42</v>
      </c>
      <c r="D211" s="6" t="s">
        <v>20</v>
      </c>
      <c r="E211" s="6" t="s">
        <v>37</v>
      </c>
      <c r="F211" s="6" t="s">
        <v>9</v>
      </c>
      <c r="G211" s="6" t="s">
        <v>43</v>
      </c>
      <c r="H211" s="9" t="s">
        <v>42</v>
      </c>
      <c r="I211" s="7" t="str">
        <f t="shared" si="12"/>
        <v>61001002001</v>
      </c>
      <c r="J211" s="7" t="str">
        <f t="shared" si="13"/>
        <v>Материал по ЕГРН</v>
      </c>
      <c r="K211" s="7">
        <f>VLOOKUP(J211,Лист2!A$2:B$4,2,FALSE)</f>
        <v>792</v>
      </c>
      <c r="L211" s="7" t="str">
        <f t="shared" si="14"/>
        <v>ГОТОВ</v>
      </c>
      <c r="M211" s="7" t="str">
        <f t="shared" si="15"/>
        <v>61001002001</v>
      </c>
    </row>
    <row r="212" spans="1:13" x14ac:dyDescent="0.25">
      <c r="A212" s="1">
        <v>534338</v>
      </c>
      <c r="B212" s="6" t="s">
        <v>278</v>
      </c>
      <c r="C212" s="9" t="s">
        <v>33</v>
      </c>
      <c r="D212" s="6" t="s">
        <v>20</v>
      </c>
      <c r="E212" s="6" t="s">
        <v>37</v>
      </c>
      <c r="F212" s="6" t="s">
        <v>9</v>
      </c>
      <c r="G212" s="6" t="s">
        <v>38</v>
      </c>
      <c r="H212" s="9" t="s">
        <v>33</v>
      </c>
      <c r="I212" s="7" t="str">
        <f t="shared" si="12"/>
        <v>61001005000</v>
      </c>
      <c r="J212" s="7" t="str">
        <f t="shared" si="13"/>
        <v>Материал по ЕГРН</v>
      </c>
      <c r="K212" s="7">
        <f>VLOOKUP(J212,Лист2!A$2:B$4,2,FALSE)</f>
        <v>792</v>
      </c>
      <c r="L212" s="7" t="str">
        <f t="shared" si="14"/>
        <v>ГОТОВ</v>
      </c>
      <c r="M212" s="7" t="str">
        <f t="shared" si="15"/>
        <v>61001005000</v>
      </c>
    </row>
    <row r="213" spans="1:13" x14ac:dyDescent="0.25">
      <c r="A213" s="1">
        <v>787186</v>
      </c>
      <c r="B213" s="6" t="s">
        <v>279</v>
      </c>
      <c r="C213" s="9" t="s">
        <v>33</v>
      </c>
      <c r="D213" s="6" t="s">
        <v>20</v>
      </c>
      <c r="E213" s="6" t="s">
        <v>37</v>
      </c>
      <c r="F213" s="6" t="s">
        <v>9</v>
      </c>
      <c r="G213" s="6" t="s">
        <v>38</v>
      </c>
      <c r="H213" s="9" t="s">
        <v>33</v>
      </c>
      <c r="I213" s="7" t="str">
        <f t="shared" si="12"/>
        <v>61001005000</v>
      </c>
      <c r="J213" s="7" t="str">
        <f t="shared" si="13"/>
        <v>Материал по ЕГРН</v>
      </c>
      <c r="K213" s="7">
        <f>VLOOKUP(J213,Лист2!A$2:B$4,2,FALSE)</f>
        <v>792</v>
      </c>
      <c r="L213" s="7" t="str">
        <f t="shared" si="14"/>
        <v>ГОТОВ</v>
      </c>
      <c r="M213" s="7" t="str">
        <f t="shared" si="15"/>
        <v>61001005000</v>
      </c>
    </row>
    <row r="214" spans="1:13" x14ac:dyDescent="0.25">
      <c r="A214" s="1">
        <v>246568</v>
      </c>
      <c r="B214" s="6" t="s">
        <v>280</v>
      </c>
      <c r="C214" s="9" t="s">
        <v>33</v>
      </c>
      <c r="D214" s="6" t="s">
        <v>20</v>
      </c>
      <c r="E214" s="6" t="s">
        <v>8</v>
      </c>
      <c r="F214" s="6" t="s">
        <v>9</v>
      </c>
      <c r="G214" s="6" t="s">
        <v>34</v>
      </c>
      <c r="H214" s="9" t="s">
        <v>35</v>
      </c>
      <c r="I214" s="7" t="str">
        <f t="shared" si="12"/>
        <v>61001002000</v>
      </c>
      <c r="J214" s="7" t="str">
        <f t="shared" si="13"/>
        <v>Материал по ЕГРН</v>
      </c>
      <c r="K214" s="7">
        <f>VLOOKUP(J214,Лист2!A$2:B$4,2,FALSE)</f>
        <v>792</v>
      </c>
      <c r="L214" s="7" t="str">
        <f t="shared" si="14"/>
        <v>ГОТОВ_ИЗМЕНЕН</v>
      </c>
      <c r="M214" s="7" t="str">
        <f t="shared" si="15"/>
        <v>61001005000</v>
      </c>
    </row>
    <row r="215" spans="1:13" x14ac:dyDescent="0.25">
      <c r="A215" s="1">
        <v>382342</v>
      </c>
      <c r="B215" s="6" t="s">
        <v>281</v>
      </c>
      <c r="C215" s="9" t="s">
        <v>33</v>
      </c>
      <c r="D215" s="6" t="s">
        <v>20</v>
      </c>
      <c r="E215" s="6" t="s">
        <v>37</v>
      </c>
      <c r="F215" s="6" t="s">
        <v>9</v>
      </c>
      <c r="G215" s="6" t="s">
        <v>38</v>
      </c>
      <c r="H215" s="9" t="s">
        <v>33</v>
      </c>
      <c r="I215" s="7" t="str">
        <f t="shared" si="12"/>
        <v>61001005000</v>
      </c>
      <c r="J215" s="7" t="str">
        <f t="shared" si="13"/>
        <v>Материал по ЕГРН</v>
      </c>
      <c r="K215" s="7">
        <f>VLOOKUP(J215,Лист2!A$2:B$4,2,FALSE)</f>
        <v>792</v>
      </c>
      <c r="L215" s="7" t="str">
        <f t="shared" si="14"/>
        <v>ГОТОВ</v>
      </c>
      <c r="M215" s="7" t="str">
        <f t="shared" si="15"/>
        <v>61001005000</v>
      </c>
    </row>
    <row r="216" spans="1:13" x14ac:dyDescent="0.25">
      <c r="A216" s="1">
        <v>591887</v>
      </c>
      <c r="B216" s="6" t="s">
        <v>282</v>
      </c>
      <c r="C216" s="9" t="s">
        <v>33</v>
      </c>
      <c r="D216" s="6" t="s">
        <v>20</v>
      </c>
      <c r="E216" s="6" t="s">
        <v>37</v>
      </c>
      <c r="F216" s="6" t="s">
        <v>9</v>
      </c>
      <c r="G216" s="6" t="s">
        <v>38</v>
      </c>
      <c r="H216" s="9" t="s">
        <v>33</v>
      </c>
      <c r="I216" s="7" t="str">
        <f t="shared" si="12"/>
        <v>61001005000</v>
      </c>
      <c r="J216" s="7" t="str">
        <f t="shared" si="13"/>
        <v>Материал по ЕГРН</v>
      </c>
      <c r="K216" s="7">
        <f>VLOOKUP(J216,Лист2!A$2:B$4,2,FALSE)</f>
        <v>792</v>
      </c>
      <c r="L216" s="7" t="str">
        <f t="shared" si="14"/>
        <v>ГОТОВ</v>
      </c>
      <c r="M216" s="7" t="str">
        <f t="shared" si="15"/>
        <v>61001005000</v>
      </c>
    </row>
    <row r="217" spans="1:13" x14ac:dyDescent="0.25">
      <c r="A217" s="1">
        <v>178246</v>
      </c>
      <c r="B217" s="6" t="s">
        <v>283</v>
      </c>
      <c r="C217" s="9" t="s">
        <v>33</v>
      </c>
      <c r="D217" s="6" t="s">
        <v>20</v>
      </c>
      <c r="E217" s="6" t="s">
        <v>37</v>
      </c>
      <c r="F217" s="6" t="s">
        <v>9</v>
      </c>
      <c r="G217" s="6" t="s">
        <v>38</v>
      </c>
      <c r="H217" s="9" t="s">
        <v>33</v>
      </c>
      <c r="I217" s="7" t="str">
        <f t="shared" si="12"/>
        <v>61001005000</v>
      </c>
      <c r="J217" s="7" t="str">
        <f t="shared" si="13"/>
        <v>Материал по ЕГРН</v>
      </c>
      <c r="K217" s="7">
        <f>VLOOKUP(J217,Лист2!A$2:B$4,2,FALSE)</f>
        <v>792</v>
      </c>
      <c r="L217" s="7" t="str">
        <f t="shared" si="14"/>
        <v>ГОТОВ</v>
      </c>
      <c r="M217" s="7" t="str">
        <f t="shared" si="15"/>
        <v>61001005000</v>
      </c>
    </row>
    <row r="218" spans="1:13" x14ac:dyDescent="0.25">
      <c r="A218" s="1">
        <v>375474</v>
      </c>
      <c r="B218" s="6" t="s">
        <v>284</v>
      </c>
      <c r="C218" s="9" t="s">
        <v>12</v>
      </c>
      <c r="D218" s="6" t="s">
        <v>20</v>
      </c>
      <c r="E218" s="6" t="s">
        <v>37</v>
      </c>
      <c r="F218" s="6" t="s">
        <v>9</v>
      </c>
      <c r="G218" s="6" t="s">
        <v>90</v>
      </c>
      <c r="H218" s="9" t="s">
        <v>12</v>
      </c>
      <c r="I218" s="7" t="str">
        <f t="shared" si="12"/>
        <v>61001008000</v>
      </c>
      <c r="J218" s="7" t="str">
        <f t="shared" si="13"/>
        <v>Материал по ЕГРН</v>
      </c>
      <c r="K218" s="7">
        <f>VLOOKUP(J218,Лист2!A$2:B$4,2,FALSE)</f>
        <v>792</v>
      </c>
      <c r="L218" s="7" t="str">
        <f t="shared" si="14"/>
        <v>ГОТОВ</v>
      </c>
      <c r="M218" s="7" t="str">
        <f t="shared" si="15"/>
        <v>61001008000</v>
      </c>
    </row>
    <row r="219" spans="1:13" x14ac:dyDescent="0.25">
      <c r="A219" s="1">
        <v>787499</v>
      </c>
      <c r="B219" s="6" t="s">
        <v>285</v>
      </c>
      <c r="C219" s="9" t="s">
        <v>33</v>
      </c>
      <c r="D219" s="6" t="s">
        <v>20</v>
      </c>
      <c r="E219" s="6" t="s">
        <v>37</v>
      </c>
      <c r="F219" s="6" t="s">
        <v>9</v>
      </c>
      <c r="G219" s="6" t="s">
        <v>38</v>
      </c>
      <c r="H219" s="9" t="s">
        <v>33</v>
      </c>
      <c r="I219" s="7" t="str">
        <f t="shared" si="12"/>
        <v>61001005000</v>
      </c>
      <c r="J219" s="7" t="str">
        <f t="shared" si="13"/>
        <v>Материал по ЕГРН</v>
      </c>
      <c r="K219" s="7">
        <f>VLOOKUP(J219,Лист2!A$2:B$4,2,FALSE)</f>
        <v>792</v>
      </c>
      <c r="L219" s="7" t="str">
        <f t="shared" si="14"/>
        <v>ГОТОВ</v>
      </c>
      <c r="M219" s="7" t="str">
        <f t="shared" si="15"/>
        <v>61001005000</v>
      </c>
    </row>
    <row r="220" spans="1:13" x14ac:dyDescent="0.25">
      <c r="A220" s="1">
        <v>787677</v>
      </c>
      <c r="B220" s="6" t="s">
        <v>286</v>
      </c>
      <c r="C220" s="9" t="s">
        <v>33</v>
      </c>
      <c r="D220" s="6" t="s">
        <v>20</v>
      </c>
      <c r="E220" s="6" t="s">
        <v>37</v>
      </c>
      <c r="F220" s="6" t="s">
        <v>9</v>
      </c>
      <c r="G220" s="6" t="s">
        <v>38</v>
      </c>
      <c r="H220" s="9" t="s">
        <v>33</v>
      </c>
      <c r="I220" s="7" t="str">
        <f t="shared" si="12"/>
        <v>61001005000</v>
      </c>
      <c r="J220" s="7" t="str">
        <f t="shared" si="13"/>
        <v>Материал по ЕГРН</v>
      </c>
      <c r="K220" s="7">
        <f>VLOOKUP(J220,Лист2!A$2:B$4,2,FALSE)</f>
        <v>792</v>
      </c>
      <c r="L220" s="7" t="str">
        <f t="shared" si="14"/>
        <v>ГОТОВ</v>
      </c>
      <c r="M220" s="7" t="str">
        <f t="shared" si="15"/>
        <v>61001005000</v>
      </c>
    </row>
    <row r="221" spans="1:13" x14ac:dyDescent="0.25">
      <c r="A221" s="1">
        <v>943422</v>
      </c>
      <c r="B221" s="6" t="s">
        <v>287</v>
      </c>
      <c r="F221" s="6" t="s">
        <v>9</v>
      </c>
      <c r="G221" s="6" t="s">
        <v>34</v>
      </c>
      <c r="H221" s="9" t="s">
        <v>35</v>
      </c>
      <c r="I221" s="7" t="str">
        <f t="shared" si="12"/>
        <v>61001002000</v>
      </c>
      <c r="J221" s="7" t="str">
        <f t="shared" si="13"/>
        <v>Материал по ЕГРН</v>
      </c>
      <c r="K221" s="7">
        <f>VLOOKUP(J221,Лист2!A$2:B$4,2,FALSE)</f>
        <v>792</v>
      </c>
      <c r="L221" s="7" t="str">
        <f t="shared" si="14"/>
        <v>ГОТОВ_ИЗМЕНЕН</v>
      </c>
      <c r="M221" s="7">
        <f t="shared" si="15"/>
        <v>0</v>
      </c>
    </row>
    <row r="222" spans="1:13" x14ac:dyDescent="0.25">
      <c r="A222" s="1">
        <v>943434</v>
      </c>
      <c r="B222" s="6" t="s">
        <v>288</v>
      </c>
      <c r="F222" s="6" t="s">
        <v>9</v>
      </c>
      <c r="G222" s="6" t="s">
        <v>34</v>
      </c>
      <c r="H222" s="9" t="s">
        <v>35</v>
      </c>
      <c r="I222" s="7" t="str">
        <f t="shared" si="12"/>
        <v>61001002000</v>
      </c>
      <c r="J222" s="7" t="str">
        <f t="shared" si="13"/>
        <v>Материал по ЕГРН</v>
      </c>
      <c r="K222" s="7">
        <f>VLOOKUP(J222,Лист2!A$2:B$4,2,FALSE)</f>
        <v>792</v>
      </c>
      <c r="L222" s="7" t="str">
        <f t="shared" si="14"/>
        <v>ГОТОВ_ИЗМЕНЕН</v>
      </c>
      <c r="M222" s="7">
        <f t="shared" si="15"/>
        <v>0</v>
      </c>
    </row>
    <row r="223" spans="1:13" x14ac:dyDescent="0.25">
      <c r="A223" s="1">
        <v>943446</v>
      </c>
      <c r="B223" s="6" t="s">
        <v>289</v>
      </c>
      <c r="F223" s="6" t="s">
        <v>9</v>
      </c>
      <c r="G223" s="6" t="s">
        <v>290</v>
      </c>
      <c r="H223" s="9" t="s">
        <v>291</v>
      </c>
      <c r="I223" s="7" t="str">
        <f t="shared" si="12"/>
        <v>61001003000</v>
      </c>
      <c r="J223" s="7" t="str">
        <f t="shared" si="13"/>
        <v>Смешанные по допущению</v>
      </c>
      <c r="K223" s="7">
        <f>VLOOKUP(J223,Лист2!A$2:B$4,2,FALSE)</f>
        <v>793</v>
      </c>
      <c r="L223" s="7" t="str">
        <f t="shared" si="14"/>
        <v>ГОТОВ_ИЗМЕНЕН</v>
      </c>
      <c r="M223" s="7">
        <f t="shared" si="15"/>
        <v>0</v>
      </c>
    </row>
    <row r="224" spans="1:13" x14ac:dyDescent="0.25">
      <c r="A224" s="1">
        <v>943458</v>
      </c>
      <c r="B224" s="6" t="s">
        <v>292</v>
      </c>
      <c r="F224" s="6" t="s">
        <v>9</v>
      </c>
      <c r="G224" s="6" t="s">
        <v>10</v>
      </c>
      <c r="H224" s="9" t="s">
        <v>11</v>
      </c>
      <c r="I224" s="7" t="str">
        <f t="shared" si="12"/>
        <v>61001003000</v>
      </c>
      <c r="J224" s="7" t="str">
        <f t="shared" si="13"/>
        <v>Материал по ЕГРН</v>
      </c>
      <c r="K224" s="7">
        <f>VLOOKUP(J224,Лист2!A$2:B$4,2,FALSE)</f>
        <v>792</v>
      </c>
      <c r="L224" s="7" t="str">
        <f t="shared" si="14"/>
        <v>ГОТОВ_ИЗМЕНЕН</v>
      </c>
      <c r="M224" s="7">
        <f t="shared" si="15"/>
        <v>0</v>
      </c>
    </row>
    <row r="225" spans="1:13" x14ac:dyDescent="0.25">
      <c r="A225" s="1">
        <v>943470</v>
      </c>
      <c r="B225" s="6" t="s">
        <v>293</v>
      </c>
      <c r="F225" s="6" t="s">
        <v>9</v>
      </c>
      <c r="G225" s="6" t="s">
        <v>38</v>
      </c>
      <c r="H225" s="9" t="s">
        <v>33</v>
      </c>
      <c r="I225" s="7" t="str">
        <f t="shared" si="12"/>
        <v>61001005000</v>
      </c>
      <c r="J225" s="7" t="str">
        <f t="shared" si="13"/>
        <v>Материал по ЕГРН</v>
      </c>
      <c r="K225" s="7">
        <f>VLOOKUP(J225,Лист2!A$2:B$4,2,FALSE)</f>
        <v>792</v>
      </c>
      <c r="L225" s="7" t="str">
        <f t="shared" si="14"/>
        <v>ГОТОВ_ИЗМЕНЕН</v>
      </c>
      <c r="M225" s="7">
        <f t="shared" si="15"/>
        <v>0</v>
      </c>
    </row>
    <row r="226" spans="1:13" x14ac:dyDescent="0.25">
      <c r="A226" s="1">
        <v>943482</v>
      </c>
      <c r="B226" s="6" t="s">
        <v>294</v>
      </c>
      <c r="F226" s="6" t="s">
        <v>9</v>
      </c>
      <c r="G226" s="6" t="s">
        <v>59</v>
      </c>
      <c r="H226" s="9" t="s">
        <v>60</v>
      </c>
      <c r="I226" s="7" t="str">
        <f t="shared" si="12"/>
        <v>61001001001</v>
      </c>
      <c r="J226" s="7" t="str">
        <f t="shared" si="13"/>
        <v>Материал по ЕГРН</v>
      </c>
      <c r="K226" s="7">
        <f>VLOOKUP(J226,Лист2!A$2:B$4,2,FALSE)</f>
        <v>792</v>
      </c>
      <c r="L226" s="7" t="str">
        <f t="shared" si="14"/>
        <v>ГОТОВ_ИЗМЕНЕН</v>
      </c>
      <c r="M226" s="7">
        <f t="shared" si="15"/>
        <v>0</v>
      </c>
    </row>
    <row r="227" spans="1:13" x14ac:dyDescent="0.25">
      <c r="A227" s="1">
        <v>943494</v>
      </c>
      <c r="B227" s="6" t="s">
        <v>295</v>
      </c>
      <c r="F227" s="6" t="s">
        <v>9</v>
      </c>
      <c r="G227" s="6" t="s">
        <v>59</v>
      </c>
      <c r="H227" s="9" t="s">
        <v>60</v>
      </c>
      <c r="I227" s="7" t="str">
        <f t="shared" si="12"/>
        <v>61001001001</v>
      </c>
      <c r="J227" s="7" t="str">
        <f t="shared" si="13"/>
        <v>Материал по ЕГРН</v>
      </c>
      <c r="K227" s="7">
        <f>VLOOKUP(J227,Лист2!A$2:B$4,2,FALSE)</f>
        <v>792</v>
      </c>
      <c r="L227" s="7" t="str">
        <f t="shared" si="14"/>
        <v>ГОТОВ_ИЗМЕНЕН</v>
      </c>
      <c r="M227" s="7">
        <f t="shared" si="15"/>
        <v>0</v>
      </c>
    </row>
    <row r="228" spans="1:13" x14ac:dyDescent="0.25">
      <c r="A228" s="1">
        <v>943506</v>
      </c>
      <c r="B228" s="6" t="s">
        <v>296</v>
      </c>
      <c r="F228" s="6" t="s">
        <v>9</v>
      </c>
      <c r="G228" s="6" t="s">
        <v>38</v>
      </c>
      <c r="H228" s="9" t="s">
        <v>33</v>
      </c>
      <c r="I228" s="7" t="str">
        <f t="shared" si="12"/>
        <v>61001005000</v>
      </c>
      <c r="J228" s="7" t="str">
        <f t="shared" si="13"/>
        <v>Материал по ЕГРН</v>
      </c>
      <c r="K228" s="7">
        <f>VLOOKUP(J228,Лист2!A$2:B$4,2,FALSE)</f>
        <v>792</v>
      </c>
      <c r="L228" s="7" t="str">
        <f t="shared" si="14"/>
        <v>ГОТОВ_ИЗМЕНЕН</v>
      </c>
      <c r="M228" s="7">
        <f t="shared" si="15"/>
        <v>0</v>
      </c>
    </row>
    <row r="229" spans="1:13" x14ac:dyDescent="0.25">
      <c r="A229" s="1">
        <v>943518</v>
      </c>
      <c r="B229" s="6" t="s">
        <v>297</v>
      </c>
      <c r="F229" s="6" t="s">
        <v>9</v>
      </c>
      <c r="G229" s="6" t="s">
        <v>38</v>
      </c>
      <c r="H229" s="9" t="s">
        <v>33</v>
      </c>
      <c r="I229" s="7" t="str">
        <f t="shared" si="12"/>
        <v>61001005000</v>
      </c>
      <c r="J229" s="7" t="str">
        <f t="shared" si="13"/>
        <v>Материал по ЕГРН</v>
      </c>
      <c r="K229" s="7">
        <f>VLOOKUP(J229,Лист2!A$2:B$4,2,FALSE)</f>
        <v>792</v>
      </c>
      <c r="L229" s="7" t="str">
        <f t="shared" si="14"/>
        <v>ГОТОВ_ИЗМЕНЕН</v>
      </c>
      <c r="M229" s="7">
        <f t="shared" si="15"/>
        <v>0</v>
      </c>
    </row>
    <row r="230" spans="1:13" x14ac:dyDescent="0.25">
      <c r="A230" s="1">
        <v>943530</v>
      </c>
      <c r="B230" s="6" t="s">
        <v>298</v>
      </c>
      <c r="F230" s="6" t="s">
        <v>9</v>
      </c>
      <c r="G230" s="6" t="s">
        <v>10</v>
      </c>
      <c r="H230" s="9" t="s">
        <v>11</v>
      </c>
      <c r="I230" s="7" t="str">
        <f t="shared" si="12"/>
        <v>61001003000</v>
      </c>
      <c r="J230" s="7" t="str">
        <f t="shared" si="13"/>
        <v>Материал по ЕГРН</v>
      </c>
      <c r="K230" s="7">
        <f>VLOOKUP(J230,Лист2!A$2:B$4,2,FALSE)</f>
        <v>792</v>
      </c>
      <c r="L230" s="7" t="str">
        <f t="shared" si="14"/>
        <v>ГОТОВ_ИЗМЕНЕН</v>
      </c>
      <c r="M230" s="7">
        <f t="shared" si="15"/>
        <v>0</v>
      </c>
    </row>
    <row r="231" spans="1:13" x14ac:dyDescent="0.25">
      <c r="A231" s="1">
        <v>943542</v>
      </c>
      <c r="B231" s="6" t="s">
        <v>299</v>
      </c>
      <c r="F231" s="6" t="s">
        <v>9</v>
      </c>
      <c r="G231" s="6" t="s">
        <v>38</v>
      </c>
      <c r="H231" s="9" t="s">
        <v>33</v>
      </c>
      <c r="I231" s="7" t="str">
        <f t="shared" si="12"/>
        <v>61001005000</v>
      </c>
      <c r="J231" s="7" t="str">
        <f t="shared" si="13"/>
        <v>Материал по ЕГРН</v>
      </c>
      <c r="K231" s="7">
        <f>VLOOKUP(J231,Лист2!A$2:B$4,2,FALSE)</f>
        <v>792</v>
      </c>
      <c r="L231" s="7" t="str">
        <f t="shared" si="14"/>
        <v>ГОТОВ_ИЗМЕНЕН</v>
      </c>
      <c r="M231" s="7">
        <f t="shared" si="15"/>
        <v>0</v>
      </c>
    </row>
    <row r="232" spans="1:13" x14ac:dyDescent="0.25">
      <c r="A232" s="1">
        <v>943554</v>
      </c>
      <c r="B232" s="6" t="s">
        <v>300</v>
      </c>
      <c r="F232" s="6" t="s">
        <v>9</v>
      </c>
      <c r="G232" s="6" t="s">
        <v>38</v>
      </c>
      <c r="H232" s="9" t="s">
        <v>33</v>
      </c>
      <c r="I232" s="7" t="str">
        <f t="shared" si="12"/>
        <v>61001005000</v>
      </c>
      <c r="J232" s="7" t="str">
        <f t="shared" si="13"/>
        <v>Материал по ЕГРН</v>
      </c>
      <c r="K232" s="7">
        <f>VLOOKUP(J232,Лист2!A$2:B$4,2,FALSE)</f>
        <v>792</v>
      </c>
      <c r="L232" s="7" t="str">
        <f t="shared" si="14"/>
        <v>ГОТОВ_ИЗМЕНЕН</v>
      </c>
      <c r="M232" s="7">
        <f t="shared" si="15"/>
        <v>0</v>
      </c>
    </row>
    <row r="233" spans="1:13" x14ac:dyDescent="0.25">
      <c r="A233" s="1">
        <v>943566</v>
      </c>
      <c r="B233" s="6" t="s">
        <v>301</v>
      </c>
      <c r="F233" s="6" t="s">
        <v>9</v>
      </c>
      <c r="G233" s="6" t="s">
        <v>34</v>
      </c>
      <c r="H233" s="9" t="s">
        <v>35</v>
      </c>
      <c r="I233" s="7" t="str">
        <f t="shared" si="12"/>
        <v>61001002000</v>
      </c>
      <c r="J233" s="7" t="str">
        <f t="shared" si="13"/>
        <v>Материал по ЕГРН</v>
      </c>
      <c r="K233" s="7">
        <f>VLOOKUP(J233,Лист2!A$2:B$4,2,FALSE)</f>
        <v>792</v>
      </c>
      <c r="L233" s="7" t="str">
        <f t="shared" si="14"/>
        <v>ГОТОВ_ИЗМЕНЕН</v>
      </c>
      <c r="M233" s="7">
        <f t="shared" si="15"/>
        <v>0</v>
      </c>
    </row>
    <row r="234" spans="1:13" x14ac:dyDescent="0.25">
      <c r="A234" s="1">
        <v>943578</v>
      </c>
      <c r="B234" s="6" t="s">
        <v>302</v>
      </c>
      <c r="F234" s="6" t="s">
        <v>9</v>
      </c>
      <c r="G234" s="6" t="s">
        <v>90</v>
      </c>
      <c r="H234" s="9" t="s">
        <v>12</v>
      </c>
      <c r="I234" s="7" t="str">
        <f t="shared" si="12"/>
        <v>61001008000</v>
      </c>
      <c r="J234" s="7" t="str">
        <f t="shared" si="13"/>
        <v>Материал по ЕГРН</v>
      </c>
      <c r="K234" s="7">
        <f>VLOOKUP(J234,Лист2!A$2:B$4,2,FALSE)</f>
        <v>792</v>
      </c>
      <c r="L234" s="7" t="str">
        <f t="shared" si="14"/>
        <v>ГОТОВ_ИЗМЕНЕН</v>
      </c>
      <c r="M234" s="7">
        <f t="shared" si="15"/>
        <v>0</v>
      </c>
    </row>
    <row r="235" spans="1:13" x14ac:dyDescent="0.25">
      <c r="A235" s="1">
        <v>943590</v>
      </c>
      <c r="B235" s="6" t="s">
        <v>303</v>
      </c>
      <c r="F235" s="6" t="s">
        <v>9</v>
      </c>
      <c r="G235" s="6" t="s">
        <v>170</v>
      </c>
      <c r="H235" s="9" t="s">
        <v>171</v>
      </c>
      <c r="I235" s="7" t="str">
        <f t="shared" si="12"/>
        <v>61001001000</v>
      </c>
      <c r="J235" s="7" t="str">
        <f t="shared" si="13"/>
        <v>Материал по ЕГРН</v>
      </c>
      <c r="K235" s="7">
        <f>VLOOKUP(J235,Лист2!A$2:B$4,2,FALSE)</f>
        <v>792</v>
      </c>
      <c r="L235" s="7" t="str">
        <f t="shared" si="14"/>
        <v>ГОТОВ_ИЗМЕНЕН</v>
      </c>
      <c r="M235" s="7">
        <f t="shared" si="15"/>
        <v>0</v>
      </c>
    </row>
    <row r="236" spans="1:13" x14ac:dyDescent="0.25">
      <c r="A236" s="1">
        <v>943602</v>
      </c>
      <c r="B236" s="6" t="s">
        <v>304</v>
      </c>
      <c r="F236" s="6" t="s">
        <v>9</v>
      </c>
      <c r="G236" s="6" t="s">
        <v>62</v>
      </c>
      <c r="H236" s="9" t="s">
        <v>63</v>
      </c>
      <c r="I236" s="7" t="str">
        <f t="shared" si="12"/>
        <v>61001006002</v>
      </c>
      <c r="J236" s="7" t="str">
        <f t="shared" si="13"/>
        <v>Материал по ЕГРН</v>
      </c>
      <c r="K236" s="7">
        <f>VLOOKUP(J236,Лист2!A$2:B$4,2,FALSE)</f>
        <v>792</v>
      </c>
      <c r="L236" s="7" t="str">
        <f t="shared" si="14"/>
        <v>ГОТОВ_ИЗМЕНЕН</v>
      </c>
      <c r="M236" s="7">
        <f t="shared" si="15"/>
        <v>0</v>
      </c>
    </row>
    <row r="237" spans="1:13" x14ac:dyDescent="0.25">
      <c r="A237" s="1">
        <v>943614</v>
      </c>
      <c r="B237" s="6" t="s">
        <v>305</v>
      </c>
      <c r="F237" s="6" t="s">
        <v>9</v>
      </c>
      <c r="G237" s="6" t="s">
        <v>306</v>
      </c>
      <c r="H237" s="9" t="s">
        <v>307</v>
      </c>
      <c r="I237" s="7" t="str">
        <f t="shared" si="12"/>
        <v>61001002002</v>
      </c>
      <c r="J237" s="7" t="str">
        <f t="shared" si="13"/>
        <v>Материал по ЕГРН</v>
      </c>
      <c r="K237" s="7">
        <f>VLOOKUP(J237,Лист2!A$2:B$4,2,FALSE)</f>
        <v>792</v>
      </c>
      <c r="L237" s="7" t="str">
        <f t="shared" si="14"/>
        <v>ГОТОВ_ИЗМЕНЕН</v>
      </c>
      <c r="M237" s="7">
        <f t="shared" si="15"/>
        <v>0</v>
      </c>
    </row>
    <row r="238" spans="1:13" x14ac:dyDescent="0.25">
      <c r="A238" s="1">
        <v>239150</v>
      </c>
      <c r="B238" s="6" t="s">
        <v>308</v>
      </c>
      <c r="C238" s="9" t="s">
        <v>42</v>
      </c>
      <c r="D238" s="6" t="s">
        <v>20</v>
      </c>
      <c r="E238" s="6" t="s">
        <v>37</v>
      </c>
      <c r="F238" s="6" t="s">
        <v>9</v>
      </c>
      <c r="G238" s="6" t="s">
        <v>43</v>
      </c>
      <c r="H238" s="9" t="s">
        <v>42</v>
      </c>
      <c r="I238" s="7" t="str">
        <f t="shared" si="12"/>
        <v>61001002001</v>
      </c>
      <c r="J238" s="7" t="str">
        <f t="shared" si="13"/>
        <v>Материал по ЕГРН</v>
      </c>
      <c r="K238" s="7">
        <f>VLOOKUP(J238,Лист2!A$2:B$4,2,FALSE)</f>
        <v>792</v>
      </c>
      <c r="L238" s="7" t="str">
        <f t="shared" si="14"/>
        <v>ГОТОВ</v>
      </c>
      <c r="M238" s="7" t="str">
        <f t="shared" si="15"/>
        <v>61001002001</v>
      </c>
    </row>
    <row r="239" spans="1:13" x14ac:dyDescent="0.25">
      <c r="A239" s="1">
        <v>506138</v>
      </c>
      <c r="B239" s="6" t="s">
        <v>309</v>
      </c>
      <c r="C239" s="9" t="s">
        <v>110</v>
      </c>
      <c r="D239" s="6" t="s">
        <v>20</v>
      </c>
      <c r="E239" s="6" t="s">
        <v>37</v>
      </c>
      <c r="F239" s="6" t="s">
        <v>9</v>
      </c>
      <c r="G239" s="6" t="s">
        <v>111</v>
      </c>
      <c r="H239" s="9" t="s">
        <v>110</v>
      </c>
      <c r="I239" s="7" t="str">
        <f t="shared" si="12"/>
        <v>61001007001</v>
      </c>
      <c r="J239" s="7" t="str">
        <f t="shared" si="13"/>
        <v>Материал по ЕГРН</v>
      </c>
      <c r="K239" s="7">
        <f>VLOOKUP(J239,Лист2!A$2:B$4,2,FALSE)</f>
        <v>792</v>
      </c>
      <c r="L239" s="7" t="str">
        <f t="shared" si="14"/>
        <v>ГОТОВ</v>
      </c>
      <c r="M239" s="7" t="str">
        <f t="shared" si="15"/>
        <v>61001007001</v>
      </c>
    </row>
    <row r="240" spans="1:13" x14ac:dyDescent="0.25">
      <c r="A240" s="1">
        <v>520912</v>
      </c>
      <c r="B240" s="6" t="s">
        <v>310</v>
      </c>
      <c r="C240" s="9" t="s">
        <v>33</v>
      </c>
      <c r="D240" s="6" t="s">
        <v>20</v>
      </c>
      <c r="E240" s="6" t="s">
        <v>37</v>
      </c>
      <c r="F240" s="6" t="s">
        <v>9</v>
      </c>
      <c r="G240" s="6" t="s">
        <v>38</v>
      </c>
      <c r="H240" s="9" t="s">
        <v>33</v>
      </c>
      <c r="I240" s="7" t="str">
        <f t="shared" si="12"/>
        <v>61001005000</v>
      </c>
      <c r="J240" s="7" t="str">
        <f t="shared" si="13"/>
        <v>Материал по ЕГРН</v>
      </c>
      <c r="K240" s="7">
        <f>VLOOKUP(J240,Лист2!A$2:B$4,2,FALSE)</f>
        <v>792</v>
      </c>
      <c r="L240" s="7" t="str">
        <f t="shared" si="14"/>
        <v>ГОТОВ</v>
      </c>
      <c r="M240" s="7" t="str">
        <f t="shared" si="15"/>
        <v>61001005000</v>
      </c>
    </row>
    <row r="241" spans="1:13" x14ac:dyDescent="0.25">
      <c r="A241" s="1">
        <v>527717</v>
      </c>
      <c r="B241" s="6" t="s">
        <v>311</v>
      </c>
      <c r="C241" s="9" t="s">
        <v>33</v>
      </c>
      <c r="D241" s="6" t="s">
        <v>20</v>
      </c>
      <c r="E241" s="6" t="s">
        <v>37</v>
      </c>
      <c r="F241" s="6" t="s">
        <v>9</v>
      </c>
      <c r="G241" s="6" t="s">
        <v>38</v>
      </c>
      <c r="H241" s="9" t="s">
        <v>33</v>
      </c>
      <c r="I241" s="7" t="str">
        <f t="shared" si="12"/>
        <v>61001005000</v>
      </c>
      <c r="J241" s="7" t="str">
        <f t="shared" si="13"/>
        <v>Материал по ЕГРН</v>
      </c>
      <c r="K241" s="7">
        <f>VLOOKUP(J241,Лист2!A$2:B$4,2,FALSE)</f>
        <v>792</v>
      </c>
      <c r="L241" s="7" t="str">
        <f t="shared" si="14"/>
        <v>ГОТОВ</v>
      </c>
      <c r="M241" s="7" t="str">
        <f t="shared" si="15"/>
        <v>61001005000</v>
      </c>
    </row>
    <row r="242" spans="1:13" x14ac:dyDescent="0.25">
      <c r="A242" s="1">
        <v>944639</v>
      </c>
      <c r="B242" s="6" t="s">
        <v>312</v>
      </c>
      <c r="F242" s="6" t="s">
        <v>9</v>
      </c>
      <c r="G242" s="6" t="s">
        <v>38</v>
      </c>
      <c r="H242" s="9" t="s">
        <v>33</v>
      </c>
      <c r="I242" s="7" t="str">
        <f t="shared" si="12"/>
        <v>61001005000</v>
      </c>
      <c r="J242" s="7" t="str">
        <f t="shared" si="13"/>
        <v>Материал по ЕГРН</v>
      </c>
      <c r="K242" s="7">
        <f>VLOOKUP(J242,Лист2!A$2:B$4,2,FALSE)</f>
        <v>792</v>
      </c>
      <c r="L242" s="7" t="str">
        <f t="shared" si="14"/>
        <v>ГОТОВ_ИЗМЕНЕН</v>
      </c>
      <c r="M242" s="7">
        <f t="shared" si="15"/>
        <v>0</v>
      </c>
    </row>
    <row r="243" spans="1:13" x14ac:dyDescent="0.25">
      <c r="A243" s="1">
        <v>944651</v>
      </c>
      <c r="B243" s="6" t="s">
        <v>313</v>
      </c>
      <c r="F243" s="6" t="s">
        <v>9</v>
      </c>
      <c r="G243" s="6" t="s">
        <v>34</v>
      </c>
      <c r="H243" s="9" t="s">
        <v>35</v>
      </c>
      <c r="I243" s="7" t="str">
        <f t="shared" si="12"/>
        <v>61001002000</v>
      </c>
      <c r="J243" s="7" t="str">
        <f t="shared" si="13"/>
        <v>Материал по ЕГРН</v>
      </c>
      <c r="K243" s="7">
        <f>VLOOKUP(J243,Лист2!A$2:B$4,2,FALSE)</f>
        <v>792</v>
      </c>
      <c r="L243" s="7" t="str">
        <f t="shared" si="14"/>
        <v>ГОТОВ_ИЗМЕНЕН</v>
      </c>
      <c r="M243" s="7">
        <f t="shared" si="15"/>
        <v>0</v>
      </c>
    </row>
    <row r="244" spans="1:13" x14ac:dyDescent="0.25">
      <c r="A244" s="1">
        <v>944663</v>
      </c>
      <c r="B244" s="6" t="s">
        <v>314</v>
      </c>
      <c r="F244" s="6" t="s">
        <v>9</v>
      </c>
      <c r="G244" s="6" t="s">
        <v>62</v>
      </c>
      <c r="H244" s="9" t="s">
        <v>63</v>
      </c>
      <c r="I244" s="7" t="str">
        <f t="shared" si="12"/>
        <v>61001006002</v>
      </c>
      <c r="J244" s="7" t="str">
        <f t="shared" si="13"/>
        <v>Материал по ЕГРН</v>
      </c>
      <c r="K244" s="7">
        <f>VLOOKUP(J244,Лист2!A$2:B$4,2,FALSE)</f>
        <v>792</v>
      </c>
      <c r="L244" s="7" t="str">
        <f t="shared" si="14"/>
        <v>ГОТОВ_ИЗМЕНЕН</v>
      </c>
      <c r="M244" s="7">
        <f t="shared" si="15"/>
        <v>0</v>
      </c>
    </row>
    <row r="245" spans="1:13" x14ac:dyDescent="0.25">
      <c r="A245" s="1">
        <v>944675</v>
      </c>
      <c r="B245" s="6" t="s">
        <v>315</v>
      </c>
      <c r="F245" s="6" t="s">
        <v>9</v>
      </c>
      <c r="G245" s="6" t="s">
        <v>73</v>
      </c>
      <c r="H245" s="9" t="s">
        <v>74</v>
      </c>
      <c r="I245" s="7" t="str">
        <f t="shared" si="12"/>
        <v>61001006000</v>
      </c>
      <c r="J245" s="7" t="str">
        <f t="shared" si="13"/>
        <v>Материал по ЕГРН</v>
      </c>
      <c r="K245" s="7">
        <f>VLOOKUP(J245,Лист2!A$2:B$4,2,FALSE)</f>
        <v>792</v>
      </c>
      <c r="L245" s="7" t="str">
        <f t="shared" si="14"/>
        <v>ГОТОВ_ИЗМЕНЕН</v>
      </c>
      <c r="M245" s="7">
        <f t="shared" si="15"/>
        <v>0</v>
      </c>
    </row>
    <row r="246" spans="1:13" x14ac:dyDescent="0.25">
      <c r="A246" s="1">
        <v>944687</v>
      </c>
      <c r="B246" s="6" t="s">
        <v>316</v>
      </c>
      <c r="F246" s="6" t="s">
        <v>9</v>
      </c>
      <c r="G246" s="6" t="s">
        <v>139</v>
      </c>
      <c r="H246" s="9" t="s">
        <v>140</v>
      </c>
      <c r="I246" s="7" t="str">
        <f t="shared" si="12"/>
        <v>61001999000</v>
      </c>
      <c r="J246" s="7" t="str">
        <f t="shared" si="13"/>
        <v>Материал по ЕГРН</v>
      </c>
      <c r="K246" s="7">
        <f>VLOOKUP(J246,Лист2!A$2:B$4,2,FALSE)</f>
        <v>792</v>
      </c>
      <c r="L246" s="7" t="str">
        <f t="shared" si="14"/>
        <v>ГОТОВ_ИЗМЕНЕН</v>
      </c>
      <c r="M246" s="7">
        <f t="shared" si="15"/>
        <v>0</v>
      </c>
    </row>
    <row r="247" spans="1:13" x14ac:dyDescent="0.25">
      <c r="A247" s="1">
        <v>944699</v>
      </c>
      <c r="B247" s="6" t="s">
        <v>317</v>
      </c>
      <c r="F247" s="6" t="s">
        <v>9</v>
      </c>
      <c r="G247" s="6" t="s">
        <v>149</v>
      </c>
      <c r="H247" s="9" t="s">
        <v>150</v>
      </c>
      <c r="I247" s="7" t="str">
        <f t="shared" si="12"/>
        <v>61001007000</v>
      </c>
      <c r="J247" s="7" t="str">
        <f t="shared" si="13"/>
        <v>Материал по ЕГРН</v>
      </c>
      <c r="K247" s="7">
        <f>VLOOKUP(J247,Лист2!A$2:B$4,2,FALSE)</f>
        <v>792</v>
      </c>
      <c r="L247" s="7" t="str">
        <f t="shared" si="14"/>
        <v>ГОТОВ_ИЗМЕНЕН</v>
      </c>
      <c r="M247" s="7">
        <f t="shared" si="15"/>
        <v>0</v>
      </c>
    </row>
    <row r="248" spans="1:13" x14ac:dyDescent="0.25">
      <c r="A248" s="1">
        <v>944711</v>
      </c>
      <c r="B248" s="6" t="s">
        <v>318</v>
      </c>
      <c r="F248" s="6" t="s">
        <v>9</v>
      </c>
      <c r="G248" s="6" t="s">
        <v>90</v>
      </c>
      <c r="H248" s="9" t="s">
        <v>12</v>
      </c>
      <c r="I248" s="7" t="str">
        <f t="shared" si="12"/>
        <v>61001008000</v>
      </c>
      <c r="J248" s="7" t="str">
        <f t="shared" si="13"/>
        <v>Материал по ЕГРН</v>
      </c>
      <c r="K248" s="7">
        <f>VLOOKUP(J248,Лист2!A$2:B$4,2,FALSE)</f>
        <v>792</v>
      </c>
      <c r="L248" s="7" t="str">
        <f t="shared" si="14"/>
        <v>ГОТОВ_ИЗМЕНЕН</v>
      </c>
      <c r="M248" s="7">
        <f t="shared" si="15"/>
        <v>0</v>
      </c>
    </row>
    <row r="249" spans="1:13" x14ac:dyDescent="0.25">
      <c r="A249" s="1">
        <v>944723</v>
      </c>
      <c r="B249" s="6" t="s">
        <v>319</v>
      </c>
      <c r="F249" s="6" t="s">
        <v>9</v>
      </c>
      <c r="G249" s="6" t="s">
        <v>62</v>
      </c>
      <c r="H249" s="9" t="s">
        <v>63</v>
      </c>
      <c r="I249" s="7" t="str">
        <f t="shared" si="12"/>
        <v>61001006002</v>
      </c>
      <c r="J249" s="7" t="str">
        <f t="shared" si="13"/>
        <v>Материал по ЕГРН</v>
      </c>
      <c r="K249" s="7">
        <f>VLOOKUP(J249,Лист2!A$2:B$4,2,FALSE)</f>
        <v>792</v>
      </c>
      <c r="L249" s="7" t="str">
        <f t="shared" si="14"/>
        <v>ГОТОВ_ИЗМЕНЕН</v>
      </c>
      <c r="M249" s="7">
        <f t="shared" si="15"/>
        <v>0</v>
      </c>
    </row>
    <row r="250" spans="1:13" x14ac:dyDescent="0.25">
      <c r="A250" s="1">
        <v>944735</v>
      </c>
      <c r="B250" s="6" t="s">
        <v>320</v>
      </c>
      <c r="F250" s="6" t="s">
        <v>9</v>
      </c>
      <c r="G250" s="6" t="s">
        <v>38</v>
      </c>
      <c r="H250" s="9" t="s">
        <v>33</v>
      </c>
      <c r="I250" s="7" t="str">
        <f t="shared" si="12"/>
        <v>61001005000</v>
      </c>
      <c r="J250" s="7" t="str">
        <f t="shared" si="13"/>
        <v>Материал по ЕГРН</v>
      </c>
      <c r="K250" s="7">
        <f>VLOOKUP(J250,Лист2!A$2:B$4,2,FALSE)</f>
        <v>792</v>
      </c>
      <c r="L250" s="7" t="str">
        <f t="shared" si="14"/>
        <v>ГОТОВ_ИЗМЕНЕН</v>
      </c>
      <c r="M250" s="7">
        <f t="shared" si="15"/>
        <v>0</v>
      </c>
    </row>
    <row r="251" spans="1:13" x14ac:dyDescent="0.25">
      <c r="A251" s="1">
        <v>944747</v>
      </c>
      <c r="B251" s="6" t="s">
        <v>321</v>
      </c>
      <c r="F251" s="6" t="s">
        <v>9</v>
      </c>
      <c r="G251" s="6" t="s">
        <v>38</v>
      </c>
      <c r="H251" s="9" t="s">
        <v>33</v>
      </c>
      <c r="I251" s="7" t="str">
        <f t="shared" si="12"/>
        <v>61001005000</v>
      </c>
      <c r="J251" s="7" t="str">
        <f t="shared" si="13"/>
        <v>Материал по ЕГРН</v>
      </c>
      <c r="K251" s="7">
        <f>VLOOKUP(J251,Лист2!A$2:B$4,2,FALSE)</f>
        <v>792</v>
      </c>
      <c r="L251" s="7" t="str">
        <f t="shared" si="14"/>
        <v>ГОТОВ_ИЗМЕНЕН</v>
      </c>
      <c r="M251" s="7">
        <f t="shared" si="15"/>
        <v>0</v>
      </c>
    </row>
    <row r="252" spans="1:13" x14ac:dyDescent="0.25">
      <c r="A252" s="1">
        <v>944759</v>
      </c>
      <c r="B252" s="6" t="s">
        <v>322</v>
      </c>
      <c r="F252" s="6" t="s">
        <v>9</v>
      </c>
      <c r="G252" s="6" t="s">
        <v>34</v>
      </c>
      <c r="H252" s="9" t="s">
        <v>35</v>
      </c>
      <c r="I252" s="7" t="str">
        <f t="shared" si="12"/>
        <v>61001002000</v>
      </c>
      <c r="J252" s="7" t="str">
        <f t="shared" si="13"/>
        <v>Материал по ЕГРН</v>
      </c>
      <c r="K252" s="7">
        <f>VLOOKUP(J252,Лист2!A$2:B$4,2,FALSE)</f>
        <v>792</v>
      </c>
      <c r="L252" s="7" t="str">
        <f t="shared" si="14"/>
        <v>ГОТОВ_ИЗМЕНЕН</v>
      </c>
      <c r="M252" s="7">
        <f t="shared" si="15"/>
        <v>0</v>
      </c>
    </row>
    <row r="253" spans="1:13" x14ac:dyDescent="0.25">
      <c r="A253" s="1">
        <v>944771</v>
      </c>
      <c r="B253" s="6" t="s">
        <v>323</v>
      </c>
      <c r="F253" s="6" t="s">
        <v>9</v>
      </c>
      <c r="G253" s="6" t="s">
        <v>38</v>
      </c>
      <c r="H253" s="9" t="s">
        <v>33</v>
      </c>
      <c r="I253" s="7" t="str">
        <f t="shared" si="12"/>
        <v>61001005000</v>
      </c>
      <c r="J253" s="7" t="str">
        <f t="shared" si="13"/>
        <v>Материал по ЕГРН</v>
      </c>
      <c r="K253" s="7">
        <f>VLOOKUP(J253,Лист2!A$2:B$4,2,FALSE)</f>
        <v>792</v>
      </c>
      <c r="L253" s="7" t="str">
        <f t="shared" si="14"/>
        <v>ГОТОВ_ИЗМЕНЕН</v>
      </c>
      <c r="M253" s="7">
        <f t="shared" si="15"/>
        <v>0</v>
      </c>
    </row>
    <row r="254" spans="1:13" x14ac:dyDescent="0.25">
      <c r="A254" s="1">
        <v>944783</v>
      </c>
      <c r="B254" s="6" t="s">
        <v>324</v>
      </c>
      <c r="F254" s="6" t="s">
        <v>9</v>
      </c>
      <c r="G254" s="6" t="s">
        <v>34</v>
      </c>
      <c r="H254" s="9" t="s">
        <v>35</v>
      </c>
      <c r="I254" s="7" t="str">
        <f t="shared" si="12"/>
        <v>61001002000</v>
      </c>
      <c r="J254" s="7" t="str">
        <f t="shared" si="13"/>
        <v>Материал по ЕГРН</v>
      </c>
      <c r="K254" s="7">
        <f>VLOOKUP(J254,Лист2!A$2:B$4,2,FALSE)</f>
        <v>792</v>
      </c>
      <c r="L254" s="7" t="str">
        <f t="shared" si="14"/>
        <v>ГОТОВ_ИЗМЕНЕН</v>
      </c>
      <c r="M254" s="7">
        <f t="shared" si="15"/>
        <v>0</v>
      </c>
    </row>
    <row r="255" spans="1:13" x14ac:dyDescent="0.25">
      <c r="A255" s="1">
        <v>944795</v>
      </c>
      <c r="B255" s="6" t="s">
        <v>325</v>
      </c>
      <c r="F255" s="6" t="s">
        <v>9</v>
      </c>
      <c r="G255" s="6" t="s">
        <v>38</v>
      </c>
      <c r="H255" s="9" t="s">
        <v>33</v>
      </c>
      <c r="I255" s="7" t="str">
        <f t="shared" si="12"/>
        <v>61001005000</v>
      </c>
      <c r="J255" s="7" t="str">
        <f t="shared" si="13"/>
        <v>Материал по ЕГРН</v>
      </c>
      <c r="K255" s="7">
        <f>VLOOKUP(J255,Лист2!A$2:B$4,2,FALSE)</f>
        <v>792</v>
      </c>
      <c r="L255" s="7" t="str">
        <f t="shared" si="14"/>
        <v>ГОТОВ_ИЗМЕНЕН</v>
      </c>
      <c r="M255" s="7">
        <f t="shared" si="15"/>
        <v>0</v>
      </c>
    </row>
    <row r="256" spans="1:13" x14ac:dyDescent="0.25">
      <c r="A256" s="1">
        <v>944807</v>
      </c>
      <c r="B256" s="6" t="s">
        <v>326</v>
      </c>
      <c r="F256" s="6" t="s">
        <v>9</v>
      </c>
      <c r="G256" s="6" t="s">
        <v>38</v>
      </c>
      <c r="H256" s="9" t="s">
        <v>33</v>
      </c>
      <c r="I256" s="7" t="str">
        <f t="shared" si="12"/>
        <v>61001005000</v>
      </c>
      <c r="J256" s="7" t="str">
        <f t="shared" si="13"/>
        <v>Материал по ЕГРН</v>
      </c>
      <c r="K256" s="7">
        <f>VLOOKUP(J256,Лист2!A$2:B$4,2,FALSE)</f>
        <v>792</v>
      </c>
      <c r="L256" s="7" t="str">
        <f t="shared" si="14"/>
        <v>ГОТОВ_ИЗМЕНЕН</v>
      </c>
      <c r="M256" s="7">
        <f t="shared" si="15"/>
        <v>0</v>
      </c>
    </row>
    <row r="257" spans="1:13" x14ac:dyDescent="0.25">
      <c r="A257" s="1">
        <v>944819</v>
      </c>
      <c r="B257" s="6" t="s">
        <v>327</v>
      </c>
      <c r="F257" s="6" t="s">
        <v>9</v>
      </c>
      <c r="G257" s="6" t="s">
        <v>62</v>
      </c>
      <c r="H257" s="9" t="s">
        <v>63</v>
      </c>
      <c r="I257" s="7" t="str">
        <f t="shared" si="12"/>
        <v>61001006002</v>
      </c>
      <c r="J257" s="7" t="str">
        <f t="shared" si="13"/>
        <v>Материал по ЕГРН</v>
      </c>
      <c r="K257" s="7">
        <f>VLOOKUP(J257,Лист2!A$2:B$4,2,FALSE)</f>
        <v>792</v>
      </c>
      <c r="L257" s="7" t="str">
        <f t="shared" si="14"/>
        <v>ГОТОВ_ИЗМЕНЕН</v>
      </c>
      <c r="M257" s="7">
        <f t="shared" si="15"/>
        <v>0</v>
      </c>
    </row>
    <row r="258" spans="1:13" x14ac:dyDescent="0.25">
      <c r="A258" s="1">
        <v>944831</v>
      </c>
      <c r="B258" s="6" t="s">
        <v>328</v>
      </c>
      <c r="F258" s="6" t="s">
        <v>9</v>
      </c>
      <c r="G258" s="6" t="s">
        <v>38</v>
      </c>
      <c r="H258" s="9" t="s">
        <v>33</v>
      </c>
      <c r="I258" s="7" t="str">
        <f t="shared" si="12"/>
        <v>61001005000</v>
      </c>
      <c r="J258" s="7" t="str">
        <f t="shared" si="13"/>
        <v>Материал по ЕГРН</v>
      </c>
      <c r="K258" s="7">
        <f>VLOOKUP(J258,Лист2!A$2:B$4,2,FALSE)</f>
        <v>792</v>
      </c>
      <c r="L258" s="7" t="str">
        <f t="shared" si="14"/>
        <v>ГОТОВ_ИЗМЕНЕН</v>
      </c>
      <c r="M258" s="7">
        <f t="shared" si="15"/>
        <v>0</v>
      </c>
    </row>
    <row r="259" spans="1:13" x14ac:dyDescent="0.25">
      <c r="A259" s="1">
        <v>944843</v>
      </c>
      <c r="B259" s="6" t="s">
        <v>329</v>
      </c>
      <c r="F259" s="6" t="s">
        <v>9</v>
      </c>
      <c r="G259" s="6" t="s">
        <v>38</v>
      </c>
      <c r="H259" s="9" t="s">
        <v>33</v>
      </c>
      <c r="I259" s="7" t="str">
        <f t="shared" si="12"/>
        <v>61001005000</v>
      </c>
      <c r="J259" s="7" t="str">
        <f t="shared" si="13"/>
        <v>Материал по ЕГРН</v>
      </c>
      <c r="K259" s="7">
        <f>VLOOKUP(J259,Лист2!A$2:B$4,2,FALSE)</f>
        <v>792</v>
      </c>
      <c r="L259" s="7" t="str">
        <f t="shared" si="14"/>
        <v>ГОТОВ_ИЗМЕНЕН</v>
      </c>
      <c r="M259" s="7">
        <f t="shared" si="15"/>
        <v>0</v>
      </c>
    </row>
    <row r="260" spans="1:13" x14ac:dyDescent="0.25">
      <c r="A260" s="1">
        <v>944855</v>
      </c>
      <c r="B260" s="6" t="s">
        <v>330</v>
      </c>
      <c r="F260" s="6" t="s">
        <v>9</v>
      </c>
      <c r="G260" s="6" t="s">
        <v>34</v>
      </c>
      <c r="H260" s="9" t="s">
        <v>35</v>
      </c>
      <c r="I260" s="7" t="str">
        <f t="shared" si="12"/>
        <v>61001002000</v>
      </c>
      <c r="J260" s="7" t="str">
        <f t="shared" si="13"/>
        <v>Материал по ЕГРН</v>
      </c>
      <c r="K260" s="7">
        <f>VLOOKUP(J260,Лист2!A$2:B$4,2,FALSE)</f>
        <v>792</v>
      </c>
      <c r="L260" s="7" t="str">
        <f t="shared" si="14"/>
        <v>ГОТОВ_ИЗМЕНЕН</v>
      </c>
      <c r="M260" s="7">
        <f t="shared" si="15"/>
        <v>0</v>
      </c>
    </row>
    <row r="261" spans="1:13" x14ac:dyDescent="0.25">
      <c r="A261" s="1">
        <v>944867</v>
      </c>
      <c r="B261" s="6" t="s">
        <v>331</v>
      </c>
      <c r="F261" s="6" t="s">
        <v>9</v>
      </c>
      <c r="G261" s="6" t="s">
        <v>43</v>
      </c>
      <c r="H261" s="9" t="s">
        <v>42</v>
      </c>
      <c r="I261" s="7" t="str">
        <f t="shared" ref="I261:I324" si="16">IF(LEN(H261)=11,H261,IF(LEN(H261)=0,"61001005000","61001003000"))</f>
        <v>61001002001</v>
      </c>
      <c r="J261" s="7" t="str">
        <f t="shared" ref="J261:J324" si="17">IF(LEN(H261)=11,"Материал по ЕГРН",IF(LEN(H261)=0,"Прочие по допущению","Смешанные по допущению"))</f>
        <v>Материал по ЕГРН</v>
      </c>
      <c r="K261" s="7">
        <f>VLOOKUP(J261,Лист2!A$2:B$4,2,FALSE)</f>
        <v>792</v>
      </c>
      <c r="L261" s="7" t="str">
        <f t="shared" ref="L261:L324" si="18">IF(I261=C261,"ГОТОВ","ГОТОВ_ИЗМЕНЕН")</f>
        <v>ГОТОВ_ИЗМЕНЕН</v>
      </c>
      <c r="M261" s="7">
        <f t="shared" ref="M261:M324" si="19">C261</f>
        <v>0</v>
      </c>
    </row>
    <row r="262" spans="1:13" x14ac:dyDescent="0.25">
      <c r="A262" s="1">
        <v>944879</v>
      </c>
      <c r="B262" s="6" t="s">
        <v>332</v>
      </c>
      <c r="F262" s="6" t="s">
        <v>9</v>
      </c>
      <c r="G262" s="6" t="s">
        <v>73</v>
      </c>
      <c r="H262" s="9" t="s">
        <v>74</v>
      </c>
      <c r="I262" s="7" t="str">
        <f t="shared" si="16"/>
        <v>61001006000</v>
      </c>
      <c r="J262" s="7" t="str">
        <f t="shared" si="17"/>
        <v>Материал по ЕГРН</v>
      </c>
      <c r="K262" s="7">
        <f>VLOOKUP(J262,Лист2!A$2:B$4,2,FALSE)</f>
        <v>792</v>
      </c>
      <c r="L262" s="7" t="str">
        <f t="shared" si="18"/>
        <v>ГОТОВ_ИЗМЕНЕН</v>
      </c>
      <c r="M262" s="7">
        <f t="shared" si="19"/>
        <v>0</v>
      </c>
    </row>
    <row r="263" spans="1:13" x14ac:dyDescent="0.25">
      <c r="A263" s="1">
        <v>944891</v>
      </c>
      <c r="B263" s="6" t="s">
        <v>333</v>
      </c>
      <c r="F263" s="6" t="s">
        <v>9</v>
      </c>
      <c r="G263" s="6" t="s">
        <v>62</v>
      </c>
      <c r="H263" s="9" t="s">
        <v>63</v>
      </c>
      <c r="I263" s="7" t="str">
        <f t="shared" si="16"/>
        <v>61001006002</v>
      </c>
      <c r="J263" s="7" t="str">
        <f t="shared" si="17"/>
        <v>Материал по ЕГРН</v>
      </c>
      <c r="K263" s="7">
        <f>VLOOKUP(J263,Лист2!A$2:B$4,2,FALSE)</f>
        <v>792</v>
      </c>
      <c r="L263" s="7" t="str">
        <f t="shared" si="18"/>
        <v>ГОТОВ_ИЗМЕНЕН</v>
      </c>
      <c r="M263" s="7">
        <f t="shared" si="19"/>
        <v>0</v>
      </c>
    </row>
    <row r="264" spans="1:13" x14ac:dyDescent="0.25">
      <c r="A264" s="1">
        <v>944903</v>
      </c>
      <c r="B264" s="6" t="s">
        <v>334</v>
      </c>
      <c r="F264" s="6" t="s">
        <v>9</v>
      </c>
      <c r="G264" s="6" t="s">
        <v>34</v>
      </c>
      <c r="H264" s="9" t="s">
        <v>35</v>
      </c>
      <c r="I264" s="7" t="str">
        <f t="shared" si="16"/>
        <v>61001002000</v>
      </c>
      <c r="J264" s="7" t="str">
        <f t="shared" si="17"/>
        <v>Материал по ЕГРН</v>
      </c>
      <c r="K264" s="7">
        <f>VLOOKUP(J264,Лист2!A$2:B$4,2,FALSE)</f>
        <v>792</v>
      </c>
      <c r="L264" s="7" t="str">
        <f t="shared" si="18"/>
        <v>ГОТОВ_ИЗМЕНЕН</v>
      </c>
      <c r="M264" s="7">
        <f t="shared" si="19"/>
        <v>0</v>
      </c>
    </row>
    <row r="265" spans="1:13" x14ac:dyDescent="0.25">
      <c r="A265" s="1">
        <v>182726</v>
      </c>
      <c r="B265" s="6" t="s">
        <v>335</v>
      </c>
      <c r="C265" s="9" t="s">
        <v>33</v>
      </c>
      <c r="D265" s="6" t="s">
        <v>20</v>
      </c>
      <c r="E265" s="6" t="s">
        <v>37</v>
      </c>
      <c r="F265" s="6" t="s">
        <v>9</v>
      </c>
      <c r="G265" s="6" t="s">
        <v>38</v>
      </c>
      <c r="H265" s="9" t="s">
        <v>33</v>
      </c>
      <c r="I265" s="7" t="str">
        <f t="shared" si="16"/>
        <v>61001005000</v>
      </c>
      <c r="J265" s="7" t="str">
        <f t="shared" si="17"/>
        <v>Материал по ЕГРН</v>
      </c>
      <c r="K265" s="7">
        <f>VLOOKUP(J265,Лист2!A$2:B$4,2,FALSE)</f>
        <v>792</v>
      </c>
      <c r="L265" s="7" t="str">
        <f t="shared" si="18"/>
        <v>ГОТОВ</v>
      </c>
      <c r="M265" s="7" t="str">
        <f t="shared" si="19"/>
        <v>61001005000</v>
      </c>
    </row>
    <row r="266" spans="1:13" x14ac:dyDescent="0.25">
      <c r="A266" s="1">
        <v>378917</v>
      </c>
      <c r="B266" s="6" t="s">
        <v>336</v>
      </c>
      <c r="C266" s="9" t="s">
        <v>42</v>
      </c>
      <c r="D266" s="6" t="s">
        <v>20</v>
      </c>
      <c r="E266" s="6" t="s">
        <v>37</v>
      </c>
      <c r="F266" s="6" t="s">
        <v>9</v>
      </c>
      <c r="G266" s="6" t="s">
        <v>43</v>
      </c>
      <c r="H266" s="9" t="s">
        <v>42</v>
      </c>
      <c r="I266" s="7" t="str">
        <f t="shared" si="16"/>
        <v>61001002001</v>
      </c>
      <c r="J266" s="7" t="str">
        <f t="shared" si="17"/>
        <v>Материал по ЕГРН</v>
      </c>
      <c r="K266" s="7">
        <f>VLOOKUP(J266,Лист2!A$2:B$4,2,FALSE)</f>
        <v>792</v>
      </c>
      <c r="L266" s="7" t="str">
        <f t="shared" si="18"/>
        <v>ГОТОВ</v>
      </c>
      <c r="M266" s="7" t="str">
        <f t="shared" si="19"/>
        <v>61001002001</v>
      </c>
    </row>
    <row r="267" spans="1:13" x14ac:dyDescent="0.25">
      <c r="A267" s="1">
        <v>489430</v>
      </c>
      <c r="B267" s="6" t="s">
        <v>337</v>
      </c>
      <c r="C267" s="9" t="s">
        <v>33</v>
      </c>
      <c r="D267" s="6" t="s">
        <v>20</v>
      </c>
      <c r="E267" s="6" t="s">
        <v>37</v>
      </c>
      <c r="F267" s="6" t="s">
        <v>9</v>
      </c>
      <c r="G267" s="6" t="s">
        <v>38</v>
      </c>
      <c r="H267" s="9" t="s">
        <v>33</v>
      </c>
      <c r="I267" s="7" t="str">
        <f t="shared" si="16"/>
        <v>61001005000</v>
      </c>
      <c r="J267" s="7" t="str">
        <f t="shared" si="17"/>
        <v>Материал по ЕГРН</v>
      </c>
      <c r="K267" s="7">
        <f>VLOOKUP(J267,Лист2!A$2:B$4,2,FALSE)</f>
        <v>792</v>
      </c>
      <c r="L267" s="7" t="str">
        <f t="shared" si="18"/>
        <v>ГОТОВ</v>
      </c>
      <c r="M267" s="7" t="str">
        <f t="shared" si="19"/>
        <v>61001005000</v>
      </c>
    </row>
    <row r="268" spans="1:13" x14ac:dyDescent="0.25">
      <c r="A268" s="1">
        <v>839300</v>
      </c>
      <c r="B268" s="6" t="s">
        <v>338</v>
      </c>
      <c r="C268" s="9" t="s">
        <v>33</v>
      </c>
      <c r="D268" s="6" t="s">
        <v>20</v>
      </c>
      <c r="E268" s="6" t="s">
        <v>37</v>
      </c>
      <c r="F268" s="6" t="s">
        <v>9</v>
      </c>
      <c r="G268" s="6" t="s">
        <v>38</v>
      </c>
      <c r="H268" s="9" t="s">
        <v>33</v>
      </c>
      <c r="I268" s="7" t="str">
        <f t="shared" si="16"/>
        <v>61001005000</v>
      </c>
      <c r="J268" s="7" t="str">
        <f t="shared" si="17"/>
        <v>Материал по ЕГРН</v>
      </c>
      <c r="K268" s="7">
        <f>VLOOKUP(J268,Лист2!A$2:B$4,2,FALSE)</f>
        <v>792</v>
      </c>
      <c r="L268" s="7" t="str">
        <f t="shared" si="18"/>
        <v>ГОТОВ</v>
      </c>
      <c r="M268" s="7" t="str">
        <f t="shared" si="19"/>
        <v>61001005000</v>
      </c>
    </row>
    <row r="269" spans="1:13" x14ac:dyDescent="0.25">
      <c r="A269" s="1">
        <v>946167</v>
      </c>
      <c r="B269" s="6" t="s">
        <v>339</v>
      </c>
      <c r="F269" s="6" t="s">
        <v>9</v>
      </c>
      <c r="G269" s="6" t="s">
        <v>38</v>
      </c>
      <c r="H269" s="9" t="s">
        <v>33</v>
      </c>
      <c r="I269" s="7" t="str">
        <f t="shared" si="16"/>
        <v>61001005000</v>
      </c>
      <c r="J269" s="7" t="str">
        <f t="shared" si="17"/>
        <v>Материал по ЕГРН</v>
      </c>
      <c r="K269" s="7">
        <f>VLOOKUP(J269,Лист2!A$2:B$4,2,FALSE)</f>
        <v>792</v>
      </c>
      <c r="L269" s="7" t="str">
        <f t="shared" si="18"/>
        <v>ГОТОВ_ИЗМЕНЕН</v>
      </c>
      <c r="M269" s="7">
        <f t="shared" si="19"/>
        <v>0</v>
      </c>
    </row>
    <row r="270" spans="1:13" x14ac:dyDescent="0.25">
      <c r="A270" s="1">
        <v>946179</v>
      </c>
      <c r="B270" s="6" t="s">
        <v>340</v>
      </c>
      <c r="F270" s="6" t="s">
        <v>9</v>
      </c>
      <c r="G270" s="6" t="s">
        <v>34</v>
      </c>
      <c r="H270" s="9" t="s">
        <v>35</v>
      </c>
      <c r="I270" s="7" t="str">
        <f t="shared" si="16"/>
        <v>61001002000</v>
      </c>
      <c r="J270" s="7" t="str">
        <f t="shared" si="17"/>
        <v>Материал по ЕГРН</v>
      </c>
      <c r="K270" s="7">
        <f>VLOOKUP(J270,Лист2!A$2:B$4,2,FALSE)</f>
        <v>792</v>
      </c>
      <c r="L270" s="7" t="str">
        <f t="shared" si="18"/>
        <v>ГОТОВ_ИЗМЕНЕН</v>
      </c>
      <c r="M270" s="7">
        <f t="shared" si="19"/>
        <v>0</v>
      </c>
    </row>
    <row r="271" spans="1:13" x14ac:dyDescent="0.25">
      <c r="A271" s="1">
        <v>946191</v>
      </c>
      <c r="B271" s="6" t="s">
        <v>341</v>
      </c>
      <c r="F271" s="6" t="s">
        <v>9</v>
      </c>
      <c r="G271" s="6" t="s">
        <v>59</v>
      </c>
      <c r="H271" s="9" t="s">
        <v>60</v>
      </c>
      <c r="I271" s="7" t="str">
        <f t="shared" si="16"/>
        <v>61001001001</v>
      </c>
      <c r="J271" s="7" t="str">
        <f t="shared" si="17"/>
        <v>Материал по ЕГРН</v>
      </c>
      <c r="K271" s="7">
        <f>VLOOKUP(J271,Лист2!A$2:B$4,2,FALSE)</f>
        <v>792</v>
      </c>
      <c r="L271" s="7" t="str">
        <f t="shared" si="18"/>
        <v>ГОТОВ_ИЗМЕНЕН</v>
      </c>
      <c r="M271" s="7">
        <f t="shared" si="19"/>
        <v>0</v>
      </c>
    </row>
    <row r="272" spans="1:13" x14ac:dyDescent="0.25">
      <c r="A272" s="1">
        <v>946203</v>
      </c>
      <c r="B272" s="6" t="s">
        <v>342</v>
      </c>
      <c r="F272" s="6" t="s">
        <v>9</v>
      </c>
      <c r="G272" s="6" t="s">
        <v>59</v>
      </c>
      <c r="H272" s="9" t="s">
        <v>60</v>
      </c>
      <c r="I272" s="7" t="str">
        <f t="shared" si="16"/>
        <v>61001001001</v>
      </c>
      <c r="J272" s="7" t="str">
        <f t="shared" si="17"/>
        <v>Материал по ЕГРН</v>
      </c>
      <c r="K272" s="7">
        <f>VLOOKUP(J272,Лист2!A$2:B$4,2,FALSE)</f>
        <v>792</v>
      </c>
      <c r="L272" s="7" t="str">
        <f t="shared" si="18"/>
        <v>ГОТОВ_ИЗМЕНЕН</v>
      </c>
      <c r="M272" s="7">
        <f t="shared" si="19"/>
        <v>0</v>
      </c>
    </row>
    <row r="273" spans="1:13" x14ac:dyDescent="0.25">
      <c r="A273" s="1">
        <v>946215</v>
      </c>
      <c r="B273" s="6" t="s">
        <v>343</v>
      </c>
      <c r="F273" s="6" t="s">
        <v>9</v>
      </c>
      <c r="G273" s="6" t="s">
        <v>90</v>
      </c>
      <c r="H273" s="9" t="s">
        <v>12</v>
      </c>
      <c r="I273" s="7" t="str">
        <f t="shared" si="16"/>
        <v>61001008000</v>
      </c>
      <c r="J273" s="7" t="str">
        <f t="shared" si="17"/>
        <v>Материал по ЕГРН</v>
      </c>
      <c r="K273" s="7">
        <f>VLOOKUP(J273,Лист2!A$2:B$4,2,FALSE)</f>
        <v>792</v>
      </c>
      <c r="L273" s="7" t="str">
        <f t="shared" si="18"/>
        <v>ГОТОВ_ИЗМЕНЕН</v>
      </c>
      <c r="M273" s="7">
        <f t="shared" si="19"/>
        <v>0</v>
      </c>
    </row>
    <row r="274" spans="1:13" x14ac:dyDescent="0.25">
      <c r="A274" s="1">
        <v>946227</v>
      </c>
      <c r="B274" s="6" t="s">
        <v>344</v>
      </c>
      <c r="F274" s="6" t="s">
        <v>9</v>
      </c>
      <c r="G274" s="6" t="s">
        <v>34</v>
      </c>
      <c r="H274" s="9" t="s">
        <v>35</v>
      </c>
      <c r="I274" s="7" t="str">
        <f t="shared" si="16"/>
        <v>61001002000</v>
      </c>
      <c r="J274" s="7" t="str">
        <f t="shared" si="17"/>
        <v>Материал по ЕГРН</v>
      </c>
      <c r="K274" s="7">
        <f>VLOOKUP(J274,Лист2!A$2:B$4,2,FALSE)</f>
        <v>792</v>
      </c>
      <c r="L274" s="7" t="str">
        <f t="shared" si="18"/>
        <v>ГОТОВ_ИЗМЕНЕН</v>
      </c>
      <c r="M274" s="7">
        <f t="shared" si="19"/>
        <v>0</v>
      </c>
    </row>
    <row r="275" spans="1:13" x14ac:dyDescent="0.25">
      <c r="A275" s="1">
        <v>946239</v>
      </c>
      <c r="B275" s="6" t="s">
        <v>345</v>
      </c>
      <c r="F275" s="6" t="s">
        <v>9</v>
      </c>
      <c r="G275" s="6" t="s">
        <v>38</v>
      </c>
      <c r="H275" s="9" t="s">
        <v>33</v>
      </c>
      <c r="I275" s="7" t="str">
        <f t="shared" si="16"/>
        <v>61001005000</v>
      </c>
      <c r="J275" s="7" t="str">
        <f t="shared" si="17"/>
        <v>Материал по ЕГРН</v>
      </c>
      <c r="K275" s="7">
        <f>VLOOKUP(J275,Лист2!A$2:B$4,2,FALSE)</f>
        <v>792</v>
      </c>
      <c r="L275" s="7" t="str">
        <f t="shared" si="18"/>
        <v>ГОТОВ_ИЗМЕНЕН</v>
      </c>
      <c r="M275" s="7">
        <f t="shared" si="19"/>
        <v>0</v>
      </c>
    </row>
    <row r="276" spans="1:13" x14ac:dyDescent="0.25">
      <c r="A276" s="1">
        <v>946251</v>
      </c>
      <c r="B276" s="6" t="s">
        <v>346</v>
      </c>
      <c r="F276" s="6" t="s">
        <v>9</v>
      </c>
      <c r="G276" s="6" t="s">
        <v>38</v>
      </c>
      <c r="H276" s="9" t="s">
        <v>33</v>
      </c>
      <c r="I276" s="7" t="str">
        <f t="shared" si="16"/>
        <v>61001005000</v>
      </c>
      <c r="J276" s="7" t="str">
        <f t="shared" si="17"/>
        <v>Материал по ЕГРН</v>
      </c>
      <c r="K276" s="7">
        <f>VLOOKUP(J276,Лист2!A$2:B$4,2,FALSE)</f>
        <v>792</v>
      </c>
      <c r="L276" s="7" t="str">
        <f t="shared" si="18"/>
        <v>ГОТОВ_ИЗМЕНЕН</v>
      </c>
      <c r="M276" s="7">
        <f t="shared" si="19"/>
        <v>0</v>
      </c>
    </row>
    <row r="277" spans="1:13" x14ac:dyDescent="0.25">
      <c r="A277" s="1">
        <v>946263</v>
      </c>
      <c r="B277" s="6" t="s">
        <v>347</v>
      </c>
      <c r="F277" s="6" t="s">
        <v>9</v>
      </c>
      <c r="G277" s="6" t="s">
        <v>38</v>
      </c>
      <c r="H277" s="9" t="s">
        <v>33</v>
      </c>
      <c r="I277" s="7" t="str">
        <f t="shared" si="16"/>
        <v>61001005000</v>
      </c>
      <c r="J277" s="7" t="str">
        <f t="shared" si="17"/>
        <v>Материал по ЕГРН</v>
      </c>
      <c r="K277" s="7">
        <f>VLOOKUP(J277,Лист2!A$2:B$4,2,FALSE)</f>
        <v>792</v>
      </c>
      <c r="L277" s="7" t="str">
        <f t="shared" si="18"/>
        <v>ГОТОВ_ИЗМЕНЕН</v>
      </c>
      <c r="M277" s="7">
        <f t="shared" si="19"/>
        <v>0</v>
      </c>
    </row>
    <row r="278" spans="1:13" x14ac:dyDescent="0.25">
      <c r="A278" s="1">
        <v>946275</v>
      </c>
      <c r="B278" s="6" t="s">
        <v>348</v>
      </c>
      <c r="F278" s="6" t="s">
        <v>9</v>
      </c>
      <c r="G278" s="6" t="s">
        <v>62</v>
      </c>
      <c r="H278" s="9" t="s">
        <v>63</v>
      </c>
      <c r="I278" s="7" t="str">
        <f t="shared" si="16"/>
        <v>61001006002</v>
      </c>
      <c r="J278" s="7" t="str">
        <f t="shared" si="17"/>
        <v>Материал по ЕГРН</v>
      </c>
      <c r="K278" s="7">
        <f>VLOOKUP(J278,Лист2!A$2:B$4,2,FALSE)</f>
        <v>792</v>
      </c>
      <c r="L278" s="7" t="str">
        <f t="shared" si="18"/>
        <v>ГОТОВ_ИЗМЕНЕН</v>
      </c>
      <c r="M278" s="7">
        <f t="shared" si="19"/>
        <v>0</v>
      </c>
    </row>
    <row r="279" spans="1:13" x14ac:dyDescent="0.25">
      <c r="A279" s="1">
        <v>946287</v>
      </c>
      <c r="B279" s="6" t="s">
        <v>349</v>
      </c>
      <c r="F279" s="6" t="s">
        <v>9</v>
      </c>
      <c r="G279" s="6" t="s">
        <v>38</v>
      </c>
      <c r="H279" s="9" t="s">
        <v>33</v>
      </c>
      <c r="I279" s="7" t="str">
        <f t="shared" si="16"/>
        <v>61001005000</v>
      </c>
      <c r="J279" s="7" t="str">
        <f t="shared" si="17"/>
        <v>Материал по ЕГРН</v>
      </c>
      <c r="K279" s="7">
        <f>VLOOKUP(J279,Лист2!A$2:B$4,2,FALSE)</f>
        <v>792</v>
      </c>
      <c r="L279" s="7" t="str">
        <f t="shared" si="18"/>
        <v>ГОТОВ_ИЗМЕНЕН</v>
      </c>
      <c r="M279" s="7">
        <f t="shared" si="19"/>
        <v>0</v>
      </c>
    </row>
    <row r="280" spans="1:13" x14ac:dyDescent="0.25">
      <c r="A280" s="1">
        <v>946299</v>
      </c>
      <c r="B280" s="6" t="s">
        <v>350</v>
      </c>
      <c r="F280" s="6" t="s">
        <v>9</v>
      </c>
      <c r="G280" s="6" t="s">
        <v>38</v>
      </c>
      <c r="H280" s="9" t="s">
        <v>33</v>
      </c>
      <c r="I280" s="7" t="str">
        <f t="shared" si="16"/>
        <v>61001005000</v>
      </c>
      <c r="J280" s="7" t="str">
        <f t="shared" si="17"/>
        <v>Материал по ЕГРН</v>
      </c>
      <c r="K280" s="7">
        <f>VLOOKUP(J280,Лист2!A$2:B$4,2,FALSE)</f>
        <v>792</v>
      </c>
      <c r="L280" s="7" t="str">
        <f t="shared" si="18"/>
        <v>ГОТОВ_ИЗМЕНЕН</v>
      </c>
      <c r="M280" s="7">
        <f t="shared" si="19"/>
        <v>0</v>
      </c>
    </row>
    <row r="281" spans="1:13" x14ac:dyDescent="0.25">
      <c r="A281" s="1">
        <v>946311</v>
      </c>
      <c r="B281" s="6" t="s">
        <v>351</v>
      </c>
      <c r="F281" s="6" t="s">
        <v>9</v>
      </c>
      <c r="G281" s="6" t="s">
        <v>149</v>
      </c>
      <c r="H281" s="9" t="s">
        <v>150</v>
      </c>
      <c r="I281" s="7" t="str">
        <f t="shared" si="16"/>
        <v>61001007000</v>
      </c>
      <c r="J281" s="7" t="str">
        <f t="shared" si="17"/>
        <v>Материал по ЕГРН</v>
      </c>
      <c r="K281" s="7">
        <f>VLOOKUP(J281,Лист2!A$2:B$4,2,FALSE)</f>
        <v>792</v>
      </c>
      <c r="L281" s="7" t="str">
        <f t="shared" si="18"/>
        <v>ГОТОВ_ИЗМЕНЕН</v>
      </c>
      <c r="M281" s="7">
        <f t="shared" si="19"/>
        <v>0</v>
      </c>
    </row>
    <row r="282" spans="1:13" x14ac:dyDescent="0.25">
      <c r="A282" s="1">
        <v>946323</v>
      </c>
      <c r="B282" s="6" t="s">
        <v>352</v>
      </c>
      <c r="F282" s="6" t="s">
        <v>9</v>
      </c>
      <c r="G282" s="6" t="s">
        <v>38</v>
      </c>
      <c r="H282" s="9" t="s">
        <v>33</v>
      </c>
      <c r="I282" s="7" t="str">
        <f t="shared" si="16"/>
        <v>61001005000</v>
      </c>
      <c r="J282" s="7" t="str">
        <f t="shared" si="17"/>
        <v>Материал по ЕГРН</v>
      </c>
      <c r="K282" s="7">
        <f>VLOOKUP(J282,Лист2!A$2:B$4,2,FALSE)</f>
        <v>792</v>
      </c>
      <c r="L282" s="7" t="str">
        <f t="shared" si="18"/>
        <v>ГОТОВ_ИЗМЕНЕН</v>
      </c>
      <c r="M282" s="7">
        <f t="shared" si="19"/>
        <v>0</v>
      </c>
    </row>
    <row r="283" spans="1:13" x14ac:dyDescent="0.25">
      <c r="A283" s="1">
        <v>946335</v>
      </c>
      <c r="B283" s="6" t="s">
        <v>353</v>
      </c>
      <c r="F283" s="6" t="s">
        <v>9</v>
      </c>
      <c r="G283" s="6" t="s">
        <v>34</v>
      </c>
      <c r="H283" s="9" t="s">
        <v>35</v>
      </c>
      <c r="I283" s="7" t="str">
        <f t="shared" si="16"/>
        <v>61001002000</v>
      </c>
      <c r="J283" s="7" t="str">
        <f t="shared" si="17"/>
        <v>Материал по ЕГРН</v>
      </c>
      <c r="K283" s="7">
        <f>VLOOKUP(J283,Лист2!A$2:B$4,2,FALSE)</f>
        <v>792</v>
      </c>
      <c r="L283" s="7" t="str">
        <f t="shared" si="18"/>
        <v>ГОТОВ_ИЗМЕНЕН</v>
      </c>
      <c r="M283" s="7">
        <f t="shared" si="19"/>
        <v>0</v>
      </c>
    </row>
    <row r="284" spans="1:13" x14ac:dyDescent="0.25">
      <c r="A284" s="1">
        <v>946347</v>
      </c>
      <c r="B284" s="6" t="s">
        <v>354</v>
      </c>
      <c r="F284" s="6" t="s">
        <v>9</v>
      </c>
      <c r="G284" s="6" t="s">
        <v>149</v>
      </c>
      <c r="H284" s="9" t="s">
        <v>150</v>
      </c>
      <c r="I284" s="7" t="str">
        <f t="shared" si="16"/>
        <v>61001007000</v>
      </c>
      <c r="J284" s="7" t="str">
        <f t="shared" si="17"/>
        <v>Материал по ЕГРН</v>
      </c>
      <c r="K284" s="7">
        <f>VLOOKUP(J284,Лист2!A$2:B$4,2,FALSE)</f>
        <v>792</v>
      </c>
      <c r="L284" s="7" t="str">
        <f t="shared" si="18"/>
        <v>ГОТОВ_ИЗМЕНЕН</v>
      </c>
      <c r="M284" s="7">
        <f t="shared" si="19"/>
        <v>0</v>
      </c>
    </row>
    <row r="285" spans="1:13" x14ac:dyDescent="0.25">
      <c r="A285" s="1">
        <v>946359</v>
      </c>
      <c r="B285" s="6" t="s">
        <v>355</v>
      </c>
      <c r="F285" s="6" t="s">
        <v>9</v>
      </c>
      <c r="G285" s="6" t="s">
        <v>38</v>
      </c>
      <c r="H285" s="9" t="s">
        <v>33</v>
      </c>
      <c r="I285" s="7" t="str">
        <f t="shared" si="16"/>
        <v>61001005000</v>
      </c>
      <c r="J285" s="7" t="str">
        <f t="shared" si="17"/>
        <v>Материал по ЕГРН</v>
      </c>
      <c r="K285" s="7">
        <f>VLOOKUP(J285,Лист2!A$2:B$4,2,FALSE)</f>
        <v>792</v>
      </c>
      <c r="L285" s="7" t="str">
        <f t="shared" si="18"/>
        <v>ГОТОВ_ИЗМЕНЕН</v>
      </c>
      <c r="M285" s="7">
        <f t="shared" si="19"/>
        <v>0</v>
      </c>
    </row>
    <row r="286" spans="1:13" x14ac:dyDescent="0.25">
      <c r="A286" s="1">
        <v>946371</v>
      </c>
      <c r="B286" s="6" t="s">
        <v>356</v>
      </c>
      <c r="F286" s="6" t="s">
        <v>9</v>
      </c>
      <c r="G286" s="6" t="s">
        <v>38</v>
      </c>
      <c r="H286" s="9" t="s">
        <v>33</v>
      </c>
      <c r="I286" s="7" t="str">
        <f t="shared" si="16"/>
        <v>61001005000</v>
      </c>
      <c r="J286" s="7" t="str">
        <f t="shared" si="17"/>
        <v>Материал по ЕГРН</v>
      </c>
      <c r="K286" s="7">
        <f>VLOOKUP(J286,Лист2!A$2:B$4,2,FALSE)</f>
        <v>792</v>
      </c>
      <c r="L286" s="7" t="str">
        <f t="shared" si="18"/>
        <v>ГОТОВ_ИЗМЕНЕН</v>
      </c>
      <c r="M286" s="7">
        <f t="shared" si="19"/>
        <v>0</v>
      </c>
    </row>
    <row r="287" spans="1:13" x14ac:dyDescent="0.25">
      <c r="A287" s="1">
        <v>946383</v>
      </c>
      <c r="B287" s="6" t="s">
        <v>357</v>
      </c>
      <c r="F287" s="6" t="s">
        <v>9</v>
      </c>
      <c r="G287" s="6" t="s">
        <v>34</v>
      </c>
      <c r="H287" s="9" t="s">
        <v>35</v>
      </c>
      <c r="I287" s="7" t="str">
        <f t="shared" si="16"/>
        <v>61001002000</v>
      </c>
      <c r="J287" s="7" t="str">
        <f t="shared" si="17"/>
        <v>Материал по ЕГРН</v>
      </c>
      <c r="K287" s="7">
        <f>VLOOKUP(J287,Лист2!A$2:B$4,2,FALSE)</f>
        <v>792</v>
      </c>
      <c r="L287" s="7" t="str">
        <f t="shared" si="18"/>
        <v>ГОТОВ_ИЗМЕНЕН</v>
      </c>
      <c r="M287" s="7">
        <f t="shared" si="19"/>
        <v>0</v>
      </c>
    </row>
    <row r="288" spans="1:13" x14ac:dyDescent="0.25">
      <c r="A288" s="1">
        <v>946395</v>
      </c>
      <c r="B288" s="6" t="s">
        <v>358</v>
      </c>
      <c r="F288" s="6" t="s">
        <v>9</v>
      </c>
      <c r="G288" s="6" t="s">
        <v>38</v>
      </c>
      <c r="H288" s="9" t="s">
        <v>33</v>
      </c>
      <c r="I288" s="7" t="str">
        <f t="shared" si="16"/>
        <v>61001005000</v>
      </c>
      <c r="J288" s="7" t="str">
        <f t="shared" si="17"/>
        <v>Материал по ЕГРН</v>
      </c>
      <c r="K288" s="7">
        <f>VLOOKUP(J288,Лист2!A$2:B$4,2,FALSE)</f>
        <v>792</v>
      </c>
      <c r="L288" s="7" t="str">
        <f t="shared" si="18"/>
        <v>ГОТОВ_ИЗМЕНЕН</v>
      </c>
      <c r="M288" s="7">
        <f t="shared" si="19"/>
        <v>0</v>
      </c>
    </row>
    <row r="289" spans="1:13" x14ac:dyDescent="0.25">
      <c r="A289" s="1">
        <v>322545</v>
      </c>
      <c r="B289" s="6" t="s">
        <v>359</v>
      </c>
      <c r="C289" s="9" t="s">
        <v>33</v>
      </c>
      <c r="D289" s="6" t="s">
        <v>20</v>
      </c>
      <c r="E289" s="6" t="s">
        <v>37</v>
      </c>
      <c r="F289" s="6" t="s">
        <v>9</v>
      </c>
      <c r="G289" s="6" t="s">
        <v>38</v>
      </c>
      <c r="H289" s="9" t="s">
        <v>33</v>
      </c>
      <c r="I289" s="7" t="str">
        <f t="shared" si="16"/>
        <v>61001005000</v>
      </c>
      <c r="J289" s="7" t="str">
        <f t="shared" si="17"/>
        <v>Материал по ЕГРН</v>
      </c>
      <c r="K289" s="7">
        <f>VLOOKUP(J289,Лист2!A$2:B$4,2,FALSE)</f>
        <v>792</v>
      </c>
      <c r="L289" s="7" t="str">
        <f t="shared" si="18"/>
        <v>ГОТОВ</v>
      </c>
      <c r="M289" s="7" t="str">
        <f t="shared" si="19"/>
        <v>61001005000</v>
      </c>
    </row>
    <row r="290" spans="1:13" x14ac:dyDescent="0.25">
      <c r="A290" s="1">
        <v>543900</v>
      </c>
      <c r="B290" s="6" t="s">
        <v>360</v>
      </c>
      <c r="C290" s="9" t="s">
        <v>42</v>
      </c>
      <c r="D290" s="6" t="s">
        <v>20</v>
      </c>
      <c r="E290" s="6" t="s">
        <v>37</v>
      </c>
      <c r="F290" s="6" t="s">
        <v>9</v>
      </c>
      <c r="G290" s="6" t="s">
        <v>43</v>
      </c>
      <c r="H290" s="9" t="s">
        <v>42</v>
      </c>
      <c r="I290" s="7" t="str">
        <f t="shared" si="16"/>
        <v>61001002001</v>
      </c>
      <c r="J290" s="7" t="str">
        <f t="shared" si="17"/>
        <v>Материал по ЕГРН</v>
      </c>
      <c r="K290" s="7">
        <f>VLOOKUP(J290,Лист2!A$2:B$4,2,FALSE)</f>
        <v>792</v>
      </c>
      <c r="L290" s="7" t="str">
        <f t="shared" si="18"/>
        <v>ГОТОВ</v>
      </c>
      <c r="M290" s="7" t="str">
        <f t="shared" si="19"/>
        <v>61001002001</v>
      </c>
    </row>
    <row r="291" spans="1:13" x14ac:dyDescent="0.25">
      <c r="A291" s="1">
        <v>857894</v>
      </c>
      <c r="B291" s="6" t="s">
        <v>361</v>
      </c>
      <c r="C291" s="9" t="s">
        <v>42</v>
      </c>
      <c r="D291" s="6" t="s">
        <v>20</v>
      </c>
      <c r="E291" s="6" t="s">
        <v>37</v>
      </c>
      <c r="F291" s="6" t="s">
        <v>9</v>
      </c>
      <c r="G291" s="6" t="s">
        <v>43</v>
      </c>
      <c r="H291" s="9" t="s">
        <v>42</v>
      </c>
      <c r="I291" s="7" t="str">
        <f t="shared" si="16"/>
        <v>61001002001</v>
      </c>
      <c r="J291" s="7" t="str">
        <f t="shared" si="17"/>
        <v>Материал по ЕГРН</v>
      </c>
      <c r="K291" s="7">
        <f>VLOOKUP(J291,Лист2!A$2:B$4,2,FALSE)</f>
        <v>792</v>
      </c>
      <c r="L291" s="7" t="str">
        <f t="shared" si="18"/>
        <v>ГОТОВ</v>
      </c>
      <c r="M291" s="7" t="str">
        <f t="shared" si="19"/>
        <v>61001002001</v>
      </c>
    </row>
    <row r="292" spans="1:13" x14ac:dyDescent="0.25">
      <c r="A292" s="1">
        <v>944919</v>
      </c>
      <c r="B292" s="6" t="s">
        <v>362</v>
      </c>
      <c r="F292" s="6" t="s">
        <v>9</v>
      </c>
      <c r="G292" s="6" t="s">
        <v>38</v>
      </c>
      <c r="H292" s="9" t="s">
        <v>33</v>
      </c>
      <c r="I292" s="7" t="str">
        <f t="shared" si="16"/>
        <v>61001005000</v>
      </c>
      <c r="J292" s="7" t="str">
        <f t="shared" si="17"/>
        <v>Материал по ЕГРН</v>
      </c>
      <c r="K292" s="7">
        <f>VLOOKUP(J292,Лист2!A$2:B$4,2,FALSE)</f>
        <v>792</v>
      </c>
      <c r="L292" s="7" t="str">
        <f t="shared" si="18"/>
        <v>ГОТОВ_ИЗМЕНЕН</v>
      </c>
      <c r="M292" s="7">
        <f t="shared" si="19"/>
        <v>0</v>
      </c>
    </row>
    <row r="293" spans="1:13" x14ac:dyDescent="0.25">
      <c r="A293" s="1">
        <v>944931</v>
      </c>
      <c r="B293" s="6" t="s">
        <v>363</v>
      </c>
      <c r="F293" s="6" t="s">
        <v>9</v>
      </c>
      <c r="G293" s="6" t="s">
        <v>34</v>
      </c>
      <c r="H293" s="9" t="s">
        <v>35</v>
      </c>
      <c r="I293" s="7" t="str">
        <f t="shared" si="16"/>
        <v>61001002000</v>
      </c>
      <c r="J293" s="7" t="str">
        <f t="shared" si="17"/>
        <v>Материал по ЕГРН</v>
      </c>
      <c r="K293" s="7">
        <f>VLOOKUP(J293,Лист2!A$2:B$4,2,FALSE)</f>
        <v>792</v>
      </c>
      <c r="L293" s="7" t="str">
        <f t="shared" si="18"/>
        <v>ГОТОВ_ИЗМЕНЕН</v>
      </c>
      <c r="M293" s="7">
        <f t="shared" si="19"/>
        <v>0</v>
      </c>
    </row>
    <row r="294" spans="1:13" x14ac:dyDescent="0.25">
      <c r="A294" s="1">
        <v>944943</v>
      </c>
      <c r="B294" s="6" t="s">
        <v>364</v>
      </c>
      <c r="F294" s="6" t="s">
        <v>9</v>
      </c>
      <c r="G294" s="6" t="s">
        <v>365</v>
      </c>
      <c r="H294" s="9" t="s">
        <v>366</v>
      </c>
      <c r="I294" s="7" t="str">
        <f t="shared" si="16"/>
        <v>61001003000</v>
      </c>
      <c r="J294" s="7" t="str">
        <f t="shared" si="17"/>
        <v>Смешанные по допущению</v>
      </c>
      <c r="K294" s="7">
        <f>VLOOKUP(J294,Лист2!A$2:B$4,2,FALSE)</f>
        <v>793</v>
      </c>
      <c r="L294" s="7" t="str">
        <f t="shared" si="18"/>
        <v>ГОТОВ_ИЗМЕНЕН</v>
      </c>
      <c r="M294" s="7">
        <f t="shared" si="19"/>
        <v>0</v>
      </c>
    </row>
    <row r="295" spans="1:13" x14ac:dyDescent="0.25">
      <c r="A295" s="1">
        <v>944955</v>
      </c>
      <c r="B295" s="6" t="s">
        <v>367</v>
      </c>
      <c r="F295" s="6" t="s">
        <v>9</v>
      </c>
      <c r="G295" s="6" t="s">
        <v>34</v>
      </c>
      <c r="H295" s="9" t="s">
        <v>35</v>
      </c>
      <c r="I295" s="7" t="str">
        <f t="shared" si="16"/>
        <v>61001002000</v>
      </c>
      <c r="J295" s="7" t="str">
        <f t="shared" si="17"/>
        <v>Материал по ЕГРН</v>
      </c>
      <c r="K295" s="7">
        <f>VLOOKUP(J295,Лист2!A$2:B$4,2,FALSE)</f>
        <v>792</v>
      </c>
      <c r="L295" s="7" t="str">
        <f t="shared" si="18"/>
        <v>ГОТОВ_ИЗМЕНЕН</v>
      </c>
      <c r="M295" s="7">
        <f t="shared" si="19"/>
        <v>0</v>
      </c>
    </row>
    <row r="296" spans="1:13" x14ac:dyDescent="0.25">
      <c r="A296" s="1">
        <v>944967</v>
      </c>
      <c r="B296" s="6" t="s">
        <v>368</v>
      </c>
      <c r="F296" s="6" t="s">
        <v>9</v>
      </c>
      <c r="G296" s="6" t="s">
        <v>125</v>
      </c>
      <c r="H296" s="9" t="s">
        <v>126</v>
      </c>
      <c r="I296" s="7" t="str">
        <f t="shared" si="16"/>
        <v>61001007004</v>
      </c>
      <c r="J296" s="7" t="str">
        <f t="shared" si="17"/>
        <v>Материал по ЕГРН</v>
      </c>
      <c r="K296" s="7">
        <f>VLOOKUP(J296,Лист2!A$2:B$4,2,FALSE)</f>
        <v>792</v>
      </c>
      <c r="L296" s="7" t="str">
        <f t="shared" si="18"/>
        <v>ГОТОВ_ИЗМЕНЕН</v>
      </c>
      <c r="M296" s="7">
        <f t="shared" si="19"/>
        <v>0</v>
      </c>
    </row>
    <row r="297" spans="1:13" x14ac:dyDescent="0.25">
      <c r="A297" s="1">
        <v>944979</v>
      </c>
      <c r="B297" s="6" t="s">
        <v>369</v>
      </c>
      <c r="F297" s="6" t="s">
        <v>9</v>
      </c>
      <c r="G297" s="6" t="s">
        <v>38</v>
      </c>
      <c r="H297" s="9" t="s">
        <v>33</v>
      </c>
      <c r="I297" s="7" t="str">
        <f t="shared" si="16"/>
        <v>61001005000</v>
      </c>
      <c r="J297" s="7" t="str">
        <f t="shared" si="17"/>
        <v>Материал по ЕГРН</v>
      </c>
      <c r="K297" s="7">
        <f>VLOOKUP(J297,Лист2!A$2:B$4,2,FALSE)</f>
        <v>792</v>
      </c>
      <c r="L297" s="7" t="str">
        <f t="shared" si="18"/>
        <v>ГОТОВ_ИЗМЕНЕН</v>
      </c>
      <c r="M297" s="7">
        <f t="shared" si="19"/>
        <v>0</v>
      </c>
    </row>
    <row r="298" spans="1:13" x14ac:dyDescent="0.25">
      <c r="A298" s="1">
        <v>944991</v>
      </c>
      <c r="B298" s="6" t="s">
        <v>370</v>
      </c>
      <c r="F298" s="6" t="s">
        <v>9</v>
      </c>
      <c r="G298" s="6" t="s">
        <v>34</v>
      </c>
      <c r="H298" s="9" t="s">
        <v>35</v>
      </c>
      <c r="I298" s="7" t="str">
        <f t="shared" si="16"/>
        <v>61001002000</v>
      </c>
      <c r="J298" s="7" t="str">
        <f t="shared" si="17"/>
        <v>Материал по ЕГРН</v>
      </c>
      <c r="K298" s="7">
        <f>VLOOKUP(J298,Лист2!A$2:B$4,2,FALSE)</f>
        <v>792</v>
      </c>
      <c r="L298" s="7" t="str">
        <f t="shared" si="18"/>
        <v>ГОТОВ_ИЗМЕНЕН</v>
      </c>
      <c r="M298" s="7">
        <f t="shared" si="19"/>
        <v>0</v>
      </c>
    </row>
    <row r="299" spans="1:13" x14ac:dyDescent="0.25">
      <c r="A299" s="1">
        <v>945003</v>
      </c>
      <c r="B299" s="6" t="s">
        <v>371</v>
      </c>
      <c r="F299" s="6" t="s">
        <v>9</v>
      </c>
      <c r="G299" s="6" t="s">
        <v>10</v>
      </c>
      <c r="H299" s="9" t="s">
        <v>11</v>
      </c>
      <c r="I299" s="7" t="str">
        <f t="shared" si="16"/>
        <v>61001003000</v>
      </c>
      <c r="J299" s="7" t="str">
        <f t="shared" si="17"/>
        <v>Материал по ЕГРН</v>
      </c>
      <c r="K299" s="7">
        <f>VLOOKUP(J299,Лист2!A$2:B$4,2,FALSE)</f>
        <v>792</v>
      </c>
      <c r="L299" s="7" t="str">
        <f t="shared" si="18"/>
        <v>ГОТОВ_ИЗМЕНЕН</v>
      </c>
      <c r="M299" s="7">
        <f t="shared" si="19"/>
        <v>0</v>
      </c>
    </row>
    <row r="300" spans="1:13" x14ac:dyDescent="0.25">
      <c r="A300" s="1">
        <v>945015</v>
      </c>
      <c r="B300" s="6" t="s">
        <v>372</v>
      </c>
      <c r="F300" s="6" t="s">
        <v>9</v>
      </c>
      <c r="G300" s="6" t="s">
        <v>34</v>
      </c>
      <c r="H300" s="9" t="s">
        <v>35</v>
      </c>
      <c r="I300" s="7" t="str">
        <f t="shared" si="16"/>
        <v>61001002000</v>
      </c>
      <c r="J300" s="7" t="str">
        <f t="shared" si="17"/>
        <v>Материал по ЕГРН</v>
      </c>
      <c r="K300" s="7">
        <f>VLOOKUP(J300,Лист2!A$2:B$4,2,FALSE)</f>
        <v>792</v>
      </c>
      <c r="L300" s="7" t="str">
        <f t="shared" si="18"/>
        <v>ГОТОВ_ИЗМЕНЕН</v>
      </c>
      <c r="M300" s="7">
        <f t="shared" si="19"/>
        <v>0</v>
      </c>
    </row>
    <row r="301" spans="1:13" x14ac:dyDescent="0.25">
      <c r="A301" s="1">
        <v>945027</v>
      </c>
      <c r="B301" s="6" t="s">
        <v>373</v>
      </c>
      <c r="F301" s="6" t="s">
        <v>9</v>
      </c>
      <c r="G301" s="6" t="s">
        <v>73</v>
      </c>
      <c r="H301" s="9" t="s">
        <v>74</v>
      </c>
      <c r="I301" s="7" t="str">
        <f t="shared" si="16"/>
        <v>61001006000</v>
      </c>
      <c r="J301" s="7" t="str">
        <f t="shared" si="17"/>
        <v>Материал по ЕГРН</v>
      </c>
      <c r="K301" s="7">
        <f>VLOOKUP(J301,Лист2!A$2:B$4,2,FALSE)</f>
        <v>792</v>
      </c>
      <c r="L301" s="7" t="str">
        <f t="shared" si="18"/>
        <v>ГОТОВ_ИЗМЕНЕН</v>
      </c>
      <c r="M301" s="7">
        <f t="shared" si="19"/>
        <v>0</v>
      </c>
    </row>
    <row r="302" spans="1:13" x14ac:dyDescent="0.25">
      <c r="A302" s="1">
        <v>945039</v>
      </c>
      <c r="B302" s="6" t="s">
        <v>374</v>
      </c>
      <c r="F302" s="6" t="s">
        <v>9</v>
      </c>
      <c r="G302" s="6" t="s">
        <v>38</v>
      </c>
      <c r="H302" s="9" t="s">
        <v>33</v>
      </c>
      <c r="I302" s="7" t="str">
        <f t="shared" si="16"/>
        <v>61001005000</v>
      </c>
      <c r="J302" s="7" t="str">
        <f t="shared" si="17"/>
        <v>Материал по ЕГРН</v>
      </c>
      <c r="K302" s="7">
        <f>VLOOKUP(J302,Лист2!A$2:B$4,2,FALSE)</f>
        <v>792</v>
      </c>
      <c r="L302" s="7" t="str">
        <f t="shared" si="18"/>
        <v>ГОТОВ_ИЗМЕНЕН</v>
      </c>
      <c r="M302" s="7">
        <f t="shared" si="19"/>
        <v>0</v>
      </c>
    </row>
    <row r="303" spans="1:13" x14ac:dyDescent="0.25">
      <c r="A303" s="1">
        <v>945051</v>
      </c>
      <c r="B303" s="6" t="s">
        <v>375</v>
      </c>
      <c r="F303" s="6" t="s">
        <v>9</v>
      </c>
      <c r="G303" s="6" t="s">
        <v>10</v>
      </c>
      <c r="H303" s="9" t="s">
        <v>11</v>
      </c>
      <c r="I303" s="7" t="str">
        <f t="shared" si="16"/>
        <v>61001003000</v>
      </c>
      <c r="J303" s="7" t="str">
        <f t="shared" si="17"/>
        <v>Материал по ЕГРН</v>
      </c>
      <c r="K303" s="7">
        <f>VLOOKUP(J303,Лист2!A$2:B$4,2,FALSE)</f>
        <v>792</v>
      </c>
      <c r="L303" s="7" t="str">
        <f t="shared" si="18"/>
        <v>ГОТОВ_ИЗМЕНЕН</v>
      </c>
      <c r="M303" s="7">
        <f t="shared" si="19"/>
        <v>0</v>
      </c>
    </row>
    <row r="304" spans="1:13" x14ac:dyDescent="0.25">
      <c r="A304" s="1">
        <v>945063</v>
      </c>
      <c r="B304" s="6" t="s">
        <v>376</v>
      </c>
      <c r="F304" s="6" t="s">
        <v>9</v>
      </c>
      <c r="G304" s="6" t="s">
        <v>59</v>
      </c>
      <c r="H304" s="9" t="s">
        <v>60</v>
      </c>
      <c r="I304" s="7" t="str">
        <f t="shared" si="16"/>
        <v>61001001001</v>
      </c>
      <c r="J304" s="7" t="str">
        <f t="shared" si="17"/>
        <v>Материал по ЕГРН</v>
      </c>
      <c r="K304" s="7">
        <f>VLOOKUP(J304,Лист2!A$2:B$4,2,FALSE)</f>
        <v>792</v>
      </c>
      <c r="L304" s="7" t="str">
        <f t="shared" si="18"/>
        <v>ГОТОВ_ИЗМЕНЕН</v>
      </c>
      <c r="M304" s="7">
        <f t="shared" si="19"/>
        <v>0</v>
      </c>
    </row>
    <row r="305" spans="1:13" x14ac:dyDescent="0.25">
      <c r="A305" s="1">
        <v>945075</v>
      </c>
      <c r="B305" s="6" t="s">
        <v>377</v>
      </c>
      <c r="F305" s="6" t="s">
        <v>9</v>
      </c>
      <c r="G305" s="6" t="s">
        <v>34</v>
      </c>
      <c r="H305" s="9" t="s">
        <v>35</v>
      </c>
      <c r="I305" s="7" t="str">
        <f t="shared" si="16"/>
        <v>61001002000</v>
      </c>
      <c r="J305" s="7" t="str">
        <f t="shared" si="17"/>
        <v>Материал по ЕГРН</v>
      </c>
      <c r="K305" s="7">
        <f>VLOOKUP(J305,Лист2!A$2:B$4,2,FALSE)</f>
        <v>792</v>
      </c>
      <c r="L305" s="7" t="str">
        <f t="shared" si="18"/>
        <v>ГОТОВ_ИЗМЕНЕН</v>
      </c>
      <c r="M305" s="7">
        <f t="shared" si="19"/>
        <v>0</v>
      </c>
    </row>
    <row r="306" spans="1:13" x14ac:dyDescent="0.25">
      <c r="A306" s="1">
        <v>945087</v>
      </c>
      <c r="B306" s="6" t="s">
        <v>378</v>
      </c>
      <c r="F306" s="6" t="s">
        <v>9</v>
      </c>
      <c r="G306" s="6" t="s">
        <v>38</v>
      </c>
      <c r="H306" s="9" t="s">
        <v>33</v>
      </c>
      <c r="I306" s="7" t="str">
        <f t="shared" si="16"/>
        <v>61001005000</v>
      </c>
      <c r="J306" s="7" t="str">
        <f t="shared" si="17"/>
        <v>Материал по ЕГРН</v>
      </c>
      <c r="K306" s="7">
        <f>VLOOKUP(J306,Лист2!A$2:B$4,2,FALSE)</f>
        <v>792</v>
      </c>
      <c r="L306" s="7" t="str">
        <f t="shared" si="18"/>
        <v>ГОТОВ_ИЗМЕНЕН</v>
      </c>
      <c r="M306" s="7">
        <f t="shared" si="19"/>
        <v>0</v>
      </c>
    </row>
    <row r="307" spans="1:13" x14ac:dyDescent="0.25">
      <c r="A307" s="1">
        <v>945099</v>
      </c>
      <c r="B307" s="6" t="s">
        <v>379</v>
      </c>
      <c r="F307" s="6" t="s">
        <v>9</v>
      </c>
      <c r="G307" s="6" t="s">
        <v>170</v>
      </c>
      <c r="H307" s="9" t="s">
        <v>171</v>
      </c>
      <c r="I307" s="7" t="str">
        <f t="shared" si="16"/>
        <v>61001001000</v>
      </c>
      <c r="J307" s="7" t="str">
        <f t="shared" si="17"/>
        <v>Материал по ЕГРН</v>
      </c>
      <c r="K307" s="7">
        <f>VLOOKUP(J307,Лист2!A$2:B$4,2,FALSE)</f>
        <v>792</v>
      </c>
      <c r="L307" s="7" t="str">
        <f t="shared" si="18"/>
        <v>ГОТОВ_ИЗМЕНЕН</v>
      </c>
      <c r="M307" s="7">
        <f t="shared" si="19"/>
        <v>0</v>
      </c>
    </row>
    <row r="308" spans="1:13" x14ac:dyDescent="0.25">
      <c r="A308" s="1">
        <v>945111</v>
      </c>
      <c r="B308" s="6" t="s">
        <v>380</v>
      </c>
      <c r="F308" s="6" t="s">
        <v>9</v>
      </c>
      <c r="G308" s="6" t="s">
        <v>38</v>
      </c>
      <c r="H308" s="9" t="s">
        <v>33</v>
      </c>
      <c r="I308" s="7" t="str">
        <f t="shared" si="16"/>
        <v>61001005000</v>
      </c>
      <c r="J308" s="7" t="str">
        <f t="shared" si="17"/>
        <v>Материал по ЕГРН</v>
      </c>
      <c r="K308" s="7">
        <f>VLOOKUP(J308,Лист2!A$2:B$4,2,FALSE)</f>
        <v>792</v>
      </c>
      <c r="L308" s="7" t="str">
        <f t="shared" si="18"/>
        <v>ГОТОВ_ИЗМЕНЕН</v>
      </c>
      <c r="M308" s="7">
        <f t="shared" si="19"/>
        <v>0</v>
      </c>
    </row>
    <row r="309" spans="1:13" x14ac:dyDescent="0.25">
      <c r="A309" s="1">
        <v>945123</v>
      </c>
      <c r="B309" s="6" t="s">
        <v>381</v>
      </c>
      <c r="F309" s="6" t="s">
        <v>9</v>
      </c>
      <c r="G309" s="6" t="s">
        <v>125</v>
      </c>
      <c r="H309" s="9" t="s">
        <v>126</v>
      </c>
      <c r="I309" s="7" t="str">
        <f t="shared" si="16"/>
        <v>61001007004</v>
      </c>
      <c r="J309" s="7" t="str">
        <f t="shared" si="17"/>
        <v>Материал по ЕГРН</v>
      </c>
      <c r="K309" s="7">
        <f>VLOOKUP(J309,Лист2!A$2:B$4,2,FALSE)</f>
        <v>792</v>
      </c>
      <c r="L309" s="7" t="str">
        <f t="shared" si="18"/>
        <v>ГОТОВ_ИЗМЕНЕН</v>
      </c>
      <c r="M309" s="7">
        <f t="shared" si="19"/>
        <v>0</v>
      </c>
    </row>
    <row r="310" spans="1:13" x14ac:dyDescent="0.25">
      <c r="A310" s="1">
        <v>945135</v>
      </c>
      <c r="B310" s="6" t="s">
        <v>382</v>
      </c>
      <c r="F310" s="6" t="s">
        <v>9</v>
      </c>
      <c r="G310" s="6" t="s">
        <v>170</v>
      </c>
      <c r="H310" s="9" t="s">
        <v>171</v>
      </c>
      <c r="I310" s="7" t="str">
        <f t="shared" si="16"/>
        <v>61001001000</v>
      </c>
      <c r="J310" s="7" t="str">
        <f t="shared" si="17"/>
        <v>Материал по ЕГРН</v>
      </c>
      <c r="K310" s="7">
        <f>VLOOKUP(J310,Лист2!A$2:B$4,2,FALSE)</f>
        <v>792</v>
      </c>
      <c r="L310" s="7" t="str">
        <f t="shared" si="18"/>
        <v>ГОТОВ_ИЗМЕНЕН</v>
      </c>
      <c r="M310" s="7">
        <f t="shared" si="19"/>
        <v>0</v>
      </c>
    </row>
    <row r="311" spans="1:13" x14ac:dyDescent="0.25">
      <c r="A311" s="1">
        <v>945147</v>
      </c>
      <c r="B311" s="6" t="s">
        <v>383</v>
      </c>
      <c r="F311" s="6" t="s">
        <v>9</v>
      </c>
      <c r="G311" s="6" t="s">
        <v>62</v>
      </c>
      <c r="H311" s="9" t="s">
        <v>63</v>
      </c>
      <c r="I311" s="7" t="str">
        <f t="shared" si="16"/>
        <v>61001006002</v>
      </c>
      <c r="J311" s="7" t="str">
        <f t="shared" si="17"/>
        <v>Материал по ЕГРН</v>
      </c>
      <c r="K311" s="7">
        <f>VLOOKUP(J311,Лист2!A$2:B$4,2,FALSE)</f>
        <v>792</v>
      </c>
      <c r="L311" s="7" t="str">
        <f t="shared" si="18"/>
        <v>ГОТОВ_ИЗМЕНЕН</v>
      </c>
      <c r="M311" s="7">
        <f t="shared" si="19"/>
        <v>0</v>
      </c>
    </row>
    <row r="312" spans="1:13" x14ac:dyDescent="0.25">
      <c r="A312" s="1">
        <v>945159</v>
      </c>
      <c r="B312" s="6" t="s">
        <v>384</v>
      </c>
      <c r="F312" s="6" t="s">
        <v>9</v>
      </c>
      <c r="G312" s="6" t="s">
        <v>34</v>
      </c>
      <c r="H312" s="9" t="s">
        <v>35</v>
      </c>
      <c r="I312" s="7" t="str">
        <f t="shared" si="16"/>
        <v>61001002000</v>
      </c>
      <c r="J312" s="7" t="str">
        <f t="shared" si="17"/>
        <v>Материал по ЕГРН</v>
      </c>
      <c r="K312" s="7">
        <f>VLOOKUP(J312,Лист2!A$2:B$4,2,FALSE)</f>
        <v>792</v>
      </c>
      <c r="L312" s="7" t="str">
        <f t="shared" si="18"/>
        <v>ГОТОВ_ИЗМЕНЕН</v>
      </c>
      <c r="M312" s="7">
        <f t="shared" si="19"/>
        <v>0</v>
      </c>
    </row>
    <row r="313" spans="1:13" x14ac:dyDescent="0.25">
      <c r="A313" s="1">
        <v>945171</v>
      </c>
      <c r="B313" s="6" t="s">
        <v>385</v>
      </c>
      <c r="E313" s="6" t="s">
        <v>8</v>
      </c>
      <c r="F313" s="6" t="s">
        <v>9</v>
      </c>
      <c r="G313" s="6" t="s">
        <v>386</v>
      </c>
      <c r="H313" s="9" t="s">
        <v>60</v>
      </c>
      <c r="I313" s="7" t="str">
        <f t="shared" si="16"/>
        <v>61001001001</v>
      </c>
      <c r="J313" s="7" t="str">
        <f t="shared" si="17"/>
        <v>Материал по ЕГРН</v>
      </c>
      <c r="K313" s="7">
        <f>VLOOKUP(J313,Лист2!A$2:B$4,2,FALSE)</f>
        <v>792</v>
      </c>
      <c r="L313" s="7" t="str">
        <f t="shared" si="18"/>
        <v>ГОТОВ_ИЗМЕНЕН</v>
      </c>
      <c r="M313" s="7">
        <f t="shared" si="19"/>
        <v>0</v>
      </c>
    </row>
    <row r="314" spans="1:13" x14ac:dyDescent="0.25">
      <c r="A314" s="1">
        <v>945183</v>
      </c>
      <c r="B314" s="6" t="s">
        <v>387</v>
      </c>
      <c r="F314" s="6" t="s">
        <v>9</v>
      </c>
      <c r="G314" s="6" t="s">
        <v>10</v>
      </c>
      <c r="H314" s="9" t="s">
        <v>11</v>
      </c>
      <c r="I314" s="7" t="str">
        <f t="shared" si="16"/>
        <v>61001003000</v>
      </c>
      <c r="J314" s="7" t="str">
        <f t="shared" si="17"/>
        <v>Материал по ЕГРН</v>
      </c>
      <c r="K314" s="7">
        <f>VLOOKUP(J314,Лист2!A$2:B$4,2,FALSE)</f>
        <v>792</v>
      </c>
      <c r="L314" s="7" t="str">
        <f t="shared" si="18"/>
        <v>ГОТОВ_ИЗМЕНЕН</v>
      </c>
      <c r="M314" s="7">
        <f t="shared" si="19"/>
        <v>0</v>
      </c>
    </row>
    <row r="315" spans="1:13" x14ac:dyDescent="0.25">
      <c r="A315" s="1">
        <v>945195</v>
      </c>
      <c r="B315" s="6" t="s">
        <v>388</v>
      </c>
      <c r="F315" s="6" t="s">
        <v>9</v>
      </c>
      <c r="G315" s="6" t="s">
        <v>34</v>
      </c>
      <c r="H315" s="9" t="s">
        <v>35</v>
      </c>
      <c r="I315" s="7" t="str">
        <f t="shared" si="16"/>
        <v>61001002000</v>
      </c>
      <c r="J315" s="7" t="str">
        <f t="shared" si="17"/>
        <v>Материал по ЕГРН</v>
      </c>
      <c r="K315" s="7">
        <f>VLOOKUP(J315,Лист2!A$2:B$4,2,FALSE)</f>
        <v>792</v>
      </c>
      <c r="L315" s="7" t="str">
        <f t="shared" si="18"/>
        <v>ГОТОВ_ИЗМЕНЕН</v>
      </c>
      <c r="M315" s="7">
        <f t="shared" si="19"/>
        <v>0</v>
      </c>
    </row>
    <row r="316" spans="1:13" x14ac:dyDescent="0.25">
      <c r="A316" s="1">
        <v>142995</v>
      </c>
      <c r="B316" s="6" t="s">
        <v>389</v>
      </c>
      <c r="C316" s="9" t="s">
        <v>42</v>
      </c>
      <c r="D316" s="6" t="s">
        <v>20</v>
      </c>
      <c r="E316" s="6" t="s">
        <v>37</v>
      </c>
      <c r="F316" s="6" t="s">
        <v>9</v>
      </c>
      <c r="G316" s="6" t="s">
        <v>43</v>
      </c>
      <c r="H316" s="9" t="s">
        <v>42</v>
      </c>
      <c r="I316" s="7" t="str">
        <f t="shared" si="16"/>
        <v>61001002001</v>
      </c>
      <c r="J316" s="7" t="str">
        <f t="shared" si="17"/>
        <v>Материал по ЕГРН</v>
      </c>
      <c r="K316" s="7">
        <f>VLOOKUP(J316,Лист2!A$2:B$4,2,FALSE)</f>
        <v>792</v>
      </c>
      <c r="L316" s="7" t="str">
        <f t="shared" si="18"/>
        <v>ГОТОВ</v>
      </c>
      <c r="M316" s="7" t="str">
        <f t="shared" si="19"/>
        <v>61001002001</v>
      </c>
    </row>
    <row r="317" spans="1:13" x14ac:dyDescent="0.25">
      <c r="A317" s="1">
        <v>354080</v>
      </c>
      <c r="B317" s="6" t="s">
        <v>390</v>
      </c>
      <c r="C317" s="9" t="s">
        <v>60</v>
      </c>
      <c r="D317" s="6" t="s">
        <v>20</v>
      </c>
      <c r="E317" s="6" t="s">
        <v>37</v>
      </c>
      <c r="F317" s="6" t="s">
        <v>9</v>
      </c>
      <c r="G317" s="6" t="s">
        <v>59</v>
      </c>
      <c r="H317" s="9" t="s">
        <v>60</v>
      </c>
      <c r="I317" s="7" t="str">
        <f t="shared" si="16"/>
        <v>61001001001</v>
      </c>
      <c r="J317" s="7" t="str">
        <f t="shared" si="17"/>
        <v>Материал по ЕГРН</v>
      </c>
      <c r="K317" s="7">
        <f>VLOOKUP(J317,Лист2!A$2:B$4,2,FALSE)</f>
        <v>792</v>
      </c>
      <c r="L317" s="7" t="str">
        <f t="shared" si="18"/>
        <v>ГОТОВ</v>
      </c>
      <c r="M317" s="7" t="str">
        <f t="shared" si="19"/>
        <v>61001001001</v>
      </c>
    </row>
    <row r="318" spans="1:13" x14ac:dyDescent="0.25">
      <c r="A318" s="1">
        <v>628202</v>
      </c>
      <c r="B318" s="6" t="s">
        <v>391</v>
      </c>
      <c r="C318" s="9" t="s">
        <v>33</v>
      </c>
      <c r="D318" s="6" t="s">
        <v>20</v>
      </c>
      <c r="E318" s="6" t="s">
        <v>37</v>
      </c>
      <c r="F318" s="6" t="s">
        <v>9</v>
      </c>
      <c r="G318" s="6" t="s">
        <v>38</v>
      </c>
      <c r="H318" s="9" t="s">
        <v>33</v>
      </c>
      <c r="I318" s="7" t="str">
        <f t="shared" si="16"/>
        <v>61001005000</v>
      </c>
      <c r="J318" s="7" t="str">
        <f t="shared" si="17"/>
        <v>Материал по ЕГРН</v>
      </c>
      <c r="K318" s="7">
        <f>VLOOKUP(J318,Лист2!A$2:B$4,2,FALSE)</f>
        <v>792</v>
      </c>
      <c r="L318" s="7" t="str">
        <f t="shared" si="18"/>
        <v>ГОТОВ</v>
      </c>
      <c r="M318" s="7" t="str">
        <f t="shared" si="19"/>
        <v>61001005000</v>
      </c>
    </row>
    <row r="319" spans="1:13" x14ac:dyDescent="0.25">
      <c r="A319" s="1">
        <v>945198</v>
      </c>
      <c r="B319" s="6" t="s">
        <v>392</v>
      </c>
      <c r="F319" s="6" t="s">
        <v>9</v>
      </c>
      <c r="G319" s="6" t="s">
        <v>34</v>
      </c>
      <c r="H319" s="9" t="s">
        <v>35</v>
      </c>
      <c r="I319" s="7" t="str">
        <f t="shared" si="16"/>
        <v>61001002000</v>
      </c>
      <c r="J319" s="7" t="str">
        <f t="shared" si="17"/>
        <v>Материал по ЕГРН</v>
      </c>
      <c r="K319" s="7">
        <f>VLOOKUP(J319,Лист2!A$2:B$4,2,FALSE)</f>
        <v>792</v>
      </c>
      <c r="L319" s="7" t="str">
        <f t="shared" si="18"/>
        <v>ГОТОВ_ИЗМЕНЕН</v>
      </c>
      <c r="M319" s="7">
        <f t="shared" si="19"/>
        <v>0</v>
      </c>
    </row>
    <row r="320" spans="1:13" x14ac:dyDescent="0.25">
      <c r="A320" s="1">
        <v>945210</v>
      </c>
      <c r="B320" s="6" t="s">
        <v>393</v>
      </c>
      <c r="F320" s="6" t="s">
        <v>9</v>
      </c>
      <c r="G320" s="6" t="s">
        <v>38</v>
      </c>
      <c r="H320" s="9" t="s">
        <v>33</v>
      </c>
      <c r="I320" s="7" t="str">
        <f t="shared" si="16"/>
        <v>61001005000</v>
      </c>
      <c r="J320" s="7" t="str">
        <f t="shared" si="17"/>
        <v>Материал по ЕГРН</v>
      </c>
      <c r="K320" s="7">
        <f>VLOOKUP(J320,Лист2!A$2:B$4,2,FALSE)</f>
        <v>792</v>
      </c>
      <c r="L320" s="7" t="str">
        <f t="shared" si="18"/>
        <v>ГОТОВ_ИЗМЕНЕН</v>
      </c>
      <c r="M320" s="7">
        <f t="shared" si="19"/>
        <v>0</v>
      </c>
    </row>
    <row r="321" spans="1:13" x14ac:dyDescent="0.25">
      <c r="A321" s="1">
        <v>945222</v>
      </c>
      <c r="B321" s="6" t="s">
        <v>394</v>
      </c>
      <c r="F321" s="6" t="s">
        <v>9</v>
      </c>
      <c r="G321" s="6" t="s">
        <v>38</v>
      </c>
      <c r="H321" s="9" t="s">
        <v>33</v>
      </c>
      <c r="I321" s="7" t="str">
        <f t="shared" si="16"/>
        <v>61001005000</v>
      </c>
      <c r="J321" s="7" t="str">
        <f t="shared" si="17"/>
        <v>Материал по ЕГРН</v>
      </c>
      <c r="K321" s="7">
        <f>VLOOKUP(J321,Лист2!A$2:B$4,2,FALSE)</f>
        <v>792</v>
      </c>
      <c r="L321" s="7" t="str">
        <f t="shared" si="18"/>
        <v>ГОТОВ_ИЗМЕНЕН</v>
      </c>
      <c r="M321" s="7">
        <f t="shared" si="19"/>
        <v>0</v>
      </c>
    </row>
    <row r="322" spans="1:13" x14ac:dyDescent="0.25">
      <c r="A322" s="1">
        <v>945234</v>
      </c>
      <c r="B322" s="6" t="s">
        <v>395</v>
      </c>
      <c r="F322" s="6" t="s">
        <v>9</v>
      </c>
      <c r="G322" s="6" t="s">
        <v>34</v>
      </c>
      <c r="H322" s="9" t="s">
        <v>35</v>
      </c>
      <c r="I322" s="7" t="str">
        <f t="shared" si="16"/>
        <v>61001002000</v>
      </c>
      <c r="J322" s="7" t="str">
        <f t="shared" si="17"/>
        <v>Материал по ЕГРН</v>
      </c>
      <c r="K322" s="7">
        <f>VLOOKUP(J322,Лист2!A$2:B$4,2,FALSE)</f>
        <v>792</v>
      </c>
      <c r="L322" s="7" t="str">
        <f t="shared" si="18"/>
        <v>ГОТОВ_ИЗМЕНЕН</v>
      </c>
      <c r="M322" s="7">
        <f t="shared" si="19"/>
        <v>0</v>
      </c>
    </row>
    <row r="323" spans="1:13" x14ac:dyDescent="0.25">
      <c r="A323" s="1">
        <v>945246</v>
      </c>
      <c r="B323" s="6" t="s">
        <v>396</v>
      </c>
      <c r="F323" s="6" t="s">
        <v>9</v>
      </c>
      <c r="G323" s="6" t="s">
        <v>34</v>
      </c>
      <c r="H323" s="9" t="s">
        <v>35</v>
      </c>
      <c r="I323" s="7" t="str">
        <f t="shared" si="16"/>
        <v>61001002000</v>
      </c>
      <c r="J323" s="7" t="str">
        <f t="shared" si="17"/>
        <v>Материал по ЕГРН</v>
      </c>
      <c r="K323" s="7">
        <f>VLOOKUP(J323,Лист2!A$2:B$4,2,FALSE)</f>
        <v>792</v>
      </c>
      <c r="L323" s="7" t="str">
        <f t="shared" si="18"/>
        <v>ГОТОВ_ИЗМЕНЕН</v>
      </c>
      <c r="M323" s="7">
        <f t="shared" si="19"/>
        <v>0</v>
      </c>
    </row>
    <row r="324" spans="1:13" x14ac:dyDescent="0.25">
      <c r="A324" s="1">
        <v>945258</v>
      </c>
      <c r="B324" s="6" t="s">
        <v>397</v>
      </c>
      <c r="F324" s="6" t="s">
        <v>9</v>
      </c>
      <c r="G324" s="6" t="s">
        <v>38</v>
      </c>
      <c r="H324" s="9" t="s">
        <v>33</v>
      </c>
      <c r="I324" s="7" t="str">
        <f t="shared" si="16"/>
        <v>61001005000</v>
      </c>
      <c r="J324" s="7" t="str">
        <f t="shared" si="17"/>
        <v>Материал по ЕГРН</v>
      </c>
      <c r="K324" s="7">
        <f>VLOOKUP(J324,Лист2!A$2:B$4,2,FALSE)</f>
        <v>792</v>
      </c>
      <c r="L324" s="7" t="str">
        <f t="shared" si="18"/>
        <v>ГОТОВ_ИЗМЕНЕН</v>
      </c>
      <c r="M324" s="7">
        <f t="shared" si="19"/>
        <v>0</v>
      </c>
    </row>
    <row r="325" spans="1:13" x14ac:dyDescent="0.25">
      <c r="A325" s="1">
        <v>945270</v>
      </c>
      <c r="B325" s="6" t="s">
        <v>398</v>
      </c>
      <c r="F325" s="6" t="s">
        <v>9</v>
      </c>
      <c r="G325" s="6" t="s">
        <v>90</v>
      </c>
      <c r="H325" s="9" t="s">
        <v>12</v>
      </c>
      <c r="I325" s="7" t="str">
        <f t="shared" ref="I325:I388" si="20">IF(LEN(H325)=11,H325,IF(LEN(H325)=0,"61001005000","61001003000"))</f>
        <v>61001008000</v>
      </c>
      <c r="J325" s="7" t="str">
        <f t="shared" ref="J325:J388" si="21">IF(LEN(H325)=11,"Материал по ЕГРН",IF(LEN(H325)=0,"Прочие по допущению","Смешанные по допущению"))</f>
        <v>Материал по ЕГРН</v>
      </c>
      <c r="K325" s="7">
        <f>VLOOKUP(J325,Лист2!A$2:B$4,2,FALSE)</f>
        <v>792</v>
      </c>
      <c r="L325" s="7" t="str">
        <f t="shared" ref="L325:L388" si="22">IF(I325=C325,"ГОТОВ","ГОТОВ_ИЗМЕНЕН")</f>
        <v>ГОТОВ_ИЗМЕНЕН</v>
      </c>
      <c r="M325" s="7">
        <f t="shared" ref="M325:M388" si="23">C325</f>
        <v>0</v>
      </c>
    </row>
    <row r="326" spans="1:13" x14ac:dyDescent="0.25">
      <c r="A326" s="1">
        <v>945282</v>
      </c>
      <c r="B326" s="6" t="s">
        <v>399</v>
      </c>
      <c r="F326" s="6" t="s">
        <v>9</v>
      </c>
      <c r="G326" s="6" t="s">
        <v>38</v>
      </c>
      <c r="H326" s="9" t="s">
        <v>33</v>
      </c>
      <c r="I326" s="7" t="str">
        <f t="shared" si="20"/>
        <v>61001005000</v>
      </c>
      <c r="J326" s="7" t="str">
        <f t="shared" si="21"/>
        <v>Материал по ЕГРН</v>
      </c>
      <c r="K326" s="7">
        <f>VLOOKUP(J326,Лист2!A$2:B$4,2,FALSE)</f>
        <v>792</v>
      </c>
      <c r="L326" s="7" t="str">
        <f t="shared" si="22"/>
        <v>ГОТОВ_ИЗМЕНЕН</v>
      </c>
      <c r="M326" s="7">
        <f t="shared" si="23"/>
        <v>0</v>
      </c>
    </row>
    <row r="327" spans="1:13" x14ac:dyDescent="0.25">
      <c r="A327" s="1">
        <v>945294</v>
      </c>
      <c r="B327" s="6" t="s">
        <v>400</v>
      </c>
      <c r="F327" s="6" t="s">
        <v>9</v>
      </c>
      <c r="G327" s="6" t="s">
        <v>10</v>
      </c>
      <c r="H327" s="9" t="s">
        <v>11</v>
      </c>
      <c r="I327" s="7" t="str">
        <f t="shared" si="20"/>
        <v>61001003000</v>
      </c>
      <c r="J327" s="7" t="str">
        <f t="shared" si="21"/>
        <v>Материал по ЕГРН</v>
      </c>
      <c r="K327" s="7">
        <f>VLOOKUP(J327,Лист2!A$2:B$4,2,FALSE)</f>
        <v>792</v>
      </c>
      <c r="L327" s="7" t="str">
        <f t="shared" si="22"/>
        <v>ГОТОВ_ИЗМЕНЕН</v>
      </c>
      <c r="M327" s="7">
        <f t="shared" si="23"/>
        <v>0</v>
      </c>
    </row>
    <row r="328" spans="1:13" x14ac:dyDescent="0.25">
      <c r="A328" s="1">
        <v>945306</v>
      </c>
      <c r="B328" s="6" t="s">
        <v>401</v>
      </c>
      <c r="F328" s="6" t="s">
        <v>9</v>
      </c>
      <c r="G328" s="6" t="s">
        <v>59</v>
      </c>
      <c r="H328" s="9" t="s">
        <v>60</v>
      </c>
      <c r="I328" s="7" t="str">
        <f t="shared" si="20"/>
        <v>61001001001</v>
      </c>
      <c r="J328" s="7" t="str">
        <f t="shared" si="21"/>
        <v>Материал по ЕГРН</v>
      </c>
      <c r="K328" s="7">
        <f>VLOOKUP(J328,Лист2!A$2:B$4,2,FALSE)</f>
        <v>792</v>
      </c>
      <c r="L328" s="7" t="str">
        <f t="shared" si="22"/>
        <v>ГОТОВ_ИЗМЕНЕН</v>
      </c>
      <c r="M328" s="7">
        <f t="shared" si="23"/>
        <v>0</v>
      </c>
    </row>
    <row r="329" spans="1:13" x14ac:dyDescent="0.25">
      <c r="A329" s="1">
        <v>945318</v>
      </c>
      <c r="B329" s="6" t="s">
        <v>402</v>
      </c>
      <c r="F329" s="6" t="s">
        <v>9</v>
      </c>
      <c r="G329" s="6" t="s">
        <v>38</v>
      </c>
      <c r="H329" s="9" t="s">
        <v>33</v>
      </c>
      <c r="I329" s="7" t="str">
        <f t="shared" si="20"/>
        <v>61001005000</v>
      </c>
      <c r="J329" s="7" t="str">
        <f t="shared" si="21"/>
        <v>Материал по ЕГРН</v>
      </c>
      <c r="K329" s="7">
        <f>VLOOKUP(J329,Лист2!A$2:B$4,2,FALSE)</f>
        <v>792</v>
      </c>
      <c r="L329" s="7" t="str">
        <f t="shared" si="22"/>
        <v>ГОТОВ_ИЗМЕНЕН</v>
      </c>
      <c r="M329" s="7">
        <f t="shared" si="23"/>
        <v>0</v>
      </c>
    </row>
    <row r="330" spans="1:13" x14ac:dyDescent="0.25">
      <c r="A330" s="1">
        <v>945330</v>
      </c>
      <c r="B330" s="6" t="s">
        <v>403</v>
      </c>
      <c r="F330" s="6" t="s">
        <v>9</v>
      </c>
      <c r="G330" s="6" t="s">
        <v>180</v>
      </c>
      <c r="H330" s="9" t="s">
        <v>181</v>
      </c>
      <c r="I330" s="7" t="str">
        <f t="shared" si="20"/>
        <v>61001009000</v>
      </c>
      <c r="J330" s="7" t="str">
        <f t="shared" si="21"/>
        <v>Материал по ЕГРН</v>
      </c>
      <c r="K330" s="7">
        <f>VLOOKUP(J330,Лист2!A$2:B$4,2,FALSE)</f>
        <v>792</v>
      </c>
      <c r="L330" s="7" t="str">
        <f t="shared" si="22"/>
        <v>ГОТОВ_ИЗМЕНЕН</v>
      </c>
      <c r="M330" s="7">
        <f t="shared" si="23"/>
        <v>0</v>
      </c>
    </row>
    <row r="331" spans="1:13" x14ac:dyDescent="0.25">
      <c r="A331" s="1">
        <v>945342</v>
      </c>
      <c r="B331" s="6" t="s">
        <v>404</v>
      </c>
      <c r="F331" s="6" t="s">
        <v>9</v>
      </c>
      <c r="G331" s="6" t="s">
        <v>73</v>
      </c>
      <c r="H331" s="9" t="s">
        <v>74</v>
      </c>
      <c r="I331" s="7" t="str">
        <f t="shared" si="20"/>
        <v>61001006000</v>
      </c>
      <c r="J331" s="7" t="str">
        <f t="shared" si="21"/>
        <v>Материал по ЕГРН</v>
      </c>
      <c r="K331" s="7">
        <f>VLOOKUP(J331,Лист2!A$2:B$4,2,FALSE)</f>
        <v>792</v>
      </c>
      <c r="L331" s="7" t="str">
        <f t="shared" si="22"/>
        <v>ГОТОВ_ИЗМЕНЕН</v>
      </c>
      <c r="M331" s="7">
        <f t="shared" si="23"/>
        <v>0</v>
      </c>
    </row>
    <row r="332" spans="1:13" x14ac:dyDescent="0.25">
      <c r="A332" s="1">
        <v>945354</v>
      </c>
      <c r="B332" s="6" t="s">
        <v>405</v>
      </c>
      <c r="F332" s="6" t="s">
        <v>9</v>
      </c>
      <c r="G332" s="6" t="s">
        <v>73</v>
      </c>
      <c r="H332" s="9" t="s">
        <v>74</v>
      </c>
      <c r="I332" s="7" t="str">
        <f t="shared" si="20"/>
        <v>61001006000</v>
      </c>
      <c r="J332" s="7" t="str">
        <f t="shared" si="21"/>
        <v>Материал по ЕГРН</v>
      </c>
      <c r="K332" s="7">
        <f>VLOOKUP(J332,Лист2!A$2:B$4,2,FALSE)</f>
        <v>792</v>
      </c>
      <c r="L332" s="7" t="str">
        <f t="shared" si="22"/>
        <v>ГОТОВ_ИЗМЕНЕН</v>
      </c>
      <c r="M332" s="7">
        <f t="shared" si="23"/>
        <v>0</v>
      </c>
    </row>
    <row r="333" spans="1:13" x14ac:dyDescent="0.25">
      <c r="A333" s="1">
        <v>945366</v>
      </c>
      <c r="B333" s="6" t="s">
        <v>406</v>
      </c>
      <c r="F333" s="6" t="s">
        <v>9</v>
      </c>
      <c r="G333" s="6" t="s">
        <v>90</v>
      </c>
      <c r="H333" s="9" t="s">
        <v>12</v>
      </c>
      <c r="I333" s="7" t="str">
        <f t="shared" si="20"/>
        <v>61001008000</v>
      </c>
      <c r="J333" s="7" t="str">
        <f t="shared" si="21"/>
        <v>Материал по ЕГРН</v>
      </c>
      <c r="K333" s="7">
        <f>VLOOKUP(J333,Лист2!A$2:B$4,2,FALSE)</f>
        <v>792</v>
      </c>
      <c r="L333" s="7" t="str">
        <f t="shared" si="22"/>
        <v>ГОТОВ_ИЗМЕНЕН</v>
      </c>
      <c r="M333" s="7">
        <f t="shared" si="23"/>
        <v>0</v>
      </c>
    </row>
    <row r="334" spans="1:13" x14ac:dyDescent="0.25">
      <c r="A334" s="1">
        <v>945378</v>
      </c>
      <c r="B334" s="6" t="s">
        <v>407</v>
      </c>
      <c r="F334" s="6" t="s">
        <v>9</v>
      </c>
      <c r="G334" s="6" t="s">
        <v>73</v>
      </c>
      <c r="H334" s="9" t="s">
        <v>74</v>
      </c>
      <c r="I334" s="7" t="str">
        <f t="shared" si="20"/>
        <v>61001006000</v>
      </c>
      <c r="J334" s="7" t="str">
        <f t="shared" si="21"/>
        <v>Материал по ЕГРН</v>
      </c>
      <c r="K334" s="7">
        <f>VLOOKUP(J334,Лист2!A$2:B$4,2,FALSE)</f>
        <v>792</v>
      </c>
      <c r="L334" s="7" t="str">
        <f t="shared" si="22"/>
        <v>ГОТОВ_ИЗМЕНЕН</v>
      </c>
      <c r="M334" s="7">
        <f t="shared" si="23"/>
        <v>0</v>
      </c>
    </row>
    <row r="335" spans="1:13" x14ac:dyDescent="0.25">
      <c r="A335" s="1">
        <v>945390</v>
      </c>
      <c r="B335" s="6" t="s">
        <v>408</v>
      </c>
      <c r="F335" s="6" t="s">
        <v>9</v>
      </c>
      <c r="G335" s="6" t="s">
        <v>10</v>
      </c>
      <c r="H335" s="9" t="s">
        <v>11</v>
      </c>
      <c r="I335" s="7" t="str">
        <f t="shared" si="20"/>
        <v>61001003000</v>
      </c>
      <c r="J335" s="7" t="str">
        <f t="shared" si="21"/>
        <v>Материал по ЕГРН</v>
      </c>
      <c r="K335" s="7">
        <f>VLOOKUP(J335,Лист2!A$2:B$4,2,FALSE)</f>
        <v>792</v>
      </c>
      <c r="L335" s="7" t="str">
        <f t="shared" si="22"/>
        <v>ГОТОВ_ИЗМЕНЕН</v>
      </c>
      <c r="M335" s="7">
        <f t="shared" si="23"/>
        <v>0</v>
      </c>
    </row>
    <row r="336" spans="1:13" x14ac:dyDescent="0.25">
      <c r="A336" s="1">
        <v>945402</v>
      </c>
      <c r="B336" s="6" t="s">
        <v>409</v>
      </c>
      <c r="F336" s="6" t="s">
        <v>9</v>
      </c>
      <c r="G336" s="6" t="s">
        <v>34</v>
      </c>
      <c r="H336" s="9" t="s">
        <v>35</v>
      </c>
      <c r="I336" s="7" t="str">
        <f t="shared" si="20"/>
        <v>61001002000</v>
      </c>
      <c r="J336" s="7" t="str">
        <f t="shared" si="21"/>
        <v>Материал по ЕГРН</v>
      </c>
      <c r="K336" s="7">
        <f>VLOOKUP(J336,Лист2!A$2:B$4,2,FALSE)</f>
        <v>792</v>
      </c>
      <c r="L336" s="7" t="str">
        <f t="shared" si="22"/>
        <v>ГОТОВ_ИЗМЕНЕН</v>
      </c>
      <c r="M336" s="7">
        <f t="shared" si="23"/>
        <v>0</v>
      </c>
    </row>
    <row r="337" spans="1:13" x14ac:dyDescent="0.25">
      <c r="A337" s="1">
        <v>945414</v>
      </c>
      <c r="B337" s="6" t="s">
        <v>410</v>
      </c>
      <c r="F337" s="6" t="s">
        <v>9</v>
      </c>
      <c r="G337" s="6" t="s">
        <v>43</v>
      </c>
      <c r="H337" s="9" t="s">
        <v>42</v>
      </c>
      <c r="I337" s="7" t="str">
        <f t="shared" si="20"/>
        <v>61001002001</v>
      </c>
      <c r="J337" s="7" t="str">
        <f t="shared" si="21"/>
        <v>Материал по ЕГРН</v>
      </c>
      <c r="K337" s="7">
        <f>VLOOKUP(J337,Лист2!A$2:B$4,2,FALSE)</f>
        <v>792</v>
      </c>
      <c r="L337" s="7" t="str">
        <f t="shared" si="22"/>
        <v>ГОТОВ_ИЗМЕНЕН</v>
      </c>
      <c r="M337" s="7">
        <f t="shared" si="23"/>
        <v>0</v>
      </c>
    </row>
    <row r="338" spans="1:13" x14ac:dyDescent="0.25">
      <c r="A338" s="1">
        <v>945426</v>
      </c>
      <c r="B338" s="6" t="s">
        <v>411</v>
      </c>
      <c r="F338" s="6" t="s">
        <v>9</v>
      </c>
      <c r="G338" s="6" t="s">
        <v>59</v>
      </c>
      <c r="H338" s="9" t="s">
        <v>60</v>
      </c>
      <c r="I338" s="7" t="str">
        <f t="shared" si="20"/>
        <v>61001001001</v>
      </c>
      <c r="J338" s="7" t="str">
        <f t="shared" si="21"/>
        <v>Материал по ЕГРН</v>
      </c>
      <c r="K338" s="7">
        <f>VLOOKUP(J338,Лист2!A$2:B$4,2,FALSE)</f>
        <v>792</v>
      </c>
      <c r="L338" s="7" t="str">
        <f t="shared" si="22"/>
        <v>ГОТОВ_ИЗМЕНЕН</v>
      </c>
      <c r="M338" s="7">
        <f t="shared" si="23"/>
        <v>0</v>
      </c>
    </row>
    <row r="339" spans="1:13" x14ac:dyDescent="0.25">
      <c r="A339" s="1">
        <v>945438</v>
      </c>
      <c r="B339" s="6" t="s">
        <v>412</v>
      </c>
      <c r="F339" s="6" t="s">
        <v>9</v>
      </c>
      <c r="G339" s="6" t="s">
        <v>59</v>
      </c>
      <c r="H339" s="9" t="s">
        <v>60</v>
      </c>
      <c r="I339" s="7" t="str">
        <f t="shared" si="20"/>
        <v>61001001001</v>
      </c>
      <c r="J339" s="7" t="str">
        <f t="shared" si="21"/>
        <v>Материал по ЕГРН</v>
      </c>
      <c r="K339" s="7">
        <f>VLOOKUP(J339,Лист2!A$2:B$4,2,FALSE)</f>
        <v>792</v>
      </c>
      <c r="L339" s="7" t="str">
        <f t="shared" si="22"/>
        <v>ГОТОВ_ИЗМЕНЕН</v>
      </c>
      <c r="M339" s="7">
        <f t="shared" si="23"/>
        <v>0</v>
      </c>
    </row>
    <row r="340" spans="1:13" x14ac:dyDescent="0.25">
      <c r="A340" s="1">
        <v>945450</v>
      </c>
      <c r="B340" s="6" t="s">
        <v>413</v>
      </c>
      <c r="F340" s="6" t="s">
        <v>9</v>
      </c>
      <c r="G340" s="6" t="s">
        <v>10</v>
      </c>
      <c r="H340" s="9" t="s">
        <v>11</v>
      </c>
      <c r="I340" s="7" t="str">
        <f t="shared" si="20"/>
        <v>61001003000</v>
      </c>
      <c r="J340" s="7" t="str">
        <f t="shared" si="21"/>
        <v>Материал по ЕГРН</v>
      </c>
      <c r="K340" s="7">
        <f>VLOOKUP(J340,Лист2!A$2:B$4,2,FALSE)</f>
        <v>792</v>
      </c>
      <c r="L340" s="7" t="str">
        <f t="shared" si="22"/>
        <v>ГОТОВ_ИЗМЕНЕН</v>
      </c>
      <c r="M340" s="7">
        <f t="shared" si="23"/>
        <v>0</v>
      </c>
    </row>
    <row r="341" spans="1:13" x14ac:dyDescent="0.25">
      <c r="A341" s="1">
        <v>945462</v>
      </c>
      <c r="B341" s="6" t="s">
        <v>414</v>
      </c>
      <c r="F341" s="6" t="s">
        <v>9</v>
      </c>
      <c r="G341" s="6" t="s">
        <v>90</v>
      </c>
      <c r="H341" s="9" t="s">
        <v>12</v>
      </c>
      <c r="I341" s="7" t="str">
        <f t="shared" si="20"/>
        <v>61001008000</v>
      </c>
      <c r="J341" s="7" t="str">
        <f t="shared" si="21"/>
        <v>Материал по ЕГРН</v>
      </c>
      <c r="K341" s="7">
        <f>VLOOKUP(J341,Лист2!A$2:B$4,2,FALSE)</f>
        <v>792</v>
      </c>
      <c r="L341" s="7" t="str">
        <f t="shared" si="22"/>
        <v>ГОТОВ_ИЗМЕНЕН</v>
      </c>
      <c r="M341" s="7">
        <f t="shared" si="23"/>
        <v>0</v>
      </c>
    </row>
    <row r="342" spans="1:13" x14ac:dyDescent="0.25">
      <c r="A342" s="1">
        <v>945474</v>
      </c>
      <c r="B342" s="6" t="s">
        <v>415</v>
      </c>
      <c r="F342" s="6" t="s">
        <v>9</v>
      </c>
      <c r="G342" s="6" t="s">
        <v>38</v>
      </c>
      <c r="H342" s="9" t="s">
        <v>33</v>
      </c>
      <c r="I342" s="7" t="str">
        <f t="shared" si="20"/>
        <v>61001005000</v>
      </c>
      <c r="J342" s="7" t="str">
        <f t="shared" si="21"/>
        <v>Материал по ЕГРН</v>
      </c>
      <c r="K342" s="7">
        <f>VLOOKUP(J342,Лист2!A$2:B$4,2,FALSE)</f>
        <v>792</v>
      </c>
      <c r="L342" s="7" t="str">
        <f t="shared" si="22"/>
        <v>ГОТОВ_ИЗМЕНЕН</v>
      </c>
      <c r="M342" s="7">
        <f t="shared" si="23"/>
        <v>0</v>
      </c>
    </row>
    <row r="343" spans="1:13" x14ac:dyDescent="0.25">
      <c r="A343" s="1">
        <v>945486</v>
      </c>
      <c r="B343" s="6" t="s">
        <v>416</v>
      </c>
      <c r="F343" s="6" t="s">
        <v>9</v>
      </c>
      <c r="G343" s="6" t="s">
        <v>34</v>
      </c>
      <c r="H343" s="9" t="s">
        <v>35</v>
      </c>
      <c r="I343" s="7" t="str">
        <f t="shared" si="20"/>
        <v>61001002000</v>
      </c>
      <c r="J343" s="7" t="str">
        <f t="shared" si="21"/>
        <v>Материал по ЕГРН</v>
      </c>
      <c r="K343" s="7">
        <f>VLOOKUP(J343,Лист2!A$2:B$4,2,FALSE)</f>
        <v>792</v>
      </c>
      <c r="L343" s="7" t="str">
        <f t="shared" si="22"/>
        <v>ГОТОВ_ИЗМЕНЕН</v>
      </c>
      <c r="M343" s="7">
        <f t="shared" si="23"/>
        <v>0</v>
      </c>
    </row>
    <row r="344" spans="1:13" x14ac:dyDescent="0.25">
      <c r="A344" s="1">
        <v>153218</v>
      </c>
      <c r="B344" s="6" t="s">
        <v>417</v>
      </c>
      <c r="C344" s="9" t="s">
        <v>33</v>
      </c>
      <c r="D344" s="6" t="s">
        <v>20</v>
      </c>
      <c r="E344" s="6" t="s">
        <v>37</v>
      </c>
      <c r="F344" s="6" t="s">
        <v>9</v>
      </c>
      <c r="G344" s="6" t="s">
        <v>38</v>
      </c>
      <c r="H344" s="9" t="s">
        <v>33</v>
      </c>
      <c r="I344" s="7" t="str">
        <f t="shared" si="20"/>
        <v>61001005000</v>
      </c>
      <c r="J344" s="7" t="str">
        <f t="shared" si="21"/>
        <v>Материал по ЕГРН</v>
      </c>
      <c r="K344" s="7">
        <f>VLOOKUP(J344,Лист2!A$2:B$4,2,FALSE)</f>
        <v>792</v>
      </c>
      <c r="L344" s="7" t="str">
        <f t="shared" si="22"/>
        <v>ГОТОВ</v>
      </c>
      <c r="M344" s="7" t="str">
        <f t="shared" si="23"/>
        <v>61001005000</v>
      </c>
    </row>
    <row r="345" spans="1:13" x14ac:dyDescent="0.25">
      <c r="A345" s="1">
        <v>337970</v>
      </c>
      <c r="B345" s="6" t="s">
        <v>418</v>
      </c>
      <c r="C345" s="9" t="s">
        <v>33</v>
      </c>
      <c r="D345" s="6" t="s">
        <v>20</v>
      </c>
      <c r="E345" s="6" t="s">
        <v>37</v>
      </c>
      <c r="F345" s="6" t="s">
        <v>9</v>
      </c>
      <c r="G345" s="6" t="s">
        <v>38</v>
      </c>
      <c r="H345" s="9" t="s">
        <v>33</v>
      </c>
      <c r="I345" s="7" t="str">
        <f t="shared" si="20"/>
        <v>61001005000</v>
      </c>
      <c r="J345" s="7" t="str">
        <f t="shared" si="21"/>
        <v>Материал по ЕГРН</v>
      </c>
      <c r="K345" s="7">
        <f>VLOOKUP(J345,Лист2!A$2:B$4,2,FALSE)</f>
        <v>792</v>
      </c>
      <c r="L345" s="7" t="str">
        <f t="shared" si="22"/>
        <v>ГОТОВ</v>
      </c>
      <c r="M345" s="7" t="str">
        <f t="shared" si="23"/>
        <v>61001005000</v>
      </c>
    </row>
    <row r="346" spans="1:13" x14ac:dyDescent="0.25">
      <c r="A346" s="1">
        <v>787835</v>
      </c>
      <c r="B346" s="6" t="s">
        <v>419</v>
      </c>
      <c r="C346" s="9" t="s">
        <v>33</v>
      </c>
      <c r="D346" s="6" t="s">
        <v>20</v>
      </c>
      <c r="E346" s="6" t="s">
        <v>37</v>
      </c>
      <c r="F346" s="6" t="s">
        <v>9</v>
      </c>
      <c r="G346" s="6" t="s">
        <v>38</v>
      </c>
      <c r="H346" s="9" t="s">
        <v>33</v>
      </c>
      <c r="I346" s="7" t="str">
        <f t="shared" si="20"/>
        <v>61001005000</v>
      </c>
      <c r="J346" s="7" t="str">
        <f t="shared" si="21"/>
        <v>Материал по ЕГРН</v>
      </c>
      <c r="K346" s="7">
        <f>VLOOKUP(J346,Лист2!A$2:B$4,2,FALSE)</f>
        <v>792</v>
      </c>
      <c r="L346" s="7" t="str">
        <f t="shared" si="22"/>
        <v>ГОТОВ</v>
      </c>
      <c r="M346" s="7" t="str">
        <f t="shared" si="23"/>
        <v>61001005000</v>
      </c>
    </row>
    <row r="347" spans="1:13" x14ac:dyDescent="0.25">
      <c r="A347" s="1">
        <v>904165</v>
      </c>
      <c r="B347" s="6" t="s">
        <v>420</v>
      </c>
      <c r="C347" s="9" t="s">
        <v>12</v>
      </c>
      <c r="D347" s="6" t="s">
        <v>14</v>
      </c>
      <c r="E347" s="6" t="s">
        <v>37</v>
      </c>
      <c r="F347" s="6" t="s">
        <v>9</v>
      </c>
      <c r="G347" s="6" t="s">
        <v>90</v>
      </c>
      <c r="H347" s="9" t="s">
        <v>12</v>
      </c>
      <c r="I347" s="7" t="str">
        <f t="shared" si="20"/>
        <v>61001008000</v>
      </c>
      <c r="J347" s="7" t="str">
        <f t="shared" si="21"/>
        <v>Материал по ЕГРН</v>
      </c>
      <c r="K347" s="7">
        <f>VLOOKUP(J347,Лист2!A$2:B$4,2,FALSE)</f>
        <v>792</v>
      </c>
      <c r="L347" s="7" t="str">
        <f t="shared" si="22"/>
        <v>ГОТОВ</v>
      </c>
      <c r="M347" s="7" t="str">
        <f t="shared" si="23"/>
        <v>61001008000</v>
      </c>
    </row>
    <row r="348" spans="1:13" x14ac:dyDescent="0.25">
      <c r="A348" s="1">
        <v>943631</v>
      </c>
      <c r="B348" s="6" t="s">
        <v>421</v>
      </c>
      <c r="F348" s="6" t="s">
        <v>9</v>
      </c>
      <c r="G348" s="6" t="s">
        <v>34</v>
      </c>
      <c r="H348" s="9" t="s">
        <v>35</v>
      </c>
      <c r="I348" s="7" t="str">
        <f t="shared" si="20"/>
        <v>61001002000</v>
      </c>
      <c r="J348" s="7" t="str">
        <f t="shared" si="21"/>
        <v>Материал по ЕГРН</v>
      </c>
      <c r="K348" s="7">
        <f>VLOOKUP(J348,Лист2!A$2:B$4,2,FALSE)</f>
        <v>792</v>
      </c>
      <c r="L348" s="7" t="str">
        <f t="shared" si="22"/>
        <v>ГОТОВ_ИЗМЕНЕН</v>
      </c>
      <c r="M348" s="7">
        <f t="shared" si="23"/>
        <v>0</v>
      </c>
    </row>
    <row r="349" spans="1:13" x14ac:dyDescent="0.25">
      <c r="A349" s="1">
        <v>943643</v>
      </c>
      <c r="B349" s="6" t="s">
        <v>422</v>
      </c>
      <c r="F349" s="6" t="s">
        <v>9</v>
      </c>
      <c r="G349" s="6" t="s">
        <v>38</v>
      </c>
      <c r="H349" s="9" t="s">
        <v>33</v>
      </c>
      <c r="I349" s="7" t="str">
        <f t="shared" si="20"/>
        <v>61001005000</v>
      </c>
      <c r="J349" s="7" t="str">
        <f t="shared" si="21"/>
        <v>Материал по ЕГРН</v>
      </c>
      <c r="K349" s="7">
        <f>VLOOKUP(J349,Лист2!A$2:B$4,2,FALSE)</f>
        <v>792</v>
      </c>
      <c r="L349" s="7" t="str">
        <f t="shared" si="22"/>
        <v>ГОТОВ_ИЗМЕНЕН</v>
      </c>
      <c r="M349" s="7">
        <f t="shared" si="23"/>
        <v>0</v>
      </c>
    </row>
    <row r="350" spans="1:13" x14ac:dyDescent="0.25">
      <c r="A350" s="1">
        <v>943655</v>
      </c>
      <c r="B350" s="6" t="s">
        <v>423</v>
      </c>
      <c r="F350" s="6" t="s">
        <v>9</v>
      </c>
      <c r="G350" s="6" t="s">
        <v>62</v>
      </c>
      <c r="H350" s="9" t="s">
        <v>63</v>
      </c>
      <c r="I350" s="7" t="str">
        <f t="shared" si="20"/>
        <v>61001006002</v>
      </c>
      <c r="J350" s="7" t="str">
        <f t="shared" si="21"/>
        <v>Материал по ЕГРН</v>
      </c>
      <c r="K350" s="7">
        <f>VLOOKUP(J350,Лист2!A$2:B$4,2,FALSE)</f>
        <v>792</v>
      </c>
      <c r="L350" s="7" t="str">
        <f t="shared" si="22"/>
        <v>ГОТОВ_ИЗМЕНЕН</v>
      </c>
      <c r="M350" s="7">
        <f t="shared" si="23"/>
        <v>0</v>
      </c>
    </row>
    <row r="351" spans="1:13" x14ac:dyDescent="0.25">
      <c r="A351" s="1">
        <v>943667</v>
      </c>
      <c r="B351" s="6" t="s">
        <v>424</v>
      </c>
      <c r="F351" s="6" t="s">
        <v>9</v>
      </c>
      <c r="G351" s="6" t="s">
        <v>38</v>
      </c>
      <c r="H351" s="9" t="s">
        <v>33</v>
      </c>
      <c r="I351" s="7" t="str">
        <f t="shared" si="20"/>
        <v>61001005000</v>
      </c>
      <c r="J351" s="7" t="str">
        <f t="shared" si="21"/>
        <v>Материал по ЕГРН</v>
      </c>
      <c r="K351" s="7">
        <f>VLOOKUP(J351,Лист2!A$2:B$4,2,FALSE)</f>
        <v>792</v>
      </c>
      <c r="L351" s="7" t="str">
        <f t="shared" si="22"/>
        <v>ГОТОВ_ИЗМЕНЕН</v>
      </c>
      <c r="M351" s="7">
        <f t="shared" si="23"/>
        <v>0</v>
      </c>
    </row>
    <row r="352" spans="1:13" x14ac:dyDescent="0.25">
      <c r="A352" s="1">
        <v>943679</v>
      </c>
      <c r="B352" s="6" t="s">
        <v>425</v>
      </c>
      <c r="F352" s="6" t="s">
        <v>9</v>
      </c>
      <c r="G352" s="6" t="s">
        <v>34</v>
      </c>
      <c r="H352" s="9" t="s">
        <v>35</v>
      </c>
      <c r="I352" s="7" t="str">
        <f t="shared" si="20"/>
        <v>61001002000</v>
      </c>
      <c r="J352" s="7" t="str">
        <f t="shared" si="21"/>
        <v>Материал по ЕГРН</v>
      </c>
      <c r="K352" s="7">
        <f>VLOOKUP(J352,Лист2!A$2:B$4,2,FALSE)</f>
        <v>792</v>
      </c>
      <c r="L352" s="7" t="str">
        <f t="shared" si="22"/>
        <v>ГОТОВ_ИЗМЕНЕН</v>
      </c>
      <c r="M352" s="7">
        <f t="shared" si="23"/>
        <v>0</v>
      </c>
    </row>
    <row r="353" spans="1:13" x14ac:dyDescent="0.25">
      <c r="A353" s="1">
        <v>943691</v>
      </c>
      <c r="B353" s="6" t="s">
        <v>426</v>
      </c>
      <c r="F353" s="6" t="s">
        <v>9</v>
      </c>
      <c r="G353" s="6" t="s">
        <v>38</v>
      </c>
      <c r="H353" s="9" t="s">
        <v>33</v>
      </c>
      <c r="I353" s="7" t="str">
        <f t="shared" si="20"/>
        <v>61001005000</v>
      </c>
      <c r="J353" s="7" t="str">
        <f t="shared" si="21"/>
        <v>Материал по ЕГРН</v>
      </c>
      <c r="K353" s="7">
        <f>VLOOKUP(J353,Лист2!A$2:B$4,2,FALSE)</f>
        <v>792</v>
      </c>
      <c r="L353" s="7" t="str">
        <f t="shared" si="22"/>
        <v>ГОТОВ_ИЗМЕНЕН</v>
      </c>
      <c r="M353" s="7">
        <f t="shared" si="23"/>
        <v>0</v>
      </c>
    </row>
    <row r="354" spans="1:13" x14ac:dyDescent="0.25">
      <c r="A354" s="1">
        <v>943703</v>
      </c>
      <c r="B354" s="6" t="s">
        <v>427</v>
      </c>
      <c r="F354" s="6" t="s">
        <v>9</v>
      </c>
      <c r="G354" s="6" t="s">
        <v>149</v>
      </c>
      <c r="H354" s="9" t="s">
        <v>150</v>
      </c>
      <c r="I354" s="7" t="str">
        <f t="shared" si="20"/>
        <v>61001007000</v>
      </c>
      <c r="J354" s="7" t="str">
        <f t="shared" si="21"/>
        <v>Материал по ЕГРН</v>
      </c>
      <c r="K354" s="7">
        <f>VLOOKUP(J354,Лист2!A$2:B$4,2,FALSE)</f>
        <v>792</v>
      </c>
      <c r="L354" s="7" t="str">
        <f t="shared" si="22"/>
        <v>ГОТОВ_ИЗМЕНЕН</v>
      </c>
      <c r="M354" s="7">
        <f t="shared" si="23"/>
        <v>0</v>
      </c>
    </row>
    <row r="355" spans="1:13" x14ac:dyDescent="0.25">
      <c r="A355" s="1">
        <v>943715</v>
      </c>
      <c r="B355" s="6" t="s">
        <v>428</v>
      </c>
      <c r="F355" s="6" t="s">
        <v>9</v>
      </c>
      <c r="G355" s="6" t="s">
        <v>133</v>
      </c>
      <c r="H355" s="9" t="s">
        <v>134</v>
      </c>
      <c r="I355" s="7" t="str">
        <f t="shared" si="20"/>
        <v>61001006003</v>
      </c>
      <c r="J355" s="7" t="str">
        <f t="shared" si="21"/>
        <v>Материал по ЕГРН</v>
      </c>
      <c r="K355" s="7">
        <f>VLOOKUP(J355,Лист2!A$2:B$4,2,FALSE)</f>
        <v>792</v>
      </c>
      <c r="L355" s="7" t="str">
        <f t="shared" si="22"/>
        <v>ГОТОВ_ИЗМЕНЕН</v>
      </c>
      <c r="M355" s="7">
        <f t="shared" si="23"/>
        <v>0</v>
      </c>
    </row>
    <row r="356" spans="1:13" x14ac:dyDescent="0.25">
      <c r="A356" s="1">
        <v>943727</v>
      </c>
      <c r="B356" s="6" t="s">
        <v>429</v>
      </c>
      <c r="F356" s="6" t="s">
        <v>9</v>
      </c>
      <c r="G356" s="6" t="s">
        <v>34</v>
      </c>
      <c r="H356" s="9" t="s">
        <v>35</v>
      </c>
      <c r="I356" s="7" t="str">
        <f t="shared" si="20"/>
        <v>61001002000</v>
      </c>
      <c r="J356" s="7" t="str">
        <f t="shared" si="21"/>
        <v>Материал по ЕГРН</v>
      </c>
      <c r="K356" s="7">
        <f>VLOOKUP(J356,Лист2!A$2:B$4,2,FALSE)</f>
        <v>792</v>
      </c>
      <c r="L356" s="7" t="str">
        <f t="shared" si="22"/>
        <v>ГОТОВ_ИЗМЕНЕН</v>
      </c>
      <c r="M356" s="7">
        <f t="shared" si="23"/>
        <v>0</v>
      </c>
    </row>
    <row r="357" spans="1:13" x14ac:dyDescent="0.25">
      <c r="A357" s="1">
        <v>943739</v>
      </c>
      <c r="B357" s="6" t="s">
        <v>430</v>
      </c>
      <c r="F357" s="6" t="s">
        <v>9</v>
      </c>
      <c r="G357" s="6" t="s">
        <v>34</v>
      </c>
      <c r="H357" s="9" t="s">
        <v>35</v>
      </c>
      <c r="I357" s="7" t="str">
        <f t="shared" si="20"/>
        <v>61001002000</v>
      </c>
      <c r="J357" s="7" t="str">
        <f t="shared" si="21"/>
        <v>Материал по ЕГРН</v>
      </c>
      <c r="K357" s="7">
        <f>VLOOKUP(J357,Лист2!A$2:B$4,2,FALSE)</f>
        <v>792</v>
      </c>
      <c r="L357" s="7" t="str">
        <f t="shared" si="22"/>
        <v>ГОТОВ_ИЗМЕНЕН</v>
      </c>
      <c r="M357" s="7">
        <f t="shared" si="23"/>
        <v>0</v>
      </c>
    </row>
    <row r="358" spans="1:13" x14ac:dyDescent="0.25">
      <c r="A358" s="1">
        <v>943751</v>
      </c>
      <c r="B358" s="6" t="s">
        <v>431</v>
      </c>
      <c r="F358" s="6" t="s">
        <v>9</v>
      </c>
      <c r="G358" s="6" t="s">
        <v>34</v>
      </c>
      <c r="H358" s="9" t="s">
        <v>35</v>
      </c>
      <c r="I358" s="7" t="str">
        <f t="shared" si="20"/>
        <v>61001002000</v>
      </c>
      <c r="J358" s="7" t="str">
        <f t="shared" si="21"/>
        <v>Материал по ЕГРН</v>
      </c>
      <c r="K358" s="7">
        <f>VLOOKUP(J358,Лист2!A$2:B$4,2,FALSE)</f>
        <v>792</v>
      </c>
      <c r="L358" s="7" t="str">
        <f t="shared" si="22"/>
        <v>ГОТОВ_ИЗМЕНЕН</v>
      </c>
      <c r="M358" s="7">
        <f t="shared" si="23"/>
        <v>0</v>
      </c>
    </row>
    <row r="359" spans="1:13" x14ac:dyDescent="0.25">
      <c r="A359" s="1">
        <v>943763</v>
      </c>
      <c r="B359" s="6" t="s">
        <v>432</v>
      </c>
      <c r="F359" s="6" t="s">
        <v>9</v>
      </c>
      <c r="G359" s="6" t="s">
        <v>10</v>
      </c>
      <c r="H359" s="9" t="s">
        <v>11</v>
      </c>
      <c r="I359" s="7" t="str">
        <f t="shared" si="20"/>
        <v>61001003000</v>
      </c>
      <c r="J359" s="7" t="str">
        <f t="shared" si="21"/>
        <v>Материал по ЕГРН</v>
      </c>
      <c r="K359" s="7">
        <f>VLOOKUP(J359,Лист2!A$2:B$4,2,FALSE)</f>
        <v>792</v>
      </c>
      <c r="L359" s="7" t="str">
        <f t="shared" si="22"/>
        <v>ГОТОВ_ИЗМЕНЕН</v>
      </c>
      <c r="M359" s="7">
        <f t="shared" si="23"/>
        <v>0</v>
      </c>
    </row>
    <row r="360" spans="1:13" x14ac:dyDescent="0.25">
      <c r="A360" s="1">
        <v>943775</v>
      </c>
      <c r="B360" s="6" t="s">
        <v>433</v>
      </c>
      <c r="F360" s="6" t="s">
        <v>9</v>
      </c>
      <c r="G360" s="6" t="s">
        <v>10</v>
      </c>
      <c r="H360" s="9" t="s">
        <v>11</v>
      </c>
      <c r="I360" s="7" t="str">
        <f t="shared" si="20"/>
        <v>61001003000</v>
      </c>
      <c r="J360" s="7" t="str">
        <f t="shared" si="21"/>
        <v>Материал по ЕГРН</v>
      </c>
      <c r="K360" s="7">
        <f>VLOOKUP(J360,Лист2!A$2:B$4,2,FALSE)</f>
        <v>792</v>
      </c>
      <c r="L360" s="7" t="str">
        <f t="shared" si="22"/>
        <v>ГОТОВ_ИЗМЕНЕН</v>
      </c>
      <c r="M360" s="7">
        <f t="shared" si="23"/>
        <v>0</v>
      </c>
    </row>
    <row r="361" spans="1:13" x14ac:dyDescent="0.25">
      <c r="A361" s="1">
        <v>943787</v>
      </c>
      <c r="B361" s="6" t="s">
        <v>434</v>
      </c>
      <c r="F361" s="6" t="s">
        <v>9</v>
      </c>
      <c r="G361" s="6" t="s">
        <v>38</v>
      </c>
      <c r="H361" s="9" t="s">
        <v>33</v>
      </c>
      <c r="I361" s="7" t="str">
        <f t="shared" si="20"/>
        <v>61001005000</v>
      </c>
      <c r="J361" s="7" t="str">
        <f t="shared" si="21"/>
        <v>Материал по ЕГРН</v>
      </c>
      <c r="K361" s="7">
        <f>VLOOKUP(J361,Лист2!A$2:B$4,2,FALSE)</f>
        <v>792</v>
      </c>
      <c r="L361" s="7" t="str">
        <f t="shared" si="22"/>
        <v>ГОТОВ_ИЗМЕНЕН</v>
      </c>
      <c r="M361" s="7">
        <f t="shared" si="23"/>
        <v>0</v>
      </c>
    </row>
    <row r="362" spans="1:13" x14ac:dyDescent="0.25">
      <c r="A362" s="1">
        <v>943799</v>
      </c>
      <c r="B362" s="6" t="s">
        <v>435</v>
      </c>
      <c r="F362" s="6" t="s">
        <v>9</v>
      </c>
      <c r="G362" s="6" t="s">
        <v>59</v>
      </c>
      <c r="H362" s="9" t="s">
        <v>60</v>
      </c>
      <c r="I362" s="7" t="str">
        <f t="shared" si="20"/>
        <v>61001001001</v>
      </c>
      <c r="J362" s="7" t="str">
        <f t="shared" si="21"/>
        <v>Материал по ЕГРН</v>
      </c>
      <c r="K362" s="7">
        <f>VLOOKUP(J362,Лист2!A$2:B$4,2,FALSE)</f>
        <v>792</v>
      </c>
      <c r="L362" s="7" t="str">
        <f t="shared" si="22"/>
        <v>ГОТОВ_ИЗМЕНЕН</v>
      </c>
      <c r="M362" s="7">
        <f t="shared" si="23"/>
        <v>0</v>
      </c>
    </row>
    <row r="363" spans="1:13" x14ac:dyDescent="0.25">
      <c r="A363" s="1">
        <v>943811</v>
      </c>
      <c r="B363" s="6" t="s">
        <v>436</v>
      </c>
      <c r="F363" s="6" t="s">
        <v>9</v>
      </c>
      <c r="G363" s="6" t="s">
        <v>146</v>
      </c>
      <c r="H363" s="9" t="s">
        <v>147</v>
      </c>
      <c r="I363" s="7" t="str">
        <f t="shared" si="20"/>
        <v>61001000000</v>
      </c>
      <c r="J363" s="7" t="str">
        <f t="shared" si="21"/>
        <v>Материал по ЕГРН</v>
      </c>
      <c r="K363" s="7">
        <f>VLOOKUP(J363,Лист2!A$2:B$4,2,FALSE)</f>
        <v>792</v>
      </c>
      <c r="L363" s="7" t="str">
        <f t="shared" si="22"/>
        <v>ГОТОВ_ИЗМЕНЕН</v>
      </c>
      <c r="M363" s="7">
        <f t="shared" si="23"/>
        <v>0</v>
      </c>
    </row>
    <row r="364" spans="1:13" x14ac:dyDescent="0.25">
      <c r="A364" s="1">
        <v>943823</v>
      </c>
      <c r="B364" s="6" t="s">
        <v>437</v>
      </c>
      <c r="F364" s="6" t="s">
        <v>9</v>
      </c>
      <c r="G364" s="6" t="s">
        <v>38</v>
      </c>
      <c r="H364" s="9" t="s">
        <v>33</v>
      </c>
      <c r="I364" s="7" t="str">
        <f t="shared" si="20"/>
        <v>61001005000</v>
      </c>
      <c r="J364" s="7" t="str">
        <f t="shared" si="21"/>
        <v>Материал по ЕГРН</v>
      </c>
      <c r="K364" s="7">
        <f>VLOOKUP(J364,Лист2!A$2:B$4,2,FALSE)</f>
        <v>792</v>
      </c>
      <c r="L364" s="7" t="str">
        <f t="shared" si="22"/>
        <v>ГОТОВ_ИЗМЕНЕН</v>
      </c>
      <c r="M364" s="7">
        <f t="shared" si="23"/>
        <v>0</v>
      </c>
    </row>
    <row r="365" spans="1:13" x14ac:dyDescent="0.25">
      <c r="A365" s="1">
        <v>943835</v>
      </c>
      <c r="B365" s="6" t="s">
        <v>438</v>
      </c>
      <c r="F365" s="6" t="s">
        <v>9</v>
      </c>
      <c r="G365" s="6" t="s">
        <v>38</v>
      </c>
      <c r="H365" s="9" t="s">
        <v>33</v>
      </c>
      <c r="I365" s="7" t="str">
        <f t="shared" si="20"/>
        <v>61001005000</v>
      </c>
      <c r="J365" s="7" t="str">
        <f t="shared" si="21"/>
        <v>Материал по ЕГРН</v>
      </c>
      <c r="K365" s="7">
        <f>VLOOKUP(J365,Лист2!A$2:B$4,2,FALSE)</f>
        <v>792</v>
      </c>
      <c r="L365" s="7" t="str">
        <f t="shared" si="22"/>
        <v>ГОТОВ_ИЗМЕНЕН</v>
      </c>
      <c r="M365" s="7">
        <f t="shared" si="23"/>
        <v>0</v>
      </c>
    </row>
    <row r="366" spans="1:13" x14ac:dyDescent="0.25">
      <c r="A366" s="1">
        <v>943847</v>
      </c>
      <c r="B366" s="6" t="s">
        <v>439</v>
      </c>
      <c r="F366" s="6" t="s">
        <v>9</v>
      </c>
      <c r="G366" s="6" t="s">
        <v>10</v>
      </c>
      <c r="H366" s="9" t="s">
        <v>11</v>
      </c>
      <c r="I366" s="7" t="str">
        <f t="shared" si="20"/>
        <v>61001003000</v>
      </c>
      <c r="J366" s="7" t="str">
        <f t="shared" si="21"/>
        <v>Материал по ЕГРН</v>
      </c>
      <c r="K366" s="7">
        <f>VLOOKUP(J366,Лист2!A$2:B$4,2,FALSE)</f>
        <v>792</v>
      </c>
      <c r="L366" s="7" t="str">
        <f t="shared" si="22"/>
        <v>ГОТОВ_ИЗМЕНЕН</v>
      </c>
      <c r="M366" s="7">
        <f t="shared" si="23"/>
        <v>0</v>
      </c>
    </row>
    <row r="367" spans="1:13" x14ac:dyDescent="0.25">
      <c r="A367" s="1">
        <v>943859</v>
      </c>
      <c r="B367" s="6" t="s">
        <v>440</v>
      </c>
      <c r="F367" s="6" t="s">
        <v>9</v>
      </c>
      <c r="G367" s="6" t="s">
        <v>170</v>
      </c>
      <c r="H367" s="9" t="s">
        <v>171</v>
      </c>
      <c r="I367" s="7" t="str">
        <f t="shared" si="20"/>
        <v>61001001000</v>
      </c>
      <c r="J367" s="7" t="str">
        <f t="shared" si="21"/>
        <v>Материал по ЕГРН</v>
      </c>
      <c r="K367" s="7">
        <f>VLOOKUP(J367,Лист2!A$2:B$4,2,FALSE)</f>
        <v>792</v>
      </c>
      <c r="L367" s="7" t="str">
        <f t="shared" si="22"/>
        <v>ГОТОВ_ИЗМЕНЕН</v>
      </c>
      <c r="M367" s="7">
        <f t="shared" si="23"/>
        <v>0</v>
      </c>
    </row>
    <row r="368" spans="1:13" x14ac:dyDescent="0.25">
      <c r="A368" s="1">
        <v>943871</v>
      </c>
      <c r="B368" s="6" t="s">
        <v>441</v>
      </c>
      <c r="F368" s="6" t="s">
        <v>9</v>
      </c>
      <c r="G368" s="6" t="s">
        <v>62</v>
      </c>
      <c r="H368" s="9" t="s">
        <v>63</v>
      </c>
      <c r="I368" s="7" t="str">
        <f t="shared" si="20"/>
        <v>61001006002</v>
      </c>
      <c r="J368" s="7" t="str">
        <f t="shared" si="21"/>
        <v>Материал по ЕГРН</v>
      </c>
      <c r="K368" s="7">
        <f>VLOOKUP(J368,Лист2!A$2:B$4,2,FALSE)</f>
        <v>792</v>
      </c>
      <c r="L368" s="7" t="str">
        <f t="shared" si="22"/>
        <v>ГОТОВ_ИЗМЕНЕН</v>
      </c>
      <c r="M368" s="7">
        <f t="shared" si="23"/>
        <v>0</v>
      </c>
    </row>
    <row r="369" spans="1:13" x14ac:dyDescent="0.25">
      <c r="A369" s="1">
        <v>943883</v>
      </c>
      <c r="B369" s="6" t="s">
        <v>442</v>
      </c>
      <c r="F369" s="6" t="s">
        <v>9</v>
      </c>
      <c r="G369" s="6" t="s">
        <v>38</v>
      </c>
      <c r="H369" s="9" t="s">
        <v>33</v>
      </c>
      <c r="I369" s="7" t="str">
        <f t="shared" si="20"/>
        <v>61001005000</v>
      </c>
      <c r="J369" s="7" t="str">
        <f t="shared" si="21"/>
        <v>Материал по ЕГРН</v>
      </c>
      <c r="K369" s="7">
        <f>VLOOKUP(J369,Лист2!A$2:B$4,2,FALSE)</f>
        <v>792</v>
      </c>
      <c r="L369" s="7" t="str">
        <f t="shared" si="22"/>
        <v>ГОТОВ_ИЗМЕНЕН</v>
      </c>
      <c r="M369" s="7">
        <f t="shared" si="23"/>
        <v>0</v>
      </c>
    </row>
    <row r="370" spans="1:13" x14ac:dyDescent="0.25">
      <c r="A370" s="1">
        <v>943895</v>
      </c>
      <c r="B370" s="6" t="s">
        <v>443</v>
      </c>
      <c r="F370" s="6" t="s">
        <v>9</v>
      </c>
      <c r="G370" s="6" t="s">
        <v>38</v>
      </c>
      <c r="H370" s="9" t="s">
        <v>33</v>
      </c>
      <c r="I370" s="7" t="str">
        <f t="shared" si="20"/>
        <v>61001005000</v>
      </c>
      <c r="J370" s="7" t="str">
        <f t="shared" si="21"/>
        <v>Материал по ЕГРН</v>
      </c>
      <c r="K370" s="7">
        <f>VLOOKUP(J370,Лист2!A$2:B$4,2,FALSE)</f>
        <v>792</v>
      </c>
      <c r="L370" s="7" t="str">
        <f t="shared" si="22"/>
        <v>ГОТОВ_ИЗМЕНЕН</v>
      </c>
      <c r="M370" s="7">
        <f t="shared" si="23"/>
        <v>0</v>
      </c>
    </row>
    <row r="371" spans="1:13" x14ac:dyDescent="0.25">
      <c r="A371" s="1">
        <v>943907</v>
      </c>
      <c r="B371" s="6" t="s">
        <v>444</v>
      </c>
      <c r="F371" s="6" t="s">
        <v>9</v>
      </c>
      <c r="G371" s="6" t="s">
        <v>133</v>
      </c>
      <c r="H371" s="9" t="s">
        <v>134</v>
      </c>
      <c r="I371" s="7" t="str">
        <f t="shared" si="20"/>
        <v>61001006003</v>
      </c>
      <c r="J371" s="7" t="str">
        <f t="shared" si="21"/>
        <v>Материал по ЕГРН</v>
      </c>
      <c r="K371" s="7">
        <f>VLOOKUP(J371,Лист2!A$2:B$4,2,FALSE)</f>
        <v>792</v>
      </c>
      <c r="L371" s="7" t="str">
        <f t="shared" si="22"/>
        <v>ГОТОВ_ИЗМЕНЕН</v>
      </c>
      <c r="M371" s="7">
        <f t="shared" si="23"/>
        <v>0</v>
      </c>
    </row>
    <row r="372" spans="1:13" x14ac:dyDescent="0.25">
      <c r="A372" s="1">
        <v>943919</v>
      </c>
      <c r="B372" s="6" t="s">
        <v>445</v>
      </c>
      <c r="F372" s="6" t="s">
        <v>9</v>
      </c>
      <c r="G372" s="6" t="s">
        <v>34</v>
      </c>
      <c r="H372" s="9" t="s">
        <v>35</v>
      </c>
      <c r="I372" s="7" t="str">
        <f t="shared" si="20"/>
        <v>61001002000</v>
      </c>
      <c r="J372" s="7" t="str">
        <f t="shared" si="21"/>
        <v>Материал по ЕГРН</v>
      </c>
      <c r="K372" s="7">
        <f>VLOOKUP(J372,Лист2!A$2:B$4,2,FALSE)</f>
        <v>792</v>
      </c>
      <c r="L372" s="7" t="str">
        <f t="shared" si="22"/>
        <v>ГОТОВ_ИЗМЕНЕН</v>
      </c>
      <c r="M372" s="7">
        <f t="shared" si="23"/>
        <v>0</v>
      </c>
    </row>
    <row r="373" spans="1:13" x14ac:dyDescent="0.25">
      <c r="A373" s="1">
        <v>943931</v>
      </c>
      <c r="B373" s="6" t="s">
        <v>446</v>
      </c>
      <c r="F373" s="6" t="s">
        <v>9</v>
      </c>
      <c r="G373" s="6" t="s">
        <v>43</v>
      </c>
      <c r="H373" s="9" t="s">
        <v>42</v>
      </c>
      <c r="I373" s="7" t="str">
        <f t="shared" si="20"/>
        <v>61001002001</v>
      </c>
      <c r="J373" s="7" t="str">
        <f t="shared" si="21"/>
        <v>Материал по ЕГРН</v>
      </c>
      <c r="K373" s="7">
        <f>VLOOKUP(J373,Лист2!A$2:B$4,2,FALSE)</f>
        <v>792</v>
      </c>
      <c r="L373" s="7" t="str">
        <f t="shared" si="22"/>
        <v>ГОТОВ_ИЗМЕНЕН</v>
      </c>
      <c r="M373" s="7">
        <f t="shared" si="23"/>
        <v>0</v>
      </c>
    </row>
    <row r="374" spans="1:13" x14ac:dyDescent="0.25">
      <c r="A374" s="1">
        <v>943943</v>
      </c>
      <c r="B374" s="6" t="s">
        <v>447</v>
      </c>
      <c r="F374" s="6" t="s">
        <v>9</v>
      </c>
      <c r="G374" s="6" t="s">
        <v>34</v>
      </c>
      <c r="H374" s="9" t="s">
        <v>35</v>
      </c>
      <c r="I374" s="7" t="str">
        <f t="shared" si="20"/>
        <v>61001002000</v>
      </c>
      <c r="J374" s="7" t="str">
        <f t="shared" si="21"/>
        <v>Материал по ЕГРН</v>
      </c>
      <c r="K374" s="7">
        <f>VLOOKUP(J374,Лист2!A$2:B$4,2,FALSE)</f>
        <v>792</v>
      </c>
      <c r="L374" s="7" t="str">
        <f t="shared" si="22"/>
        <v>ГОТОВ_ИЗМЕНЕН</v>
      </c>
      <c r="M374" s="7">
        <f t="shared" si="23"/>
        <v>0</v>
      </c>
    </row>
    <row r="375" spans="1:13" x14ac:dyDescent="0.25">
      <c r="A375" s="1">
        <v>122261</v>
      </c>
      <c r="B375" s="6" t="s">
        <v>448</v>
      </c>
      <c r="C375" s="9" t="s">
        <v>42</v>
      </c>
      <c r="D375" s="6" t="s">
        <v>20</v>
      </c>
      <c r="E375" s="6" t="s">
        <v>37</v>
      </c>
      <c r="F375" s="6" t="s">
        <v>9</v>
      </c>
      <c r="G375" s="6" t="s">
        <v>43</v>
      </c>
      <c r="H375" s="9" t="s">
        <v>42</v>
      </c>
      <c r="I375" s="7" t="str">
        <f t="shared" si="20"/>
        <v>61001002001</v>
      </c>
      <c r="J375" s="7" t="str">
        <f t="shared" si="21"/>
        <v>Материал по ЕГРН</v>
      </c>
      <c r="K375" s="7">
        <f>VLOOKUP(J375,Лист2!A$2:B$4,2,FALSE)</f>
        <v>792</v>
      </c>
      <c r="L375" s="7" t="str">
        <f t="shared" si="22"/>
        <v>ГОТОВ</v>
      </c>
      <c r="M375" s="7" t="str">
        <f t="shared" si="23"/>
        <v>61001002001</v>
      </c>
    </row>
    <row r="376" spans="1:13" x14ac:dyDescent="0.25">
      <c r="A376" s="1">
        <v>519262</v>
      </c>
      <c r="B376" s="6" t="s">
        <v>449</v>
      </c>
      <c r="C376" s="9" t="s">
        <v>33</v>
      </c>
      <c r="D376" s="6" t="s">
        <v>20</v>
      </c>
      <c r="E376" s="6" t="s">
        <v>37</v>
      </c>
      <c r="F376" s="6" t="s">
        <v>9</v>
      </c>
      <c r="G376" s="6" t="s">
        <v>38</v>
      </c>
      <c r="H376" s="9" t="s">
        <v>33</v>
      </c>
      <c r="I376" s="7" t="str">
        <f t="shared" si="20"/>
        <v>61001005000</v>
      </c>
      <c r="J376" s="7" t="str">
        <f t="shared" si="21"/>
        <v>Материал по ЕГРН</v>
      </c>
      <c r="K376" s="7">
        <f>VLOOKUP(J376,Лист2!A$2:B$4,2,FALSE)</f>
        <v>792</v>
      </c>
      <c r="L376" s="7" t="str">
        <f t="shared" si="22"/>
        <v>ГОТОВ</v>
      </c>
      <c r="M376" s="7" t="str">
        <f t="shared" si="23"/>
        <v>61001005000</v>
      </c>
    </row>
    <row r="377" spans="1:13" x14ac:dyDescent="0.25">
      <c r="A377" s="1">
        <v>529495</v>
      </c>
      <c r="B377" s="6" t="s">
        <v>450</v>
      </c>
      <c r="C377" s="9" t="s">
        <v>33</v>
      </c>
      <c r="D377" s="6" t="s">
        <v>20</v>
      </c>
      <c r="E377" s="6" t="s">
        <v>37</v>
      </c>
      <c r="F377" s="6" t="s">
        <v>9</v>
      </c>
      <c r="G377" s="6" t="s">
        <v>38</v>
      </c>
      <c r="H377" s="9" t="s">
        <v>33</v>
      </c>
      <c r="I377" s="7" t="str">
        <f t="shared" si="20"/>
        <v>61001005000</v>
      </c>
      <c r="J377" s="7" t="str">
        <f t="shared" si="21"/>
        <v>Материал по ЕГРН</v>
      </c>
      <c r="K377" s="7">
        <f>VLOOKUP(J377,Лист2!A$2:B$4,2,FALSE)</f>
        <v>792</v>
      </c>
      <c r="L377" s="7" t="str">
        <f t="shared" si="22"/>
        <v>ГОТОВ</v>
      </c>
      <c r="M377" s="7" t="str">
        <f t="shared" si="23"/>
        <v>61001005000</v>
      </c>
    </row>
    <row r="378" spans="1:13" x14ac:dyDescent="0.25">
      <c r="A378" s="1">
        <v>667849</v>
      </c>
      <c r="B378" s="6" t="s">
        <v>451</v>
      </c>
      <c r="C378" s="9" t="s">
        <v>33</v>
      </c>
      <c r="D378" s="6" t="s">
        <v>20</v>
      </c>
      <c r="E378" s="6" t="s">
        <v>37</v>
      </c>
      <c r="F378" s="6" t="s">
        <v>9</v>
      </c>
      <c r="G378" s="6" t="s">
        <v>38</v>
      </c>
      <c r="H378" s="9" t="s">
        <v>33</v>
      </c>
      <c r="I378" s="7" t="str">
        <f t="shared" si="20"/>
        <v>61001005000</v>
      </c>
      <c r="J378" s="7" t="str">
        <f t="shared" si="21"/>
        <v>Материал по ЕГРН</v>
      </c>
      <c r="K378" s="7">
        <f>VLOOKUP(J378,Лист2!A$2:B$4,2,FALSE)</f>
        <v>792</v>
      </c>
      <c r="L378" s="7" t="str">
        <f t="shared" si="22"/>
        <v>ГОТОВ</v>
      </c>
      <c r="M378" s="7" t="str">
        <f t="shared" si="23"/>
        <v>61001005000</v>
      </c>
    </row>
    <row r="379" spans="1:13" x14ac:dyDescent="0.25">
      <c r="A379" s="1">
        <v>943955</v>
      </c>
      <c r="B379" s="6" t="s">
        <v>452</v>
      </c>
      <c r="F379" s="6" t="s">
        <v>9</v>
      </c>
      <c r="G379" s="6" t="s">
        <v>38</v>
      </c>
      <c r="H379" s="9" t="s">
        <v>33</v>
      </c>
      <c r="I379" s="7" t="str">
        <f t="shared" si="20"/>
        <v>61001005000</v>
      </c>
      <c r="J379" s="7" t="str">
        <f t="shared" si="21"/>
        <v>Материал по ЕГРН</v>
      </c>
      <c r="K379" s="7">
        <f>VLOOKUP(J379,Лист2!A$2:B$4,2,FALSE)</f>
        <v>792</v>
      </c>
      <c r="L379" s="7" t="str">
        <f t="shared" si="22"/>
        <v>ГОТОВ_ИЗМЕНЕН</v>
      </c>
      <c r="M379" s="7">
        <f t="shared" si="23"/>
        <v>0</v>
      </c>
    </row>
    <row r="380" spans="1:13" x14ac:dyDescent="0.25">
      <c r="A380" s="1">
        <v>943967</v>
      </c>
      <c r="B380" s="6" t="s">
        <v>453</v>
      </c>
      <c r="F380" s="6" t="s">
        <v>9</v>
      </c>
      <c r="G380" s="6" t="s">
        <v>454</v>
      </c>
      <c r="H380" s="9" t="s">
        <v>455</v>
      </c>
      <c r="I380" s="7" t="str">
        <f t="shared" si="20"/>
        <v>61001003000</v>
      </c>
      <c r="J380" s="7" t="str">
        <f t="shared" si="21"/>
        <v>Смешанные по допущению</v>
      </c>
      <c r="K380" s="7">
        <f>VLOOKUP(J380,Лист2!A$2:B$4,2,FALSE)</f>
        <v>793</v>
      </c>
      <c r="L380" s="7" t="str">
        <f t="shared" si="22"/>
        <v>ГОТОВ_ИЗМЕНЕН</v>
      </c>
      <c r="M380" s="7">
        <f t="shared" si="23"/>
        <v>0</v>
      </c>
    </row>
    <row r="381" spans="1:13" x14ac:dyDescent="0.25">
      <c r="A381" s="1">
        <v>943979</v>
      </c>
      <c r="B381" s="6" t="s">
        <v>456</v>
      </c>
      <c r="F381" s="6" t="s">
        <v>9</v>
      </c>
      <c r="G381" s="6" t="s">
        <v>34</v>
      </c>
      <c r="H381" s="9" t="s">
        <v>35</v>
      </c>
      <c r="I381" s="7" t="str">
        <f t="shared" si="20"/>
        <v>61001002000</v>
      </c>
      <c r="J381" s="7" t="str">
        <f t="shared" si="21"/>
        <v>Материал по ЕГРН</v>
      </c>
      <c r="K381" s="7">
        <f>VLOOKUP(J381,Лист2!A$2:B$4,2,FALSE)</f>
        <v>792</v>
      </c>
      <c r="L381" s="7" t="str">
        <f t="shared" si="22"/>
        <v>ГОТОВ_ИЗМЕНЕН</v>
      </c>
      <c r="M381" s="7">
        <f t="shared" si="23"/>
        <v>0</v>
      </c>
    </row>
    <row r="382" spans="1:13" x14ac:dyDescent="0.25">
      <c r="A382" s="1">
        <v>943991</v>
      </c>
      <c r="B382" s="6" t="s">
        <v>457</v>
      </c>
      <c r="F382" s="6" t="s">
        <v>9</v>
      </c>
      <c r="G382" s="6" t="s">
        <v>65</v>
      </c>
      <c r="H382" s="9" t="s">
        <v>66</v>
      </c>
      <c r="I382" s="7" t="str">
        <f t="shared" si="20"/>
        <v>61001002003</v>
      </c>
      <c r="J382" s="7" t="str">
        <f t="shared" si="21"/>
        <v>Материал по ЕГРН</v>
      </c>
      <c r="K382" s="7">
        <f>VLOOKUP(J382,Лист2!A$2:B$4,2,FALSE)</f>
        <v>792</v>
      </c>
      <c r="L382" s="7" t="str">
        <f t="shared" si="22"/>
        <v>ГОТОВ_ИЗМЕНЕН</v>
      </c>
      <c r="M382" s="7">
        <f t="shared" si="23"/>
        <v>0</v>
      </c>
    </row>
    <row r="383" spans="1:13" x14ac:dyDescent="0.25">
      <c r="A383" s="1">
        <v>944003</v>
      </c>
      <c r="B383" s="6" t="s">
        <v>458</v>
      </c>
      <c r="F383" s="6" t="s">
        <v>9</v>
      </c>
      <c r="G383" s="6" t="s">
        <v>34</v>
      </c>
      <c r="H383" s="9" t="s">
        <v>35</v>
      </c>
      <c r="I383" s="7" t="str">
        <f t="shared" si="20"/>
        <v>61001002000</v>
      </c>
      <c r="J383" s="7" t="str">
        <f t="shared" si="21"/>
        <v>Материал по ЕГРН</v>
      </c>
      <c r="K383" s="7">
        <f>VLOOKUP(J383,Лист2!A$2:B$4,2,FALSE)</f>
        <v>792</v>
      </c>
      <c r="L383" s="7" t="str">
        <f t="shared" si="22"/>
        <v>ГОТОВ_ИЗМЕНЕН</v>
      </c>
      <c r="M383" s="7">
        <f t="shared" si="23"/>
        <v>0</v>
      </c>
    </row>
    <row r="384" spans="1:13" x14ac:dyDescent="0.25">
      <c r="A384" s="1">
        <v>944015</v>
      </c>
      <c r="B384" s="6" t="s">
        <v>459</v>
      </c>
      <c r="F384" s="6" t="s">
        <v>9</v>
      </c>
      <c r="G384" s="6" t="s">
        <v>10</v>
      </c>
      <c r="H384" s="9" t="s">
        <v>11</v>
      </c>
      <c r="I384" s="7" t="str">
        <f t="shared" si="20"/>
        <v>61001003000</v>
      </c>
      <c r="J384" s="7" t="str">
        <f t="shared" si="21"/>
        <v>Материал по ЕГРН</v>
      </c>
      <c r="K384" s="7">
        <f>VLOOKUP(J384,Лист2!A$2:B$4,2,FALSE)</f>
        <v>792</v>
      </c>
      <c r="L384" s="7" t="str">
        <f t="shared" si="22"/>
        <v>ГОТОВ_ИЗМЕНЕН</v>
      </c>
      <c r="M384" s="7">
        <f t="shared" si="23"/>
        <v>0</v>
      </c>
    </row>
    <row r="385" spans="1:13" x14ac:dyDescent="0.25">
      <c r="A385" s="1">
        <v>944027</v>
      </c>
      <c r="B385" s="6" t="s">
        <v>460</v>
      </c>
      <c r="F385" s="6" t="s">
        <v>9</v>
      </c>
      <c r="G385" s="6" t="s">
        <v>62</v>
      </c>
      <c r="H385" s="9" t="s">
        <v>63</v>
      </c>
      <c r="I385" s="7" t="str">
        <f t="shared" si="20"/>
        <v>61001006002</v>
      </c>
      <c r="J385" s="7" t="str">
        <f t="shared" si="21"/>
        <v>Материал по ЕГРН</v>
      </c>
      <c r="K385" s="7">
        <f>VLOOKUP(J385,Лист2!A$2:B$4,2,FALSE)</f>
        <v>792</v>
      </c>
      <c r="L385" s="7" t="str">
        <f t="shared" si="22"/>
        <v>ГОТОВ_ИЗМЕНЕН</v>
      </c>
      <c r="M385" s="7">
        <f t="shared" si="23"/>
        <v>0</v>
      </c>
    </row>
    <row r="386" spans="1:13" x14ac:dyDescent="0.25">
      <c r="A386" s="1">
        <v>944039</v>
      </c>
      <c r="B386" s="6" t="s">
        <v>461</v>
      </c>
      <c r="F386" s="6" t="s">
        <v>9</v>
      </c>
      <c r="G386" s="6" t="s">
        <v>10</v>
      </c>
      <c r="H386" s="9" t="s">
        <v>11</v>
      </c>
      <c r="I386" s="7" t="str">
        <f t="shared" si="20"/>
        <v>61001003000</v>
      </c>
      <c r="J386" s="7" t="str">
        <f t="shared" si="21"/>
        <v>Материал по ЕГРН</v>
      </c>
      <c r="K386" s="7">
        <f>VLOOKUP(J386,Лист2!A$2:B$4,2,FALSE)</f>
        <v>792</v>
      </c>
      <c r="L386" s="7" t="str">
        <f t="shared" si="22"/>
        <v>ГОТОВ_ИЗМЕНЕН</v>
      </c>
      <c r="M386" s="7">
        <f t="shared" si="23"/>
        <v>0</v>
      </c>
    </row>
    <row r="387" spans="1:13" x14ac:dyDescent="0.25">
      <c r="A387" s="1">
        <v>944051</v>
      </c>
      <c r="B387" s="6" t="s">
        <v>462</v>
      </c>
      <c r="F387" s="6" t="s">
        <v>9</v>
      </c>
      <c r="G387" s="6" t="s">
        <v>34</v>
      </c>
      <c r="H387" s="9" t="s">
        <v>35</v>
      </c>
      <c r="I387" s="7" t="str">
        <f t="shared" si="20"/>
        <v>61001002000</v>
      </c>
      <c r="J387" s="7" t="str">
        <f t="shared" si="21"/>
        <v>Материал по ЕГРН</v>
      </c>
      <c r="K387" s="7">
        <f>VLOOKUP(J387,Лист2!A$2:B$4,2,FALSE)</f>
        <v>792</v>
      </c>
      <c r="L387" s="7" t="str">
        <f t="shared" si="22"/>
        <v>ГОТОВ_ИЗМЕНЕН</v>
      </c>
      <c r="M387" s="7">
        <f t="shared" si="23"/>
        <v>0</v>
      </c>
    </row>
    <row r="388" spans="1:13" x14ac:dyDescent="0.25">
      <c r="A388" s="1">
        <v>944063</v>
      </c>
      <c r="B388" s="6" t="s">
        <v>463</v>
      </c>
      <c r="F388" s="6" t="s">
        <v>9</v>
      </c>
      <c r="G388" s="6" t="s">
        <v>38</v>
      </c>
      <c r="H388" s="9" t="s">
        <v>33</v>
      </c>
      <c r="I388" s="7" t="str">
        <f t="shared" si="20"/>
        <v>61001005000</v>
      </c>
      <c r="J388" s="7" t="str">
        <f t="shared" si="21"/>
        <v>Материал по ЕГРН</v>
      </c>
      <c r="K388" s="7">
        <f>VLOOKUP(J388,Лист2!A$2:B$4,2,FALSE)</f>
        <v>792</v>
      </c>
      <c r="L388" s="7" t="str">
        <f t="shared" si="22"/>
        <v>ГОТОВ_ИЗМЕНЕН</v>
      </c>
      <c r="M388" s="7">
        <f t="shared" si="23"/>
        <v>0</v>
      </c>
    </row>
    <row r="389" spans="1:13" x14ac:dyDescent="0.25">
      <c r="A389" s="1">
        <v>944075</v>
      </c>
      <c r="B389" s="6" t="s">
        <v>464</v>
      </c>
      <c r="F389" s="6" t="s">
        <v>9</v>
      </c>
      <c r="G389" s="6" t="s">
        <v>38</v>
      </c>
      <c r="H389" s="9" t="s">
        <v>33</v>
      </c>
      <c r="I389" s="7" t="str">
        <f t="shared" ref="I389:I452" si="24">IF(LEN(H389)=11,H389,IF(LEN(H389)=0,"61001005000","61001003000"))</f>
        <v>61001005000</v>
      </c>
      <c r="J389" s="7" t="str">
        <f t="shared" ref="J389:J452" si="25">IF(LEN(H389)=11,"Материал по ЕГРН",IF(LEN(H389)=0,"Прочие по допущению","Смешанные по допущению"))</f>
        <v>Материал по ЕГРН</v>
      </c>
      <c r="K389" s="7">
        <f>VLOOKUP(J389,Лист2!A$2:B$4,2,FALSE)</f>
        <v>792</v>
      </c>
      <c r="L389" s="7" t="str">
        <f t="shared" ref="L389:L452" si="26">IF(I389=C389,"ГОТОВ","ГОТОВ_ИЗМЕНЕН")</f>
        <v>ГОТОВ_ИЗМЕНЕН</v>
      </c>
      <c r="M389" s="7">
        <f t="shared" ref="M389:M452" si="27">C389</f>
        <v>0</v>
      </c>
    </row>
    <row r="390" spans="1:13" x14ac:dyDescent="0.25">
      <c r="A390" s="1">
        <v>944087</v>
      </c>
      <c r="B390" s="6" t="s">
        <v>465</v>
      </c>
      <c r="F390" s="6" t="s">
        <v>9</v>
      </c>
      <c r="G390" s="6" t="s">
        <v>38</v>
      </c>
      <c r="H390" s="9" t="s">
        <v>33</v>
      </c>
      <c r="I390" s="7" t="str">
        <f t="shared" si="24"/>
        <v>61001005000</v>
      </c>
      <c r="J390" s="7" t="str">
        <f t="shared" si="25"/>
        <v>Материал по ЕГРН</v>
      </c>
      <c r="K390" s="7">
        <f>VLOOKUP(J390,Лист2!A$2:B$4,2,FALSE)</f>
        <v>792</v>
      </c>
      <c r="L390" s="7" t="str">
        <f t="shared" si="26"/>
        <v>ГОТОВ_ИЗМЕНЕН</v>
      </c>
      <c r="M390" s="7">
        <f t="shared" si="27"/>
        <v>0</v>
      </c>
    </row>
    <row r="391" spans="1:13" ht="25.5" x14ac:dyDescent="0.25">
      <c r="A391" s="1">
        <v>944099</v>
      </c>
      <c r="B391" s="6" t="s">
        <v>466</v>
      </c>
      <c r="E391" s="6" t="s">
        <v>8</v>
      </c>
      <c r="F391" s="6" t="s">
        <v>9</v>
      </c>
      <c r="G391" s="6" t="s">
        <v>467</v>
      </c>
      <c r="H391" s="9" t="s">
        <v>468</v>
      </c>
      <c r="I391" s="7" t="str">
        <f t="shared" si="24"/>
        <v>61001003000</v>
      </c>
      <c r="J391" s="7" t="str">
        <f t="shared" si="25"/>
        <v>Смешанные по допущению</v>
      </c>
      <c r="K391" s="7">
        <f>VLOOKUP(J391,Лист2!A$2:B$4,2,FALSE)</f>
        <v>793</v>
      </c>
      <c r="L391" s="7" t="str">
        <f t="shared" si="26"/>
        <v>ГОТОВ_ИЗМЕНЕН</v>
      </c>
      <c r="M391" s="7">
        <f t="shared" si="27"/>
        <v>0</v>
      </c>
    </row>
    <row r="392" spans="1:13" x14ac:dyDescent="0.25">
      <c r="A392" s="1">
        <v>944111</v>
      </c>
      <c r="B392" s="6" t="s">
        <v>469</v>
      </c>
      <c r="F392" s="6" t="s">
        <v>9</v>
      </c>
      <c r="G392" s="6" t="s">
        <v>38</v>
      </c>
      <c r="H392" s="9" t="s">
        <v>33</v>
      </c>
      <c r="I392" s="7" t="str">
        <f t="shared" si="24"/>
        <v>61001005000</v>
      </c>
      <c r="J392" s="7" t="str">
        <f t="shared" si="25"/>
        <v>Материал по ЕГРН</v>
      </c>
      <c r="K392" s="7">
        <f>VLOOKUP(J392,Лист2!A$2:B$4,2,FALSE)</f>
        <v>792</v>
      </c>
      <c r="L392" s="7" t="str">
        <f t="shared" si="26"/>
        <v>ГОТОВ_ИЗМЕНЕН</v>
      </c>
      <c r="M392" s="7">
        <f t="shared" si="27"/>
        <v>0</v>
      </c>
    </row>
    <row r="393" spans="1:13" x14ac:dyDescent="0.25">
      <c r="A393" s="1">
        <v>944123</v>
      </c>
      <c r="B393" s="6" t="s">
        <v>470</v>
      </c>
      <c r="F393" s="6" t="s">
        <v>9</v>
      </c>
      <c r="G393" s="6" t="s">
        <v>90</v>
      </c>
      <c r="H393" s="9" t="s">
        <v>12</v>
      </c>
      <c r="I393" s="7" t="str">
        <f t="shared" si="24"/>
        <v>61001008000</v>
      </c>
      <c r="J393" s="7" t="str">
        <f t="shared" si="25"/>
        <v>Материал по ЕГРН</v>
      </c>
      <c r="K393" s="7">
        <f>VLOOKUP(J393,Лист2!A$2:B$4,2,FALSE)</f>
        <v>792</v>
      </c>
      <c r="L393" s="7" t="str">
        <f t="shared" si="26"/>
        <v>ГОТОВ_ИЗМЕНЕН</v>
      </c>
      <c r="M393" s="7">
        <f t="shared" si="27"/>
        <v>0</v>
      </c>
    </row>
    <row r="394" spans="1:13" x14ac:dyDescent="0.25">
      <c r="A394" s="1">
        <v>944135</v>
      </c>
      <c r="B394" s="6" t="s">
        <v>471</v>
      </c>
      <c r="F394" s="6" t="s">
        <v>9</v>
      </c>
      <c r="G394" s="6" t="s">
        <v>62</v>
      </c>
      <c r="H394" s="9" t="s">
        <v>63</v>
      </c>
      <c r="I394" s="7" t="str">
        <f t="shared" si="24"/>
        <v>61001006002</v>
      </c>
      <c r="J394" s="7" t="str">
        <f t="shared" si="25"/>
        <v>Материал по ЕГРН</v>
      </c>
      <c r="K394" s="7">
        <f>VLOOKUP(J394,Лист2!A$2:B$4,2,FALSE)</f>
        <v>792</v>
      </c>
      <c r="L394" s="7" t="str">
        <f t="shared" si="26"/>
        <v>ГОТОВ_ИЗМЕНЕН</v>
      </c>
      <c r="M394" s="7">
        <f t="shared" si="27"/>
        <v>0</v>
      </c>
    </row>
    <row r="395" spans="1:13" x14ac:dyDescent="0.25">
      <c r="A395" s="1">
        <v>944147</v>
      </c>
      <c r="B395" s="6" t="s">
        <v>472</v>
      </c>
      <c r="F395" s="6" t="s">
        <v>9</v>
      </c>
      <c r="G395" s="6" t="s">
        <v>38</v>
      </c>
      <c r="H395" s="9" t="s">
        <v>33</v>
      </c>
      <c r="I395" s="7" t="str">
        <f t="shared" si="24"/>
        <v>61001005000</v>
      </c>
      <c r="J395" s="7" t="str">
        <f t="shared" si="25"/>
        <v>Материал по ЕГРН</v>
      </c>
      <c r="K395" s="7">
        <f>VLOOKUP(J395,Лист2!A$2:B$4,2,FALSE)</f>
        <v>792</v>
      </c>
      <c r="L395" s="7" t="str">
        <f t="shared" si="26"/>
        <v>ГОТОВ_ИЗМЕНЕН</v>
      </c>
      <c r="M395" s="7">
        <f t="shared" si="27"/>
        <v>0</v>
      </c>
    </row>
    <row r="396" spans="1:13" x14ac:dyDescent="0.25">
      <c r="A396" s="1">
        <v>944159</v>
      </c>
      <c r="B396" s="6" t="s">
        <v>473</v>
      </c>
      <c r="F396" s="6" t="s">
        <v>9</v>
      </c>
      <c r="G396" s="6" t="s">
        <v>38</v>
      </c>
      <c r="H396" s="9" t="s">
        <v>33</v>
      </c>
      <c r="I396" s="7" t="str">
        <f t="shared" si="24"/>
        <v>61001005000</v>
      </c>
      <c r="J396" s="7" t="str">
        <f t="shared" si="25"/>
        <v>Материал по ЕГРН</v>
      </c>
      <c r="K396" s="7">
        <f>VLOOKUP(J396,Лист2!A$2:B$4,2,FALSE)</f>
        <v>792</v>
      </c>
      <c r="L396" s="7" t="str">
        <f t="shared" si="26"/>
        <v>ГОТОВ_ИЗМЕНЕН</v>
      </c>
      <c r="M396" s="7">
        <f t="shared" si="27"/>
        <v>0</v>
      </c>
    </row>
    <row r="397" spans="1:13" x14ac:dyDescent="0.25">
      <c r="A397" s="1">
        <v>944171</v>
      </c>
      <c r="B397" s="6" t="s">
        <v>474</v>
      </c>
      <c r="F397" s="6" t="s">
        <v>9</v>
      </c>
      <c r="G397" s="6" t="s">
        <v>38</v>
      </c>
      <c r="H397" s="9" t="s">
        <v>33</v>
      </c>
      <c r="I397" s="7" t="str">
        <f t="shared" si="24"/>
        <v>61001005000</v>
      </c>
      <c r="J397" s="7" t="str">
        <f t="shared" si="25"/>
        <v>Материал по ЕГРН</v>
      </c>
      <c r="K397" s="7">
        <f>VLOOKUP(J397,Лист2!A$2:B$4,2,FALSE)</f>
        <v>792</v>
      </c>
      <c r="L397" s="7" t="str">
        <f t="shared" si="26"/>
        <v>ГОТОВ_ИЗМЕНЕН</v>
      </c>
      <c r="M397" s="7">
        <f t="shared" si="27"/>
        <v>0</v>
      </c>
    </row>
    <row r="398" spans="1:13" x14ac:dyDescent="0.25">
      <c r="A398" s="1">
        <v>944183</v>
      </c>
      <c r="B398" s="6" t="s">
        <v>475</v>
      </c>
      <c r="F398" s="6" t="s">
        <v>9</v>
      </c>
      <c r="G398" s="6" t="s">
        <v>38</v>
      </c>
      <c r="H398" s="9" t="s">
        <v>33</v>
      </c>
      <c r="I398" s="7" t="str">
        <f t="shared" si="24"/>
        <v>61001005000</v>
      </c>
      <c r="J398" s="7" t="str">
        <f t="shared" si="25"/>
        <v>Материал по ЕГРН</v>
      </c>
      <c r="K398" s="7">
        <f>VLOOKUP(J398,Лист2!A$2:B$4,2,FALSE)</f>
        <v>792</v>
      </c>
      <c r="L398" s="7" t="str">
        <f t="shared" si="26"/>
        <v>ГОТОВ_ИЗМЕНЕН</v>
      </c>
      <c r="M398" s="7">
        <f t="shared" si="27"/>
        <v>0</v>
      </c>
    </row>
    <row r="399" spans="1:13" x14ac:dyDescent="0.25">
      <c r="A399" s="1">
        <v>944195</v>
      </c>
      <c r="B399" s="6" t="s">
        <v>476</v>
      </c>
      <c r="F399" s="6" t="s">
        <v>9</v>
      </c>
      <c r="G399" s="6" t="s">
        <v>59</v>
      </c>
      <c r="H399" s="9" t="s">
        <v>60</v>
      </c>
      <c r="I399" s="7" t="str">
        <f t="shared" si="24"/>
        <v>61001001001</v>
      </c>
      <c r="J399" s="7" t="str">
        <f t="shared" si="25"/>
        <v>Материал по ЕГРН</v>
      </c>
      <c r="K399" s="7">
        <f>VLOOKUP(J399,Лист2!A$2:B$4,2,FALSE)</f>
        <v>792</v>
      </c>
      <c r="L399" s="7" t="str">
        <f t="shared" si="26"/>
        <v>ГОТОВ_ИЗМЕНЕН</v>
      </c>
      <c r="M399" s="7">
        <f t="shared" si="27"/>
        <v>0</v>
      </c>
    </row>
    <row r="400" spans="1:13" x14ac:dyDescent="0.25">
      <c r="A400" s="1">
        <v>944207</v>
      </c>
      <c r="B400" s="6" t="s">
        <v>477</v>
      </c>
      <c r="F400" s="6" t="s">
        <v>9</v>
      </c>
      <c r="G400" s="6" t="s">
        <v>34</v>
      </c>
      <c r="H400" s="9" t="s">
        <v>35</v>
      </c>
      <c r="I400" s="7" t="str">
        <f t="shared" si="24"/>
        <v>61001002000</v>
      </c>
      <c r="J400" s="7" t="str">
        <f t="shared" si="25"/>
        <v>Материал по ЕГРН</v>
      </c>
      <c r="K400" s="7">
        <f>VLOOKUP(J400,Лист2!A$2:B$4,2,FALSE)</f>
        <v>792</v>
      </c>
      <c r="L400" s="7" t="str">
        <f t="shared" si="26"/>
        <v>ГОТОВ_ИЗМЕНЕН</v>
      </c>
      <c r="M400" s="7">
        <f t="shared" si="27"/>
        <v>0</v>
      </c>
    </row>
    <row r="401" spans="1:13" x14ac:dyDescent="0.25">
      <c r="A401" s="1">
        <v>944219</v>
      </c>
      <c r="B401" s="6" t="s">
        <v>478</v>
      </c>
      <c r="F401" s="6" t="s">
        <v>9</v>
      </c>
      <c r="G401" s="6" t="s">
        <v>10</v>
      </c>
      <c r="H401" s="9" t="s">
        <v>11</v>
      </c>
      <c r="I401" s="7" t="str">
        <f t="shared" si="24"/>
        <v>61001003000</v>
      </c>
      <c r="J401" s="7" t="str">
        <f t="shared" si="25"/>
        <v>Материал по ЕГРН</v>
      </c>
      <c r="K401" s="7">
        <f>VLOOKUP(J401,Лист2!A$2:B$4,2,FALSE)</f>
        <v>792</v>
      </c>
      <c r="L401" s="7" t="str">
        <f t="shared" si="26"/>
        <v>ГОТОВ_ИЗМЕНЕН</v>
      </c>
      <c r="M401" s="7">
        <f t="shared" si="27"/>
        <v>0</v>
      </c>
    </row>
    <row r="402" spans="1:13" x14ac:dyDescent="0.25">
      <c r="A402" s="1">
        <v>944231</v>
      </c>
      <c r="B402" s="6" t="s">
        <v>479</v>
      </c>
      <c r="F402" s="6" t="s">
        <v>9</v>
      </c>
      <c r="G402" s="6" t="s">
        <v>149</v>
      </c>
      <c r="H402" s="9" t="s">
        <v>150</v>
      </c>
      <c r="I402" s="7" t="str">
        <f t="shared" si="24"/>
        <v>61001007000</v>
      </c>
      <c r="J402" s="7" t="str">
        <f t="shared" si="25"/>
        <v>Материал по ЕГРН</v>
      </c>
      <c r="K402" s="7">
        <f>VLOOKUP(J402,Лист2!A$2:B$4,2,FALSE)</f>
        <v>792</v>
      </c>
      <c r="L402" s="7" t="str">
        <f t="shared" si="26"/>
        <v>ГОТОВ_ИЗМЕНЕН</v>
      </c>
      <c r="M402" s="7">
        <f t="shared" si="27"/>
        <v>0</v>
      </c>
    </row>
    <row r="403" spans="1:13" x14ac:dyDescent="0.25">
      <c r="A403" s="1">
        <v>944243</v>
      </c>
      <c r="B403" s="6" t="s">
        <v>480</v>
      </c>
      <c r="F403" s="6" t="s">
        <v>9</v>
      </c>
      <c r="G403" s="6" t="s">
        <v>38</v>
      </c>
      <c r="H403" s="9" t="s">
        <v>33</v>
      </c>
      <c r="I403" s="7" t="str">
        <f t="shared" si="24"/>
        <v>61001005000</v>
      </c>
      <c r="J403" s="7" t="str">
        <f t="shared" si="25"/>
        <v>Материал по ЕГРН</v>
      </c>
      <c r="K403" s="7">
        <f>VLOOKUP(J403,Лист2!A$2:B$4,2,FALSE)</f>
        <v>792</v>
      </c>
      <c r="L403" s="7" t="str">
        <f t="shared" si="26"/>
        <v>ГОТОВ_ИЗМЕНЕН</v>
      </c>
      <c r="M403" s="7">
        <f t="shared" si="27"/>
        <v>0</v>
      </c>
    </row>
    <row r="404" spans="1:13" x14ac:dyDescent="0.25">
      <c r="A404" s="1">
        <v>944255</v>
      </c>
      <c r="B404" s="6" t="s">
        <v>481</v>
      </c>
      <c r="F404" s="6" t="s">
        <v>9</v>
      </c>
      <c r="G404" s="6" t="s">
        <v>38</v>
      </c>
      <c r="H404" s="9" t="s">
        <v>33</v>
      </c>
      <c r="I404" s="7" t="str">
        <f t="shared" si="24"/>
        <v>61001005000</v>
      </c>
      <c r="J404" s="7" t="str">
        <f t="shared" si="25"/>
        <v>Материал по ЕГРН</v>
      </c>
      <c r="K404" s="7">
        <f>VLOOKUP(J404,Лист2!A$2:B$4,2,FALSE)</f>
        <v>792</v>
      </c>
      <c r="L404" s="7" t="str">
        <f t="shared" si="26"/>
        <v>ГОТОВ_ИЗМЕНЕН</v>
      </c>
      <c r="M404" s="7">
        <f t="shared" si="27"/>
        <v>0</v>
      </c>
    </row>
    <row r="405" spans="1:13" x14ac:dyDescent="0.25">
      <c r="A405" s="1">
        <v>944267</v>
      </c>
      <c r="B405" s="6" t="s">
        <v>482</v>
      </c>
      <c r="F405" s="6" t="s">
        <v>9</v>
      </c>
      <c r="G405" s="6" t="s">
        <v>59</v>
      </c>
      <c r="H405" s="9" t="s">
        <v>60</v>
      </c>
      <c r="I405" s="7" t="str">
        <f t="shared" si="24"/>
        <v>61001001001</v>
      </c>
      <c r="J405" s="7" t="str">
        <f t="shared" si="25"/>
        <v>Материал по ЕГРН</v>
      </c>
      <c r="K405" s="7">
        <f>VLOOKUP(J405,Лист2!A$2:B$4,2,FALSE)</f>
        <v>792</v>
      </c>
      <c r="L405" s="7" t="str">
        <f t="shared" si="26"/>
        <v>ГОТОВ_ИЗМЕНЕН</v>
      </c>
      <c r="M405" s="7">
        <f t="shared" si="27"/>
        <v>0</v>
      </c>
    </row>
    <row r="406" spans="1:13" x14ac:dyDescent="0.25">
      <c r="A406" s="1">
        <v>230424</v>
      </c>
      <c r="B406" s="6" t="s">
        <v>483</v>
      </c>
      <c r="C406" s="9" t="s">
        <v>33</v>
      </c>
      <c r="D406" s="6" t="s">
        <v>20</v>
      </c>
      <c r="E406" s="6" t="s">
        <v>37</v>
      </c>
      <c r="F406" s="6" t="s">
        <v>9</v>
      </c>
      <c r="G406" s="6" t="s">
        <v>38</v>
      </c>
      <c r="H406" s="9" t="s">
        <v>33</v>
      </c>
      <c r="I406" s="7" t="str">
        <f t="shared" si="24"/>
        <v>61001005000</v>
      </c>
      <c r="J406" s="7" t="str">
        <f t="shared" si="25"/>
        <v>Материал по ЕГРН</v>
      </c>
      <c r="K406" s="7">
        <f>VLOOKUP(J406,Лист2!A$2:B$4,2,FALSE)</f>
        <v>792</v>
      </c>
      <c r="L406" s="7" t="str">
        <f t="shared" si="26"/>
        <v>ГОТОВ</v>
      </c>
      <c r="M406" s="7" t="str">
        <f t="shared" si="27"/>
        <v>61001005000</v>
      </c>
    </row>
    <row r="407" spans="1:13" x14ac:dyDescent="0.25">
      <c r="A407" s="1">
        <v>378883</v>
      </c>
      <c r="B407" s="6" t="s">
        <v>484</v>
      </c>
      <c r="C407" s="9" t="s">
        <v>60</v>
      </c>
      <c r="D407" s="6" t="s">
        <v>20</v>
      </c>
      <c r="E407" s="6" t="s">
        <v>37</v>
      </c>
      <c r="F407" s="6" t="s">
        <v>9</v>
      </c>
      <c r="G407" s="6" t="s">
        <v>59</v>
      </c>
      <c r="H407" s="9" t="s">
        <v>60</v>
      </c>
      <c r="I407" s="7" t="str">
        <f t="shared" si="24"/>
        <v>61001001001</v>
      </c>
      <c r="J407" s="7" t="str">
        <f t="shared" si="25"/>
        <v>Материал по ЕГРН</v>
      </c>
      <c r="K407" s="7">
        <f>VLOOKUP(J407,Лист2!A$2:B$4,2,FALSE)</f>
        <v>792</v>
      </c>
      <c r="L407" s="7" t="str">
        <f t="shared" si="26"/>
        <v>ГОТОВ</v>
      </c>
      <c r="M407" s="7" t="str">
        <f t="shared" si="27"/>
        <v>61001001001</v>
      </c>
    </row>
    <row r="408" spans="1:13" x14ac:dyDescent="0.25">
      <c r="A408" s="1">
        <v>787985</v>
      </c>
      <c r="B408" s="6" t="s">
        <v>485</v>
      </c>
      <c r="C408" s="9" t="s">
        <v>33</v>
      </c>
      <c r="D408" s="6" t="s">
        <v>20</v>
      </c>
      <c r="E408" s="6" t="s">
        <v>37</v>
      </c>
      <c r="F408" s="6" t="s">
        <v>9</v>
      </c>
      <c r="G408" s="6" t="s">
        <v>38</v>
      </c>
      <c r="H408" s="9" t="s">
        <v>33</v>
      </c>
      <c r="I408" s="7" t="str">
        <f t="shared" si="24"/>
        <v>61001005000</v>
      </c>
      <c r="J408" s="7" t="str">
        <f t="shared" si="25"/>
        <v>Материал по ЕГРН</v>
      </c>
      <c r="K408" s="7">
        <f>VLOOKUP(J408,Лист2!A$2:B$4,2,FALSE)</f>
        <v>792</v>
      </c>
      <c r="L408" s="7" t="str">
        <f t="shared" si="26"/>
        <v>ГОТОВ</v>
      </c>
      <c r="M408" s="7" t="str">
        <f t="shared" si="27"/>
        <v>61001005000</v>
      </c>
    </row>
    <row r="409" spans="1:13" x14ac:dyDescent="0.25">
      <c r="A409" s="1">
        <v>945784</v>
      </c>
      <c r="B409" s="6" t="s">
        <v>486</v>
      </c>
      <c r="F409" s="6" t="s">
        <v>9</v>
      </c>
      <c r="G409" s="6" t="s">
        <v>180</v>
      </c>
      <c r="H409" s="9" t="s">
        <v>181</v>
      </c>
      <c r="I409" s="7" t="str">
        <f t="shared" si="24"/>
        <v>61001009000</v>
      </c>
      <c r="J409" s="7" t="str">
        <f t="shared" si="25"/>
        <v>Материал по ЕГРН</v>
      </c>
      <c r="K409" s="7">
        <f>VLOOKUP(J409,Лист2!A$2:B$4,2,FALSE)</f>
        <v>792</v>
      </c>
      <c r="L409" s="7" t="str">
        <f t="shared" si="26"/>
        <v>ГОТОВ_ИЗМЕНЕН</v>
      </c>
      <c r="M409" s="7">
        <f t="shared" si="27"/>
        <v>0</v>
      </c>
    </row>
    <row r="410" spans="1:13" x14ac:dyDescent="0.25">
      <c r="A410" s="1">
        <v>945796</v>
      </c>
      <c r="B410" s="6" t="s">
        <v>487</v>
      </c>
      <c r="F410" s="6" t="s">
        <v>9</v>
      </c>
      <c r="G410" s="6" t="s">
        <v>59</v>
      </c>
      <c r="H410" s="9" t="s">
        <v>60</v>
      </c>
      <c r="I410" s="7" t="str">
        <f t="shared" si="24"/>
        <v>61001001001</v>
      </c>
      <c r="J410" s="7" t="str">
        <f t="shared" si="25"/>
        <v>Материал по ЕГРН</v>
      </c>
      <c r="K410" s="7">
        <f>VLOOKUP(J410,Лист2!A$2:B$4,2,FALSE)</f>
        <v>792</v>
      </c>
      <c r="L410" s="7" t="str">
        <f t="shared" si="26"/>
        <v>ГОТОВ_ИЗМЕНЕН</v>
      </c>
      <c r="M410" s="7">
        <f t="shared" si="27"/>
        <v>0</v>
      </c>
    </row>
    <row r="411" spans="1:13" x14ac:dyDescent="0.25">
      <c r="A411" s="1">
        <v>945808</v>
      </c>
      <c r="B411" s="6" t="s">
        <v>488</v>
      </c>
      <c r="F411" s="6" t="s">
        <v>9</v>
      </c>
      <c r="G411" s="6" t="s">
        <v>62</v>
      </c>
      <c r="H411" s="9" t="s">
        <v>63</v>
      </c>
      <c r="I411" s="7" t="str">
        <f t="shared" si="24"/>
        <v>61001006002</v>
      </c>
      <c r="J411" s="7" t="str">
        <f t="shared" si="25"/>
        <v>Материал по ЕГРН</v>
      </c>
      <c r="K411" s="7">
        <f>VLOOKUP(J411,Лист2!A$2:B$4,2,FALSE)</f>
        <v>792</v>
      </c>
      <c r="L411" s="7" t="str">
        <f t="shared" si="26"/>
        <v>ГОТОВ_ИЗМЕНЕН</v>
      </c>
      <c r="M411" s="7">
        <f t="shared" si="27"/>
        <v>0</v>
      </c>
    </row>
    <row r="412" spans="1:13" x14ac:dyDescent="0.25">
      <c r="A412" s="1">
        <v>198021</v>
      </c>
      <c r="B412" s="6" t="s">
        <v>489</v>
      </c>
      <c r="C412" s="9" t="s">
        <v>33</v>
      </c>
      <c r="D412" s="6" t="s">
        <v>20</v>
      </c>
      <c r="E412" s="6" t="s">
        <v>37</v>
      </c>
      <c r="F412" s="6" t="s">
        <v>9</v>
      </c>
      <c r="G412" s="6" t="s">
        <v>38</v>
      </c>
      <c r="H412" s="9" t="s">
        <v>33</v>
      </c>
      <c r="I412" s="7" t="str">
        <f t="shared" si="24"/>
        <v>61001005000</v>
      </c>
      <c r="J412" s="7" t="str">
        <f t="shared" si="25"/>
        <v>Материал по ЕГРН</v>
      </c>
      <c r="K412" s="7">
        <f>VLOOKUP(J412,Лист2!A$2:B$4,2,FALSE)</f>
        <v>792</v>
      </c>
      <c r="L412" s="7" t="str">
        <f t="shared" si="26"/>
        <v>ГОТОВ</v>
      </c>
      <c r="M412" s="7" t="str">
        <f t="shared" si="27"/>
        <v>61001005000</v>
      </c>
    </row>
    <row r="413" spans="1:13" x14ac:dyDescent="0.25">
      <c r="A413" s="1">
        <v>469005</v>
      </c>
      <c r="B413" s="6" t="s">
        <v>490</v>
      </c>
      <c r="C413" s="9" t="s">
        <v>60</v>
      </c>
      <c r="D413" s="6" t="s">
        <v>20</v>
      </c>
      <c r="E413" s="6" t="s">
        <v>37</v>
      </c>
      <c r="F413" s="6" t="s">
        <v>9</v>
      </c>
      <c r="G413" s="6" t="s">
        <v>59</v>
      </c>
      <c r="H413" s="9" t="s">
        <v>60</v>
      </c>
      <c r="I413" s="7" t="str">
        <f t="shared" si="24"/>
        <v>61001001001</v>
      </c>
      <c r="J413" s="7" t="str">
        <f t="shared" si="25"/>
        <v>Материал по ЕГРН</v>
      </c>
      <c r="K413" s="7">
        <f>VLOOKUP(J413,Лист2!A$2:B$4,2,FALSE)</f>
        <v>792</v>
      </c>
      <c r="L413" s="7" t="str">
        <f t="shared" si="26"/>
        <v>ГОТОВ</v>
      </c>
      <c r="M413" s="7" t="str">
        <f t="shared" si="27"/>
        <v>61001001001</v>
      </c>
    </row>
    <row r="414" spans="1:13" x14ac:dyDescent="0.25">
      <c r="A414" s="1">
        <v>515849</v>
      </c>
      <c r="B414" s="6" t="s">
        <v>491</v>
      </c>
      <c r="C414" s="9" t="s">
        <v>33</v>
      </c>
      <c r="D414" s="6" t="s">
        <v>20</v>
      </c>
      <c r="E414" s="6" t="s">
        <v>37</v>
      </c>
      <c r="F414" s="6" t="s">
        <v>9</v>
      </c>
      <c r="G414" s="6" t="s">
        <v>38</v>
      </c>
      <c r="H414" s="9" t="s">
        <v>33</v>
      </c>
      <c r="I414" s="7" t="str">
        <f t="shared" si="24"/>
        <v>61001005000</v>
      </c>
      <c r="J414" s="7" t="str">
        <f t="shared" si="25"/>
        <v>Материал по ЕГРН</v>
      </c>
      <c r="K414" s="7">
        <f>VLOOKUP(J414,Лист2!A$2:B$4,2,FALSE)</f>
        <v>792</v>
      </c>
      <c r="L414" s="7" t="str">
        <f t="shared" si="26"/>
        <v>ГОТОВ</v>
      </c>
      <c r="M414" s="7" t="str">
        <f t="shared" si="27"/>
        <v>61001005000</v>
      </c>
    </row>
    <row r="415" spans="1:13" x14ac:dyDescent="0.25">
      <c r="A415" s="1">
        <v>530991</v>
      </c>
      <c r="B415" s="6" t="s">
        <v>492</v>
      </c>
      <c r="C415" s="9" t="s">
        <v>33</v>
      </c>
      <c r="D415" s="6" t="s">
        <v>20</v>
      </c>
      <c r="E415" s="6" t="s">
        <v>37</v>
      </c>
      <c r="F415" s="6" t="s">
        <v>9</v>
      </c>
      <c r="G415" s="6" t="s">
        <v>38</v>
      </c>
      <c r="H415" s="9" t="s">
        <v>33</v>
      </c>
      <c r="I415" s="7" t="str">
        <f t="shared" si="24"/>
        <v>61001005000</v>
      </c>
      <c r="J415" s="7" t="str">
        <f t="shared" si="25"/>
        <v>Материал по ЕГРН</v>
      </c>
      <c r="K415" s="7">
        <f>VLOOKUP(J415,Лист2!A$2:B$4,2,FALSE)</f>
        <v>792</v>
      </c>
      <c r="L415" s="7" t="str">
        <f t="shared" si="26"/>
        <v>ГОТОВ</v>
      </c>
      <c r="M415" s="7" t="str">
        <f t="shared" si="27"/>
        <v>61001005000</v>
      </c>
    </row>
    <row r="416" spans="1:13" x14ac:dyDescent="0.25">
      <c r="A416" s="1">
        <v>565774</v>
      </c>
      <c r="B416" s="6" t="s">
        <v>493</v>
      </c>
      <c r="C416" s="9" t="s">
        <v>33</v>
      </c>
      <c r="D416" s="6" t="s">
        <v>20</v>
      </c>
      <c r="E416" s="6" t="s">
        <v>37</v>
      </c>
      <c r="F416" s="6" t="s">
        <v>9</v>
      </c>
      <c r="G416" s="6" t="s">
        <v>38</v>
      </c>
      <c r="H416" s="9" t="s">
        <v>33</v>
      </c>
      <c r="I416" s="7" t="str">
        <f t="shared" si="24"/>
        <v>61001005000</v>
      </c>
      <c r="J416" s="7" t="str">
        <f t="shared" si="25"/>
        <v>Материал по ЕГРН</v>
      </c>
      <c r="K416" s="7">
        <f>VLOOKUP(J416,Лист2!A$2:B$4,2,FALSE)</f>
        <v>792</v>
      </c>
      <c r="L416" s="7" t="str">
        <f t="shared" si="26"/>
        <v>ГОТОВ</v>
      </c>
      <c r="M416" s="7" t="str">
        <f t="shared" si="27"/>
        <v>61001005000</v>
      </c>
    </row>
    <row r="417" spans="1:13" x14ac:dyDescent="0.25">
      <c r="A417" s="1">
        <v>840305</v>
      </c>
      <c r="B417" s="6" t="s">
        <v>494</v>
      </c>
      <c r="C417" s="9" t="s">
        <v>33</v>
      </c>
      <c r="D417" s="6" t="s">
        <v>20</v>
      </c>
      <c r="E417" s="6" t="s">
        <v>37</v>
      </c>
      <c r="F417" s="6" t="s">
        <v>9</v>
      </c>
      <c r="G417" s="6" t="s">
        <v>38</v>
      </c>
      <c r="H417" s="9" t="s">
        <v>33</v>
      </c>
      <c r="I417" s="7" t="str">
        <f t="shared" si="24"/>
        <v>61001005000</v>
      </c>
      <c r="J417" s="7" t="str">
        <f t="shared" si="25"/>
        <v>Материал по ЕГРН</v>
      </c>
      <c r="K417" s="7">
        <f>VLOOKUP(J417,Лист2!A$2:B$4,2,FALSE)</f>
        <v>792</v>
      </c>
      <c r="L417" s="7" t="str">
        <f t="shared" si="26"/>
        <v>ГОТОВ</v>
      </c>
      <c r="M417" s="7" t="str">
        <f t="shared" si="27"/>
        <v>61001005000</v>
      </c>
    </row>
    <row r="418" spans="1:13" x14ac:dyDescent="0.25">
      <c r="A418" s="1">
        <v>193079</v>
      </c>
      <c r="B418" s="6" t="s">
        <v>495</v>
      </c>
      <c r="C418" s="9" t="s">
        <v>33</v>
      </c>
      <c r="D418" s="6" t="s">
        <v>20</v>
      </c>
      <c r="E418" s="6" t="s">
        <v>37</v>
      </c>
      <c r="F418" s="6" t="s">
        <v>9</v>
      </c>
      <c r="G418" s="6" t="s">
        <v>38</v>
      </c>
      <c r="H418" s="9" t="s">
        <v>33</v>
      </c>
      <c r="I418" s="7" t="str">
        <f t="shared" si="24"/>
        <v>61001005000</v>
      </c>
      <c r="J418" s="7" t="str">
        <f t="shared" si="25"/>
        <v>Материал по ЕГРН</v>
      </c>
      <c r="K418" s="7">
        <f>VLOOKUP(J418,Лист2!A$2:B$4,2,FALSE)</f>
        <v>792</v>
      </c>
      <c r="L418" s="7" t="str">
        <f t="shared" si="26"/>
        <v>ГОТОВ</v>
      </c>
      <c r="M418" s="7" t="str">
        <f t="shared" si="27"/>
        <v>61001005000</v>
      </c>
    </row>
    <row r="419" spans="1:13" x14ac:dyDescent="0.25">
      <c r="A419" s="1">
        <v>263688</v>
      </c>
      <c r="B419" s="6" t="s">
        <v>496</v>
      </c>
      <c r="C419" s="9" t="s">
        <v>33</v>
      </c>
      <c r="D419" s="6" t="s">
        <v>20</v>
      </c>
      <c r="E419" s="6" t="s">
        <v>37</v>
      </c>
      <c r="F419" s="6" t="s">
        <v>9</v>
      </c>
      <c r="G419" s="6" t="s">
        <v>38</v>
      </c>
      <c r="H419" s="9" t="s">
        <v>33</v>
      </c>
      <c r="I419" s="7" t="str">
        <f t="shared" si="24"/>
        <v>61001005000</v>
      </c>
      <c r="J419" s="7" t="str">
        <f t="shared" si="25"/>
        <v>Материал по ЕГРН</v>
      </c>
      <c r="K419" s="7">
        <f>VLOOKUP(J419,Лист2!A$2:B$4,2,FALSE)</f>
        <v>792</v>
      </c>
      <c r="L419" s="7" t="str">
        <f t="shared" si="26"/>
        <v>ГОТОВ</v>
      </c>
      <c r="M419" s="7" t="str">
        <f t="shared" si="27"/>
        <v>61001005000</v>
      </c>
    </row>
    <row r="420" spans="1:13" x14ac:dyDescent="0.25">
      <c r="A420" s="1">
        <v>427962</v>
      </c>
      <c r="B420" s="6" t="s">
        <v>497</v>
      </c>
      <c r="C420" s="9" t="s">
        <v>33</v>
      </c>
      <c r="D420" s="6" t="s">
        <v>20</v>
      </c>
      <c r="E420" s="6" t="s">
        <v>37</v>
      </c>
      <c r="F420" s="6" t="s">
        <v>9</v>
      </c>
      <c r="G420" s="6" t="s">
        <v>38</v>
      </c>
      <c r="H420" s="9" t="s">
        <v>33</v>
      </c>
      <c r="I420" s="7" t="str">
        <f t="shared" si="24"/>
        <v>61001005000</v>
      </c>
      <c r="J420" s="7" t="str">
        <f t="shared" si="25"/>
        <v>Материал по ЕГРН</v>
      </c>
      <c r="K420" s="7">
        <f>VLOOKUP(J420,Лист2!A$2:B$4,2,FALSE)</f>
        <v>792</v>
      </c>
      <c r="L420" s="7" t="str">
        <f t="shared" si="26"/>
        <v>ГОТОВ</v>
      </c>
      <c r="M420" s="7" t="str">
        <f t="shared" si="27"/>
        <v>61001005000</v>
      </c>
    </row>
    <row r="421" spans="1:13" x14ac:dyDescent="0.25">
      <c r="A421" s="1">
        <v>605006</v>
      </c>
      <c r="B421" s="6" t="s">
        <v>498</v>
      </c>
      <c r="C421" s="9" t="s">
        <v>33</v>
      </c>
      <c r="D421" s="6" t="s">
        <v>20</v>
      </c>
      <c r="E421" s="6" t="s">
        <v>37</v>
      </c>
      <c r="F421" s="6" t="s">
        <v>9</v>
      </c>
      <c r="G421" s="6" t="s">
        <v>38</v>
      </c>
      <c r="H421" s="9" t="s">
        <v>33</v>
      </c>
      <c r="I421" s="7" t="str">
        <f t="shared" si="24"/>
        <v>61001005000</v>
      </c>
      <c r="J421" s="7" t="str">
        <f t="shared" si="25"/>
        <v>Материал по ЕГРН</v>
      </c>
      <c r="K421" s="7">
        <f>VLOOKUP(J421,Лист2!A$2:B$4,2,FALSE)</f>
        <v>792</v>
      </c>
      <c r="L421" s="7" t="str">
        <f t="shared" si="26"/>
        <v>ГОТОВ</v>
      </c>
      <c r="M421" s="7" t="str">
        <f t="shared" si="27"/>
        <v>61001005000</v>
      </c>
    </row>
    <row r="422" spans="1:13" x14ac:dyDescent="0.25">
      <c r="A422" s="1">
        <v>178250</v>
      </c>
      <c r="B422" s="6" t="s">
        <v>499</v>
      </c>
      <c r="C422" s="9" t="s">
        <v>33</v>
      </c>
      <c r="D422" s="6" t="s">
        <v>20</v>
      </c>
      <c r="E422" s="6" t="s">
        <v>37</v>
      </c>
      <c r="F422" s="6" t="s">
        <v>9</v>
      </c>
      <c r="G422" s="6" t="s">
        <v>38</v>
      </c>
      <c r="H422" s="9" t="s">
        <v>33</v>
      </c>
      <c r="I422" s="7" t="str">
        <f t="shared" si="24"/>
        <v>61001005000</v>
      </c>
      <c r="J422" s="7" t="str">
        <f t="shared" si="25"/>
        <v>Материал по ЕГРН</v>
      </c>
      <c r="K422" s="7">
        <f>VLOOKUP(J422,Лист2!A$2:B$4,2,FALSE)</f>
        <v>792</v>
      </c>
      <c r="L422" s="7" t="str">
        <f t="shared" si="26"/>
        <v>ГОТОВ</v>
      </c>
      <c r="M422" s="7" t="str">
        <f t="shared" si="27"/>
        <v>61001005000</v>
      </c>
    </row>
    <row r="423" spans="1:13" x14ac:dyDescent="0.25">
      <c r="A423" s="1">
        <v>389605</v>
      </c>
      <c r="B423" s="6" t="s">
        <v>500</v>
      </c>
      <c r="C423" s="9" t="s">
        <v>60</v>
      </c>
      <c r="D423" s="6" t="s">
        <v>20</v>
      </c>
      <c r="E423" s="6" t="s">
        <v>37</v>
      </c>
      <c r="F423" s="6" t="s">
        <v>9</v>
      </c>
      <c r="G423" s="6" t="s">
        <v>59</v>
      </c>
      <c r="H423" s="9" t="s">
        <v>60</v>
      </c>
      <c r="I423" s="7" t="str">
        <f t="shared" si="24"/>
        <v>61001001001</v>
      </c>
      <c r="J423" s="7" t="str">
        <f t="shared" si="25"/>
        <v>Материал по ЕГРН</v>
      </c>
      <c r="K423" s="7">
        <f>VLOOKUP(J423,Лист2!A$2:B$4,2,FALSE)</f>
        <v>792</v>
      </c>
      <c r="L423" s="7" t="str">
        <f t="shared" si="26"/>
        <v>ГОТОВ</v>
      </c>
      <c r="M423" s="7" t="str">
        <f t="shared" si="27"/>
        <v>61001001001</v>
      </c>
    </row>
    <row r="424" spans="1:13" x14ac:dyDescent="0.25">
      <c r="A424" s="1">
        <v>787501</v>
      </c>
      <c r="B424" s="6" t="s">
        <v>501</v>
      </c>
      <c r="C424" s="9" t="s">
        <v>33</v>
      </c>
      <c r="D424" s="6" t="s">
        <v>20</v>
      </c>
      <c r="E424" s="6" t="s">
        <v>37</v>
      </c>
      <c r="F424" s="6" t="s">
        <v>9</v>
      </c>
      <c r="G424" s="6" t="s">
        <v>38</v>
      </c>
      <c r="H424" s="9" t="s">
        <v>33</v>
      </c>
      <c r="I424" s="7" t="str">
        <f t="shared" si="24"/>
        <v>61001005000</v>
      </c>
      <c r="J424" s="7" t="str">
        <f t="shared" si="25"/>
        <v>Материал по ЕГРН</v>
      </c>
      <c r="K424" s="7">
        <f>VLOOKUP(J424,Лист2!A$2:B$4,2,FALSE)</f>
        <v>792</v>
      </c>
      <c r="L424" s="7" t="str">
        <f t="shared" si="26"/>
        <v>ГОТОВ</v>
      </c>
      <c r="M424" s="7" t="str">
        <f t="shared" si="27"/>
        <v>61001005000</v>
      </c>
    </row>
    <row r="425" spans="1:13" x14ac:dyDescent="0.25">
      <c r="A425" s="1">
        <v>815365</v>
      </c>
      <c r="B425" s="6" t="s">
        <v>502</v>
      </c>
      <c r="C425" s="9" t="s">
        <v>33</v>
      </c>
      <c r="D425" s="6" t="s">
        <v>20</v>
      </c>
      <c r="E425" s="6" t="s">
        <v>37</v>
      </c>
      <c r="F425" s="6" t="s">
        <v>9</v>
      </c>
      <c r="G425" s="6" t="s">
        <v>38</v>
      </c>
      <c r="H425" s="9" t="s">
        <v>33</v>
      </c>
      <c r="I425" s="7" t="str">
        <f t="shared" si="24"/>
        <v>61001005000</v>
      </c>
      <c r="J425" s="7" t="str">
        <f t="shared" si="25"/>
        <v>Материал по ЕГРН</v>
      </c>
      <c r="K425" s="7">
        <f>VLOOKUP(J425,Лист2!A$2:B$4,2,FALSE)</f>
        <v>792</v>
      </c>
      <c r="L425" s="7" t="str">
        <f t="shared" si="26"/>
        <v>ГОТОВ</v>
      </c>
      <c r="M425" s="7" t="str">
        <f t="shared" si="27"/>
        <v>61001005000</v>
      </c>
    </row>
    <row r="426" spans="1:13" x14ac:dyDescent="0.25">
      <c r="A426" s="1">
        <v>943424</v>
      </c>
      <c r="B426" s="6" t="s">
        <v>503</v>
      </c>
      <c r="F426" s="6" t="s">
        <v>9</v>
      </c>
      <c r="G426" s="6" t="s">
        <v>43</v>
      </c>
      <c r="H426" s="9" t="s">
        <v>42</v>
      </c>
      <c r="I426" s="7" t="str">
        <f t="shared" si="24"/>
        <v>61001002001</v>
      </c>
      <c r="J426" s="7" t="str">
        <f t="shared" si="25"/>
        <v>Материал по ЕГРН</v>
      </c>
      <c r="K426" s="7">
        <f>VLOOKUP(J426,Лист2!A$2:B$4,2,FALSE)</f>
        <v>792</v>
      </c>
      <c r="L426" s="7" t="str">
        <f t="shared" si="26"/>
        <v>ГОТОВ_ИЗМЕНЕН</v>
      </c>
      <c r="M426" s="7">
        <f t="shared" si="27"/>
        <v>0</v>
      </c>
    </row>
    <row r="427" spans="1:13" x14ac:dyDescent="0.25">
      <c r="A427" s="1">
        <v>943436</v>
      </c>
      <c r="B427" s="6" t="s">
        <v>504</v>
      </c>
      <c r="F427" s="6" t="s">
        <v>9</v>
      </c>
      <c r="G427" s="6" t="s">
        <v>38</v>
      </c>
      <c r="H427" s="9" t="s">
        <v>33</v>
      </c>
      <c r="I427" s="7" t="str">
        <f t="shared" si="24"/>
        <v>61001005000</v>
      </c>
      <c r="J427" s="7" t="str">
        <f t="shared" si="25"/>
        <v>Материал по ЕГРН</v>
      </c>
      <c r="K427" s="7">
        <f>VLOOKUP(J427,Лист2!A$2:B$4,2,FALSE)</f>
        <v>792</v>
      </c>
      <c r="L427" s="7" t="str">
        <f t="shared" si="26"/>
        <v>ГОТОВ_ИЗМЕНЕН</v>
      </c>
      <c r="M427" s="7">
        <f t="shared" si="27"/>
        <v>0</v>
      </c>
    </row>
    <row r="428" spans="1:13" x14ac:dyDescent="0.25">
      <c r="A428" s="1">
        <v>943448</v>
      </c>
      <c r="B428" s="6" t="s">
        <v>505</v>
      </c>
      <c r="F428" s="6" t="s">
        <v>9</v>
      </c>
      <c r="G428" s="6" t="s">
        <v>34</v>
      </c>
      <c r="H428" s="9" t="s">
        <v>35</v>
      </c>
      <c r="I428" s="7" t="str">
        <f t="shared" si="24"/>
        <v>61001002000</v>
      </c>
      <c r="J428" s="7" t="str">
        <f t="shared" si="25"/>
        <v>Материал по ЕГРН</v>
      </c>
      <c r="K428" s="7">
        <f>VLOOKUP(J428,Лист2!A$2:B$4,2,FALSE)</f>
        <v>792</v>
      </c>
      <c r="L428" s="7" t="str">
        <f t="shared" si="26"/>
        <v>ГОТОВ_ИЗМЕНЕН</v>
      </c>
      <c r="M428" s="7">
        <f t="shared" si="27"/>
        <v>0</v>
      </c>
    </row>
    <row r="429" spans="1:13" x14ac:dyDescent="0.25">
      <c r="A429" s="1">
        <v>943460</v>
      </c>
      <c r="B429" s="6" t="s">
        <v>506</v>
      </c>
      <c r="F429" s="6" t="s">
        <v>9</v>
      </c>
      <c r="G429" s="6" t="s">
        <v>62</v>
      </c>
      <c r="H429" s="9" t="s">
        <v>63</v>
      </c>
      <c r="I429" s="7" t="str">
        <f t="shared" si="24"/>
        <v>61001006002</v>
      </c>
      <c r="J429" s="7" t="str">
        <f t="shared" si="25"/>
        <v>Материал по ЕГРН</v>
      </c>
      <c r="K429" s="7">
        <f>VLOOKUP(J429,Лист2!A$2:B$4,2,FALSE)</f>
        <v>792</v>
      </c>
      <c r="L429" s="7" t="str">
        <f t="shared" si="26"/>
        <v>ГОТОВ_ИЗМЕНЕН</v>
      </c>
      <c r="M429" s="7">
        <f t="shared" si="27"/>
        <v>0</v>
      </c>
    </row>
    <row r="430" spans="1:13" x14ac:dyDescent="0.25">
      <c r="A430" s="1">
        <v>943472</v>
      </c>
      <c r="B430" s="6" t="s">
        <v>507</v>
      </c>
      <c r="F430" s="6" t="s">
        <v>9</v>
      </c>
      <c r="G430" s="6" t="s">
        <v>38</v>
      </c>
      <c r="H430" s="9" t="s">
        <v>33</v>
      </c>
      <c r="I430" s="7" t="str">
        <f t="shared" si="24"/>
        <v>61001005000</v>
      </c>
      <c r="J430" s="7" t="str">
        <f t="shared" si="25"/>
        <v>Материал по ЕГРН</v>
      </c>
      <c r="K430" s="7">
        <f>VLOOKUP(J430,Лист2!A$2:B$4,2,FALSE)</f>
        <v>792</v>
      </c>
      <c r="L430" s="7" t="str">
        <f t="shared" si="26"/>
        <v>ГОТОВ_ИЗМЕНЕН</v>
      </c>
      <c r="M430" s="7">
        <f t="shared" si="27"/>
        <v>0</v>
      </c>
    </row>
    <row r="431" spans="1:13" x14ac:dyDescent="0.25">
      <c r="A431" s="1">
        <v>943484</v>
      </c>
      <c r="B431" s="6" t="s">
        <v>508</v>
      </c>
      <c r="F431" s="6" t="s">
        <v>9</v>
      </c>
      <c r="G431" s="6" t="s">
        <v>139</v>
      </c>
      <c r="H431" s="9" t="s">
        <v>140</v>
      </c>
      <c r="I431" s="7" t="str">
        <f t="shared" si="24"/>
        <v>61001999000</v>
      </c>
      <c r="J431" s="7" t="str">
        <f t="shared" si="25"/>
        <v>Материал по ЕГРН</v>
      </c>
      <c r="K431" s="7">
        <f>VLOOKUP(J431,Лист2!A$2:B$4,2,FALSE)</f>
        <v>792</v>
      </c>
      <c r="L431" s="7" t="str">
        <f t="shared" si="26"/>
        <v>ГОТОВ_ИЗМЕНЕН</v>
      </c>
      <c r="M431" s="7">
        <f t="shared" si="27"/>
        <v>0</v>
      </c>
    </row>
    <row r="432" spans="1:13" x14ac:dyDescent="0.25">
      <c r="A432" s="1">
        <v>943496</v>
      </c>
      <c r="B432" s="6" t="s">
        <v>509</v>
      </c>
      <c r="F432" s="6" t="s">
        <v>9</v>
      </c>
      <c r="G432" s="6" t="s">
        <v>510</v>
      </c>
      <c r="H432" s="9" t="s">
        <v>511</v>
      </c>
      <c r="I432" s="7" t="str">
        <f t="shared" si="24"/>
        <v>61001003000</v>
      </c>
      <c r="J432" s="7" t="str">
        <f t="shared" si="25"/>
        <v>Смешанные по допущению</v>
      </c>
      <c r="K432" s="7">
        <f>VLOOKUP(J432,Лист2!A$2:B$4,2,FALSE)</f>
        <v>793</v>
      </c>
      <c r="L432" s="7" t="str">
        <f t="shared" si="26"/>
        <v>ГОТОВ_ИЗМЕНЕН</v>
      </c>
      <c r="M432" s="7">
        <f t="shared" si="27"/>
        <v>0</v>
      </c>
    </row>
    <row r="433" spans="1:13" x14ac:dyDescent="0.25">
      <c r="A433" s="1">
        <v>943508</v>
      </c>
      <c r="B433" s="6" t="s">
        <v>512</v>
      </c>
      <c r="F433" s="6" t="s">
        <v>9</v>
      </c>
      <c r="G433" s="6" t="s">
        <v>38</v>
      </c>
      <c r="H433" s="9" t="s">
        <v>33</v>
      </c>
      <c r="I433" s="7" t="str">
        <f t="shared" si="24"/>
        <v>61001005000</v>
      </c>
      <c r="J433" s="7" t="str">
        <f t="shared" si="25"/>
        <v>Материал по ЕГРН</v>
      </c>
      <c r="K433" s="7">
        <f>VLOOKUP(J433,Лист2!A$2:B$4,2,FALSE)</f>
        <v>792</v>
      </c>
      <c r="L433" s="7" t="str">
        <f t="shared" si="26"/>
        <v>ГОТОВ_ИЗМЕНЕН</v>
      </c>
      <c r="M433" s="7">
        <f t="shared" si="27"/>
        <v>0</v>
      </c>
    </row>
    <row r="434" spans="1:13" x14ac:dyDescent="0.25">
      <c r="A434" s="1">
        <v>943520</v>
      </c>
      <c r="B434" s="6" t="s">
        <v>513</v>
      </c>
      <c r="F434" s="6" t="s">
        <v>9</v>
      </c>
      <c r="G434" s="6" t="s">
        <v>34</v>
      </c>
      <c r="H434" s="9" t="s">
        <v>35</v>
      </c>
      <c r="I434" s="7" t="str">
        <f t="shared" si="24"/>
        <v>61001002000</v>
      </c>
      <c r="J434" s="7" t="str">
        <f t="shared" si="25"/>
        <v>Материал по ЕГРН</v>
      </c>
      <c r="K434" s="7">
        <f>VLOOKUP(J434,Лист2!A$2:B$4,2,FALSE)</f>
        <v>792</v>
      </c>
      <c r="L434" s="7" t="str">
        <f t="shared" si="26"/>
        <v>ГОТОВ_ИЗМЕНЕН</v>
      </c>
      <c r="M434" s="7">
        <f t="shared" si="27"/>
        <v>0</v>
      </c>
    </row>
    <row r="435" spans="1:13" x14ac:dyDescent="0.25">
      <c r="A435" s="1">
        <v>943532</v>
      </c>
      <c r="B435" s="6" t="s">
        <v>514</v>
      </c>
      <c r="F435" s="6" t="s">
        <v>9</v>
      </c>
      <c r="G435" s="6" t="s">
        <v>34</v>
      </c>
      <c r="H435" s="9" t="s">
        <v>35</v>
      </c>
      <c r="I435" s="7" t="str">
        <f t="shared" si="24"/>
        <v>61001002000</v>
      </c>
      <c r="J435" s="7" t="str">
        <f t="shared" si="25"/>
        <v>Материал по ЕГРН</v>
      </c>
      <c r="K435" s="7">
        <f>VLOOKUP(J435,Лист2!A$2:B$4,2,FALSE)</f>
        <v>792</v>
      </c>
      <c r="L435" s="7" t="str">
        <f t="shared" si="26"/>
        <v>ГОТОВ_ИЗМЕНЕН</v>
      </c>
      <c r="M435" s="7">
        <f t="shared" si="27"/>
        <v>0</v>
      </c>
    </row>
    <row r="436" spans="1:13" x14ac:dyDescent="0.25">
      <c r="A436" s="1">
        <v>943544</v>
      </c>
      <c r="B436" s="6" t="s">
        <v>515</v>
      </c>
      <c r="F436" s="6" t="s">
        <v>9</v>
      </c>
      <c r="G436" s="6" t="s">
        <v>38</v>
      </c>
      <c r="H436" s="9" t="s">
        <v>33</v>
      </c>
      <c r="I436" s="7" t="str">
        <f t="shared" si="24"/>
        <v>61001005000</v>
      </c>
      <c r="J436" s="7" t="str">
        <f t="shared" si="25"/>
        <v>Материал по ЕГРН</v>
      </c>
      <c r="K436" s="7">
        <f>VLOOKUP(J436,Лист2!A$2:B$4,2,FALSE)</f>
        <v>792</v>
      </c>
      <c r="L436" s="7" t="str">
        <f t="shared" si="26"/>
        <v>ГОТОВ_ИЗМЕНЕН</v>
      </c>
      <c r="M436" s="7">
        <f t="shared" si="27"/>
        <v>0</v>
      </c>
    </row>
    <row r="437" spans="1:13" x14ac:dyDescent="0.25">
      <c r="A437" s="1">
        <v>943556</v>
      </c>
      <c r="B437" s="6" t="s">
        <v>516</v>
      </c>
      <c r="F437" s="6" t="s">
        <v>9</v>
      </c>
      <c r="G437" s="6" t="s">
        <v>34</v>
      </c>
      <c r="H437" s="9" t="s">
        <v>35</v>
      </c>
      <c r="I437" s="7" t="str">
        <f t="shared" si="24"/>
        <v>61001002000</v>
      </c>
      <c r="J437" s="7" t="str">
        <f t="shared" si="25"/>
        <v>Материал по ЕГРН</v>
      </c>
      <c r="K437" s="7">
        <f>VLOOKUP(J437,Лист2!A$2:B$4,2,FALSE)</f>
        <v>792</v>
      </c>
      <c r="L437" s="7" t="str">
        <f t="shared" si="26"/>
        <v>ГОТОВ_ИЗМЕНЕН</v>
      </c>
      <c r="M437" s="7">
        <f t="shared" si="27"/>
        <v>0</v>
      </c>
    </row>
    <row r="438" spans="1:13" x14ac:dyDescent="0.25">
      <c r="A438" s="1">
        <v>943568</v>
      </c>
      <c r="B438" s="6" t="s">
        <v>517</v>
      </c>
      <c r="F438" s="6" t="s">
        <v>9</v>
      </c>
      <c r="G438" s="6" t="s">
        <v>38</v>
      </c>
      <c r="H438" s="9" t="s">
        <v>33</v>
      </c>
      <c r="I438" s="7" t="str">
        <f t="shared" si="24"/>
        <v>61001005000</v>
      </c>
      <c r="J438" s="7" t="str">
        <f t="shared" si="25"/>
        <v>Материал по ЕГРН</v>
      </c>
      <c r="K438" s="7">
        <f>VLOOKUP(J438,Лист2!A$2:B$4,2,FALSE)</f>
        <v>792</v>
      </c>
      <c r="L438" s="7" t="str">
        <f t="shared" si="26"/>
        <v>ГОТОВ_ИЗМЕНЕН</v>
      </c>
      <c r="M438" s="7">
        <f t="shared" si="27"/>
        <v>0</v>
      </c>
    </row>
    <row r="439" spans="1:13" x14ac:dyDescent="0.25">
      <c r="A439" s="1">
        <v>943580</v>
      </c>
      <c r="B439" s="6" t="s">
        <v>518</v>
      </c>
      <c r="F439" s="6" t="s">
        <v>9</v>
      </c>
      <c r="G439" s="6" t="s">
        <v>34</v>
      </c>
      <c r="H439" s="9" t="s">
        <v>35</v>
      </c>
      <c r="I439" s="7" t="str">
        <f t="shared" si="24"/>
        <v>61001002000</v>
      </c>
      <c r="J439" s="7" t="str">
        <f t="shared" si="25"/>
        <v>Материал по ЕГРН</v>
      </c>
      <c r="K439" s="7">
        <f>VLOOKUP(J439,Лист2!A$2:B$4,2,FALSE)</f>
        <v>792</v>
      </c>
      <c r="L439" s="7" t="str">
        <f t="shared" si="26"/>
        <v>ГОТОВ_ИЗМЕНЕН</v>
      </c>
      <c r="M439" s="7">
        <f t="shared" si="27"/>
        <v>0</v>
      </c>
    </row>
    <row r="440" spans="1:13" x14ac:dyDescent="0.25">
      <c r="A440" s="1">
        <v>943592</v>
      </c>
      <c r="B440" s="6" t="s">
        <v>519</v>
      </c>
      <c r="F440" s="6" t="s">
        <v>9</v>
      </c>
      <c r="G440" s="6" t="s">
        <v>73</v>
      </c>
      <c r="H440" s="9" t="s">
        <v>74</v>
      </c>
      <c r="I440" s="7" t="str">
        <f t="shared" si="24"/>
        <v>61001006000</v>
      </c>
      <c r="J440" s="7" t="str">
        <f t="shared" si="25"/>
        <v>Материал по ЕГРН</v>
      </c>
      <c r="K440" s="7">
        <f>VLOOKUP(J440,Лист2!A$2:B$4,2,FALSE)</f>
        <v>792</v>
      </c>
      <c r="L440" s="7" t="str">
        <f t="shared" si="26"/>
        <v>ГОТОВ_ИЗМЕНЕН</v>
      </c>
      <c r="M440" s="7">
        <f t="shared" si="27"/>
        <v>0</v>
      </c>
    </row>
    <row r="441" spans="1:13" x14ac:dyDescent="0.25">
      <c r="A441" s="1">
        <v>943604</v>
      </c>
      <c r="B441" s="6" t="s">
        <v>520</v>
      </c>
      <c r="F441" s="6" t="s">
        <v>9</v>
      </c>
      <c r="G441" s="6" t="s">
        <v>62</v>
      </c>
      <c r="H441" s="9" t="s">
        <v>63</v>
      </c>
      <c r="I441" s="7" t="str">
        <f t="shared" si="24"/>
        <v>61001006002</v>
      </c>
      <c r="J441" s="7" t="str">
        <f t="shared" si="25"/>
        <v>Материал по ЕГРН</v>
      </c>
      <c r="K441" s="7">
        <f>VLOOKUP(J441,Лист2!A$2:B$4,2,FALSE)</f>
        <v>792</v>
      </c>
      <c r="L441" s="7" t="str">
        <f t="shared" si="26"/>
        <v>ГОТОВ_ИЗМЕНЕН</v>
      </c>
      <c r="M441" s="7">
        <f t="shared" si="27"/>
        <v>0</v>
      </c>
    </row>
    <row r="442" spans="1:13" x14ac:dyDescent="0.25">
      <c r="A442" s="1">
        <v>943616</v>
      </c>
      <c r="B442" s="6" t="s">
        <v>521</v>
      </c>
      <c r="F442" s="6" t="s">
        <v>9</v>
      </c>
      <c r="G442" s="6" t="s">
        <v>10</v>
      </c>
      <c r="H442" s="9" t="s">
        <v>11</v>
      </c>
      <c r="I442" s="7" t="str">
        <f t="shared" si="24"/>
        <v>61001003000</v>
      </c>
      <c r="J442" s="7" t="str">
        <f t="shared" si="25"/>
        <v>Материал по ЕГРН</v>
      </c>
      <c r="K442" s="7">
        <f>VLOOKUP(J442,Лист2!A$2:B$4,2,FALSE)</f>
        <v>792</v>
      </c>
      <c r="L442" s="7" t="str">
        <f t="shared" si="26"/>
        <v>ГОТОВ_ИЗМЕНЕН</v>
      </c>
      <c r="M442" s="7">
        <f t="shared" si="27"/>
        <v>0</v>
      </c>
    </row>
    <row r="443" spans="1:13" x14ac:dyDescent="0.25">
      <c r="A443" s="1">
        <v>120527</v>
      </c>
      <c r="B443" s="6" t="s">
        <v>522</v>
      </c>
      <c r="C443" s="9" t="s">
        <v>42</v>
      </c>
      <c r="D443" s="6" t="s">
        <v>20</v>
      </c>
      <c r="E443" s="6" t="s">
        <v>37</v>
      </c>
      <c r="F443" s="6" t="s">
        <v>9</v>
      </c>
      <c r="G443" s="6" t="s">
        <v>43</v>
      </c>
      <c r="H443" s="9" t="s">
        <v>42</v>
      </c>
      <c r="I443" s="7" t="str">
        <f t="shared" si="24"/>
        <v>61001002001</v>
      </c>
      <c r="J443" s="7" t="str">
        <f t="shared" si="25"/>
        <v>Материал по ЕГРН</v>
      </c>
      <c r="K443" s="7">
        <f>VLOOKUP(J443,Лист2!A$2:B$4,2,FALSE)</f>
        <v>792</v>
      </c>
      <c r="L443" s="7" t="str">
        <f t="shared" si="26"/>
        <v>ГОТОВ</v>
      </c>
      <c r="M443" s="7" t="str">
        <f t="shared" si="27"/>
        <v>61001002001</v>
      </c>
    </row>
    <row r="444" spans="1:13" x14ac:dyDescent="0.25">
      <c r="A444" s="1">
        <v>276029</v>
      </c>
      <c r="B444" s="6" t="s">
        <v>523</v>
      </c>
      <c r="C444" s="9" t="s">
        <v>33</v>
      </c>
      <c r="D444" s="6" t="s">
        <v>20</v>
      </c>
      <c r="E444" s="6" t="s">
        <v>37</v>
      </c>
      <c r="F444" s="6" t="s">
        <v>9</v>
      </c>
      <c r="G444" s="6" t="s">
        <v>38</v>
      </c>
      <c r="H444" s="9" t="s">
        <v>33</v>
      </c>
      <c r="I444" s="7" t="str">
        <f t="shared" si="24"/>
        <v>61001005000</v>
      </c>
      <c r="J444" s="7" t="str">
        <f t="shared" si="25"/>
        <v>Материал по ЕГРН</v>
      </c>
      <c r="K444" s="7">
        <f>VLOOKUP(J444,Лист2!A$2:B$4,2,FALSE)</f>
        <v>792</v>
      </c>
      <c r="L444" s="7" t="str">
        <f t="shared" si="26"/>
        <v>ГОТОВ</v>
      </c>
      <c r="M444" s="7" t="str">
        <f t="shared" si="27"/>
        <v>61001005000</v>
      </c>
    </row>
    <row r="445" spans="1:13" x14ac:dyDescent="0.25">
      <c r="A445" s="1">
        <v>517563</v>
      </c>
      <c r="B445" s="6" t="s">
        <v>524</v>
      </c>
      <c r="C445" s="9" t="s">
        <v>42</v>
      </c>
      <c r="D445" s="6" t="s">
        <v>20</v>
      </c>
      <c r="E445" s="6" t="s">
        <v>37</v>
      </c>
      <c r="F445" s="6" t="s">
        <v>9</v>
      </c>
      <c r="G445" s="6" t="s">
        <v>43</v>
      </c>
      <c r="H445" s="9" t="s">
        <v>42</v>
      </c>
      <c r="I445" s="7" t="str">
        <f t="shared" si="24"/>
        <v>61001002001</v>
      </c>
      <c r="J445" s="7" t="str">
        <f t="shared" si="25"/>
        <v>Материал по ЕГРН</v>
      </c>
      <c r="K445" s="7">
        <f>VLOOKUP(J445,Лист2!A$2:B$4,2,FALSE)</f>
        <v>792</v>
      </c>
      <c r="L445" s="7" t="str">
        <f t="shared" si="26"/>
        <v>ГОТОВ</v>
      </c>
      <c r="M445" s="7" t="str">
        <f t="shared" si="27"/>
        <v>61001002001</v>
      </c>
    </row>
    <row r="446" spans="1:13" x14ac:dyDescent="0.25">
      <c r="A446" s="1">
        <v>520918</v>
      </c>
      <c r="B446" s="6" t="s">
        <v>525</v>
      </c>
      <c r="C446" s="9" t="s">
        <v>33</v>
      </c>
      <c r="D446" s="6" t="s">
        <v>20</v>
      </c>
      <c r="E446" s="6" t="s">
        <v>37</v>
      </c>
      <c r="F446" s="6" t="s">
        <v>9</v>
      </c>
      <c r="G446" s="6" t="s">
        <v>38</v>
      </c>
      <c r="H446" s="9" t="s">
        <v>33</v>
      </c>
      <c r="I446" s="7" t="str">
        <f t="shared" si="24"/>
        <v>61001005000</v>
      </c>
      <c r="J446" s="7" t="str">
        <f t="shared" si="25"/>
        <v>Материал по ЕГРН</v>
      </c>
      <c r="K446" s="7">
        <f>VLOOKUP(J446,Лист2!A$2:B$4,2,FALSE)</f>
        <v>792</v>
      </c>
      <c r="L446" s="7" t="str">
        <f t="shared" si="26"/>
        <v>ГОТОВ</v>
      </c>
      <c r="M446" s="7" t="str">
        <f t="shared" si="27"/>
        <v>61001005000</v>
      </c>
    </row>
    <row r="447" spans="1:13" x14ac:dyDescent="0.25">
      <c r="A447" s="1">
        <v>539399</v>
      </c>
      <c r="B447" s="6" t="s">
        <v>526</v>
      </c>
      <c r="C447" s="9" t="s">
        <v>33</v>
      </c>
      <c r="D447" s="6" t="s">
        <v>20</v>
      </c>
      <c r="E447" s="6" t="s">
        <v>37</v>
      </c>
      <c r="F447" s="6" t="s">
        <v>9</v>
      </c>
      <c r="G447" s="6" t="s">
        <v>38</v>
      </c>
      <c r="H447" s="9" t="s">
        <v>33</v>
      </c>
      <c r="I447" s="7" t="str">
        <f t="shared" si="24"/>
        <v>61001005000</v>
      </c>
      <c r="J447" s="7" t="str">
        <f t="shared" si="25"/>
        <v>Материал по ЕГРН</v>
      </c>
      <c r="K447" s="7">
        <f>VLOOKUP(J447,Лист2!A$2:B$4,2,FALSE)</f>
        <v>792</v>
      </c>
      <c r="L447" s="7" t="str">
        <f t="shared" si="26"/>
        <v>ГОТОВ</v>
      </c>
      <c r="M447" s="7" t="str">
        <f t="shared" si="27"/>
        <v>61001005000</v>
      </c>
    </row>
    <row r="448" spans="1:13" x14ac:dyDescent="0.25">
      <c r="A448" s="1">
        <v>944641</v>
      </c>
      <c r="B448" s="6" t="s">
        <v>527</v>
      </c>
      <c r="F448" s="6" t="s">
        <v>9</v>
      </c>
      <c r="G448" s="6" t="s">
        <v>38</v>
      </c>
      <c r="H448" s="9" t="s">
        <v>33</v>
      </c>
      <c r="I448" s="7" t="str">
        <f t="shared" si="24"/>
        <v>61001005000</v>
      </c>
      <c r="J448" s="7" t="str">
        <f t="shared" si="25"/>
        <v>Материал по ЕГРН</v>
      </c>
      <c r="K448" s="7">
        <f>VLOOKUP(J448,Лист2!A$2:B$4,2,FALSE)</f>
        <v>792</v>
      </c>
      <c r="L448" s="7" t="str">
        <f t="shared" si="26"/>
        <v>ГОТОВ_ИЗМЕНЕН</v>
      </c>
      <c r="M448" s="7">
        <f t="shared" si="27"/>
        <v>0</v>
      </c>
    </row>
    <row r="449" spans="1:13" x14ac:dyDescent="0.25">
      <c r="A449" s="1">
        <v>944653</v>
      </c>
      <c r="B449" s="6" t="s">
        <v>528</v>
      </c>
      <c r="F449" s="6" t="s">
        <v>9</v>
      </c>
      <c r="G449" s="6" t="s">
        <v>59</v>
      </c>
      <c r="H449" s="9" t="s">
        <v>60</v>
      </c>
      <c r="I449" s="7" t="str">
        <f t="shared" si="24"/>
        <v>61001001001</v>
      </c>
      <c r="J449" s="7" t="str">
        <f t="shared" si="25"/>
        <v>Материал по ЕГРН</v>
      </c>
      <c r="K449" s="7">
        <f>VLOOKUP(J449,Лист2!A$2:B$4,2,FALSE)</f>
        <v>792</v>
      </c>
      <c r="L449" s="7" t="str">
        <f t="shared" si="26"/>
        <v>ГОТОВ_ИЗМЕНЕН</v>
      </c>
      <c r="M449" s="7">
        <f t="shared" si="27"/>
        <v>0</v>
      </c>
    </row>
    <row r="450" spans="1:13" x14ac:dyDescent="0.25">
      <c r="A450" s="1">
        <v>944665</v>
      </c>
      <c r="B450" s="6" t="s">
        <v>529</v>
      </c>
      <c r="F450" s="6" t="s">
        <v>9</v>
      </c>
      <c r="G450" s="6" t="s">
        <v>62</v>
      </c>
      <c r="H450" s="9" t="s">
        <v>63</v>
      </c>
      <c r="I450" s="7" t="str">
        <f t="shared" si="24"/>
        <v>61001006002</v>
      </c>
      <c r="J450" s="7" t="str">
        <f t="shared" si="25"/>
        <v>Материал по ЕГРН</v>
      </c>
      <c r="K450" s="7">
        <f>VLOOKUP(J450,Лист2!A$2:B$4,2,FALSE)</f>
        <v>792</v>
      </c>
      <c r="L450" s="7" t="str">
        <f t="shared" si="26"/>
        <v>ГОТОВ_ИЗМЕНЕН</v>
      </c>
      <c r="M450" s="7">
        <f t="shared" si="27"/>
        <v>0</v>
      </c>
    </row>
    <row r="451" spans="1:13" x14ac:dyDescent="0.25">
      <c r="A451" s="1">
        <v>944677</v>
      </c>
      <c r="B451" s="6" t="s">
        <v>530</v>
      </c>
      <c r="F451" s="6" t="s">
        <v>9</v>
      </c>
      <c r="G451" s="6" t="s">
        <v>38</v>
      </c>
      <c r="H451" s="9" t="s">
        <v>33</v>
      </c>
      <c r="I451" s="7" t="str">
        <f t="shared" si="24"/>
        <v>61001005000</v>
      </c>
      <c r="J451" s="7" t="str">
        <f t="shared" si="25"/>
        <v>Материал по ЕГРН</v>
      </c>
      <c r="K451" s="7">
        <f>VLOOKUP(J451,Лист2!A$2:B$4,2,FALSE)</f>
        <v>792</v>
      </c>
      <c r="L451" s="7" t="str">
        <f t="shared" si="26"/>
        <v>ГОТОВ_ИЗМЕНЕН</v>
      </c>
      <c r="M451" s="7">
        <f t="shared" si="27"/>
        <v>0</v>
      </c>
    </row>
    <row r="452" spans="1:13" x14ac:dyDescent="0.25">
      <c r="A452" s="1">
        <v>944689</v>
      </c>
      <c r="B452" s="6" t="s">
        <v>531</v>
      </c>
      <c r="F452" s="6" t="s">
        <v>9</v>
      </c>
      <c r="G452" s="6" t="s">
        <v>454</v>
      </c>
      <c r="H452" s="9" t="s">
        <v>455</v>
      </c>
      <c r="I452" s="7" t="str">
        <f t="shared" si="24"/>
        <v>61001003000</v>
      </c>
      <c r="J452" s="7" t="str">
        <f t="shared" si="25"/>
        <v>Смешанные по допущению</v>
      </c>
      <c r="K452" s="7">
        <f>VLOOKUP(J452,Лист2!A$2:B$4,2,FALSE)</f>
        <v>793</v>
      </c>
      <c r="L452" s="7" t="str">
        <f t="shared" si="26"/>
        <v>ГОТОВ_ИЗМЕНЕН</v>
      </c>
      <c r="M452" s="7">
        <f t="shared" si="27"/>
        <v>0</v>
      </c>
    </row>
    <row r="453" spans="1:13" x14ac:dyDescent="0.25">
      <c r="A453" s="1">
        <v>944701</v>
      </c>
      <c r="B453" s="6" t="s">
        <v>532</v>
      </c>
      <c r="F453" s="6" t="s">
        <v>9</v>
      </c>
      <c r="G453" s="6" t="s">
        <v>34</v>
      </c>
      <c r="H453" s="9" t="s">
        <v>35</v>
      </c>
      <c r="I453" s="7" t="str">
        <f t="shared" ref="I453:I516" si="28">IF(LEN(H453)=11,H453,IF(LEN(H453)=0,"61001005000","61001003000"))</f>
        <v>61001002000</v>
      </c>
      <c r="J453" s="7" t="str">
        <f t="shared" ref="J453:J516" si="29">IF(LEN(H453)=11,"Материал по ЕГРН",IF(LEN(H453)=0,"Прочие по допущению","Смешанные по допущению"))</f>
        <v>Материал по ЕГРН</v>
      </c>
      <c r="K453" s="7">
        <f>VLOOKUP(J453,Лист2!A$2:B$4,2,FALSE)</f>
        <v>792</v>
      </c>
      <c r="L453" s="7" t="str">
        <f t="shared" ref="L453:L516" si="30">IF(I453=C453,"ГОТОВ","ГОТОВ_ИЗМЕНЕН")</f>
        <v>ГОТОВ_ИЗМЕНЕН</v>
      </c>
      <c r="M453" s="7">
        <f t="shared" ref="M453:M516" si="31">C453</f>
        <v>0</v>
      </c>
    </row>
    <row r="454" spans="1:13" x14ac:dyDescent="0.25">
      <c r="A454" s="1">
        <v>944713</v>
      </c>
      <c r="B454" s="6" t="s">
        <v>533</v>
      </c>
      <c r="F454" s="6" t="s">
        <v>9</v>
      </c>
      <c r="G454" s="6" t="s">
        <v>90</v>
      </c>
      <c r="H454" s="9" t="s">
        <v>12</v>
      </c>
      <c r="I454" s="7" t="str">
        <f t="shared" si="28"/>
        <v>61001008000</v>
      </c>
      <c r="J454" s="7" t="str">
        <f t="shared" si="29"/>
        <v>Материал по ЕГРН</v>
      </c>
      <c r="K454" s="7">
        <f>VLOOKUP(J454,Лист2!A$2:B$4,2,FALSE)</f>
        <v>792</v>
      </c>
      <c r="L454" s="7" t="str">
        <f t="shared" si="30"/>
        <v>ГОТОВ_ИЗМЕНЕН</v>
      </c>
      <c r="M454" s="7">
        <f t="shared" si="31"/>
        <v>0</v>
      </c>
    </row>
    <row r="455" spans="1:13" x14ac:dyDescent="0.25">
      <c r="A455" s="1">
        <v>944725</v>
      </c>
      <c r="B455" s="6" t="s">
        <v>534</v>
      </c>
      <c r="F455" s="6" t="s">
        <v>9</v>
      </c>
      <c r="G455" s="6" t="s">
        <v>34</v>
      </c>
      <c r="H455" s="9" t="s">
        <v>35</v>
      </c>
      <c r="I455" s="7" t="str">
        <f t="shared" si="28"/>
        <v>61001002000</v>
      </c>
      <c r="J455" s="7" t="str">
        <f t="shared" si="29"/>
        <v>Материал по ЕГРН</v>
      </c>
      <c r="K455" s="7">
        <f>VLOOKUP(J455,Лист2!A$2:B$4,2,FALSE)</f>
        <v>792</v>
      </c>
      <c r="L455" s="7" t="str">
        <f t="shared" si="30"/>
        <v>ГОТОВ_ИЗМЕНЕН</v>
      </c>
      <c r="M455" s="7">
        <f t="shared" si="31"/>
        <v>0</v>
      </c>
    </row>
    <row r="456" spans="1:13" x14ac:dyDescent="0.25">
      <c r="A456" s="1">
        <v>944737</v>
      </c>
      <c r="B456" s="6" t="s">
        <v>535</v>
      </c>
      <c r="F456" s="6" t="s">
        <v>9</v>
      </c>
      <c r="G456" s="6" t="s">
        <v>38</v>
      </c>
      <c r="H456" s="9" t="s">
        <v>33</v>
      </c>
      <c r="I456" s="7" t="str">
        <f t="shared" si="28"/>
        <v>61001005000</v>
      </c>
      <c r="J456" s="7" t="str">
        <f t="shared" si="29"/>
        <v>Материал по ЕГРН</v>
      </c>
      <c r="K456" s="7">
        <f>VLOOKUP(J456,Лист2!A$2:B$4,2,FALSE)</f>
        <v>792</v>
      </c>
      <c r="L456" s="7" t="str">
        <f t="shared" si="30"/>
        <v>ГОТОВ_ИЗМЕНЕН</v>
      </c>
      <c r="M456" s="7">
        <f t="shared" si="31"/>
        <v>0</v>
      </c>
    </row>
    <row r="457" spans="1:13" x14ac:dyDescent="0.25">
      <c r="A457" s="1">
        <v>944749</v>
      </c>
      <c r="B457" s="6" t="s">
        <v>536</v>
      </c>
      <c r="F457" s="6" t="s">
        <v>9</v>
      </c>
      <c r="G457" s="6" t="s">
        <v>180</v>
      </c>
      <c r="H457" s="9" t="s">
        <v>181</v>
      </c>
      <c r="I457" s="7" t="str">
        <f t="shared" si="28"/>
        <v>61001009000</v>
      </c>
      <c r="J457" s="7" t="str">
        <f t="shared" si="29"/>
        <v>Материал по ЕГРН</v>
      </c>
      <c r="K457" s="7">
        <f>VLOOKUP(J457,Лист2!A$2:B$4,2,FALSE)</f>
        <v>792</v>
      </c>
      <c r="L457" s="7" t="str">
        <f t="shared" si="30"/>
        <v>ГОТОВ_ИЗМЕНЕН</v>
      </c>
      <c r="M457" s="7">
        <f t="shared" si="31"/>
        <v>0</v>
      </c>
    </row>
    <row r="458" spans="1:13" x14ac:dyDescent="0.25">
      <c r="A458" s="1">
        <v>944761</v>
      </c>
      <c r="B458" s="6" t="s">
        <v>537</v>
      </c>
      <c r="F458" s="6" t="s">
        <v>9</v>
      </c>
      <c r="G458" s="6" t="s">
        <v>73</v>
      </c>
      <c r="H458" s="9" t="s">
        <v>74</v>
      </c>
      <c r="I458" s="7" t="str">
        <f t="shared" si="28"/>
        <v>61001006000</v>
      </c>
      <c r="J458" s="7" t="str">
        <f t="shared" si="29"/>
        <v>Материал по ЕГРН</v>
      </c>
      <c r="K458" s="7">
        <f>VLOOKUP(J458,Лист2!A$2:B$4,2,FALSE)</f>
        <v>792</v>
      </c>
      <c r="L458" s="7" t="str">
        <f t="shared" si="30"/>
        <v>ГОТОВ_ИЗМЕНЕН</v>
      </c>
      <c r="M458" s="7">
        <f t="shared" si="31"/>
        <v>0</v>
      </c>
    </row>
    <row r="459" spans="1:13" x14ac:dyDescent="0.25">
      <c r="A459" s="1">
        <v>944773</v>
      </c>
      <c r="B459" s="6" t="s">
        <v>538</v>
      </c>
      <c r="F459" s="6" t="s">
        <v>9</v>
      </c>
      <c r="G459" s="6" t="s">
        <v>62</v>
      </c>
      <c r="H459" s="9" t="s">
        <v>63</v>
      </c>
      <c r="I459" s="7" t="str">
        <f t="shared" si="28"/>
        <v>61001006002</v>
      </c>
      <c r="J459" s="7" t="str">
        <f t="shared" si="29"/>
        <v>Материал по ЕГРН</v>
      </c>
      <c r="K459" s="7">
        <f>VLOOKUP(J459,Лист2!A$2:B$4,2,FALSE)</f>
        <v>792</v>
      </c>
      <c r="L459" s="7" t="str">
        <f t="shared" si="30"/>
        <v>ГОТОВ_ИЗМЕНЕН</v>
      </c>
      <c r="M459" s="7">
        <f t="shared" si="31"/>
        <v>0</v>
      </c>
    </row>
    <row r="460" spans="1:13" x14ac:dyDescent="0.25">
      <c r="A460" s="1">
        <v>944785</v>
      </c>
      <c r="B460" s="6" t="s">
        <v>539</v>
      </c>
      <c r="F460" s="6" t="s">
        <v>9</v>
      </c>
      <c r="G460" s="6" t="s">
        <v>38</v>
      </c>
      <c r="H460" s="9" t="s">
        <v>33</v>
      </c>
      <c r="I460" s="7" t="str">
        <f t="shared" si="28"/>
        <v>61001005000</v>
      </c>
      <c r="J460" s="7" t="str">
        <f t="shared" si="29"/>
        <v>Материал по ЕГРН</v>
      </c>
      <c r="K460" s="7">
        <f>VLOOKUP(J460,Лист2!A$2:B$4,2,FALSE)</f>
        <v>792</v>
      </c>
      <c r="L460" s="7" t="str">
        <f t="shared" si="30"/>
        <v>ГОТОВ_ИЗМЕНЕН</v>
      </c>
      <c r="M460" s="7">
        <f t="shared" si="31"/>
        <v>0</v>
      </c>
    </row>
    <row r="461" spans="1:13" x14ac:dyDescent="0.25">
      <c r="A461" s="1">
        <v>944797</v>
      </c>
      <c r="B461" s="6" t="s">
        <v>540</v>
      </c>
      <c r="F461" s="6" t="s">
        <v>9</v>
      </c>
      <c r="G461" s="6" t="s">
        <v>34</v>
      </c>
      <c r="H461" s="9" t="s">
        <v>35</v>
      </c>
      <c r="I461" s="7" t="str">
        <f t="shared" si="28"/>
        <v>61001002000</v>
      </c>
      <c r="J461" s="7" t="str">
        <f t="shared" si="29"/>
        <v>Материал по ЕГРН</v>
      </c>
      <c r="K461" s="7">
        <f>VLOOKUP(J461,Лист2!A$2:B$4,2,FALSE)</f>
        <v>792</v>
      </c>
      <c r="L461" s="7" t="str">
        <f t="shared" si="30"/>
        <v>ГОТОВ_ИЗМЕНЕН</v>
      </c>
      <c r="M461" s="7">
        <f t="shared" si="31"/>
        <v>0</v>
      </c>
    </row>
    <row r="462" spans="1:13" x14ac:dyDescent="0.25">
      <c r="A462" s="1">
        <v>944809</v>
      </c>
      <c r="B462" s="6" t="s">
        <v>541</v>
      </c>
      <c r="F462" s="6" t="s">
        <v>9</v>
      </c>
      <c r="G462" s="6" t="s">
        <v>38</v>
      </c>
      <c r="H462" s="9" t="s">
        <v>33</v>
      </c>
      <c r="I462" s="7" t="str">
        <f t="shared" si="28"/>
        <v>61001005000</v>
      </c>
      <c r="J462" s="7" t="str">
        <f t="shared" si="29"/>
        <v>Материал по ЕГРН</v>
      </c>
      <c r="K462" s="7">
        <f>VLOOKUP(J462,Лист2!A$2:B$4,2,FALSE)</f>
        <v>792</v>
      </c>
      <c r="L462" s="7" t="str">
        <f t="shared" si="30"/>
        <v>ГОТОВ_ИЗМЕНЕН</v>
      </c>
      <c r="M462" s="7">
        <f t="shared" si="31"/>
        <v>0</v>
      </c>
    </row>
    <row r="463" spans="1:13" x14ac:dyDescent="0.25">
      <c r="A463" s="1">
        <v>944821</v>
      </c>
      <c r="B463" s="6" t="s">
        <v>542</v>
      </c>
      <c r="F463" s="6" t="s">
        <v>9</v>
      </c>
      <c r="G463" s="6" t="s">
        <v>62</v>
      </c>
      <c r="H463" s="9" t="s">
        <v>63</v>
      </c>
      <c r="I463" s="7" t="str">
        <f t="shared" si="28"/>
        <v>61001006002</v>
      </c>
      <c r="J463" s="7" t="str">
        <f t="shared" si="29"/>
        <v>Материал по ЕГРН</v>
      </c>
      <c r="K463" s="7">
        <f>VLOOKUP(J463,Лист2!A$2:B$4,2,FALSE)</f>
        <v>792</v>
      </c>
      <c r="L463" s="7" t="str">
        <f t="shared" si="30"/>
        <v>ГОТОВ_ИЗМЕНЕН</v>
      </c>
      <c r="M463" s="7">
        <f t="shared" si="31"/>
        <v>0</v>
      </c>
    </row>
    <row r="464" spans="1:13" x14ac:dyDescent="0.25">
      <c r="A464" s="1">
        <v>944833</v>
      </c>
      <c r="B464" s="6" t="s">
        <v>543</v>
      </c>
      <c r="F464" s="6" t="s">
        <v>9</v>
      </c>
      <c r="G464" s="6" t="s">
        <v>146</v>
      </c>
      <c r="H464" s="9" t="s">
        <v>147</v>
      </c>
      <c r="I464" s="7" t="str">
        <f t="shared" si="28"/>
        <v>61001000000</v>
      </c>
      <c r="J464" s="7" t="str">
        <f t="shared" si="29"/>
        <v>Материал по ЕГРН</v>
      </c>
      <c r="K464" s="7">
        <f>VLOOKUP(J464,Лист2!A$2:B$4,2,FALSE)</f>
        <v>792</v>
      </c>
      <c r="L464" s="7" t="str">
        <f t="shared" si="30"/>
        <v>ГОТОВ_ИЗМЕНЕН</v>
      </c>
      <c r="M464" s="7">
        <f t="shared" si="31"/>
        <v>0</v>
      </c>
    </row>
    <row r="465" spans="1:13" x14ac:dyDescent="0.25">
      <c r="A465" s="1">
        <v>944845</v>
      </c>
      <c r="B465" s="6" t="s">
        <v>544</v>
      </c>
      <c r="F465" s="6" t="s">
        <v>9</v>
      </c>
      <c r="G465" s="6" t="s">
        <v>10</v>
      </c>
      <c r="H465" s="9" t="s">
        <v>11</v>
      </c>
      <c r="I465" s="7" t="str">
        <f t="shared" si="28"/>
        <v>61001003000</v>
      </c>
      <c r="J465" s="7" t="str">
        <f t="shared" si="29"/>
        <v>Материал по ЕГРН</v>
      </c>
      <c r="K465" s="7">
        <f>VLOOKUP(J465,Лист2!A$2:B$4,2,FALSE)</f>
        <v>792</v>
      </c>
      <c r="L465" s="7" t="str">
        <f t="shared" si="30"/>
        <v>ГОТОВ_ИЗМЕНЕН</v>
      </c>
      <c r="M465" s="7">
        <f t="shared" si="31"/>
        <v>0</v>
      </c>
    </row>
    <row r="466" spans="1:13" x14ac:dyDescent="0.25">
      <c r="A466" s="1">
        <v>944857</v>
      </c>
      <c r="B466" s="6" t="s">
        <v>545</v>
      </c>
      <c r="F466" s="6" t="s">
        <v>9</v>
      </c>
      <c r="G466" s="6" t="s">
        <v>59</v>
      </c>
      <c r="H466" s="9" t="s">
        <v>60</v>
      </c>
      <c r="I466" s="7" t="str">
        <f t="shared" si="28"/>
        <v>61001001001</v>
      </c>
      <c r="J466" s="7" t="str">
        <f t="shared" si="29"/>
        <v>Материал по ЕГРН</v>
      </c>
      <c r="K466" s="7">
        <f>VLOOKUP(J466,Лист2!A$2:B$4,2,FALSE)</f>
        <v>792</v>
      </c>
      <c r="L466" s="7" t="str">
        <f t="shared" si="30"/>
        <v>ГОТОВ_ИЗМЕНЕН</v>
      </c>
      <c r="M466" s="7">
        <f t="shared" si="31"/>
        <v>0</v>
      </c>
    </row>
    <row r="467" spans="1:13" x14ac:dyDescent="0.25">
      <c r="A467" s="1">
        <v>944869</v>
      </c>
      <c r="B467" s="6" t="s">
        <v>546</v>
      </c>
      <c r="F467" s="6" t="s">
        <v>9</v>
      </c>
      <c r="G467" s="6" t="s">
        <v>38</v>
      </c>
      <c r="H467" s="9" t="s">
        <v>33</v>
      </c>
      <c r="I467" s="7" t="str">
        <f t="shared" si="28"/>
        <v>61001005000</v>
      </c>
      <c r="J467" s="7" t="str">
        <f t="shared" si="29"/>
        <v>Материал по ЕГРН</v>
      </c>
      <c r="K467" s="7">
        <f>VLOOKUP(J467,Лист2!A$2:B$4,2,FALSE)</f>
        <v>792</v>
      </c>
      <c r="L467" s="7" t="str">
        <f t="shared" si="30"/>
        <v>ГОТОВ_ИЗМЕНЕН</v>
      </c>
      <c r="M467" s="7">
        <f t="shared" si="31"/>
        <v>0</v>
      </c>
    </row>
    <row r="468" spans="1:13" x14ac:dyDescent="0.25">
      <c r="A468" s="1">
        <v>944881</v>
      </c>
      <c r="B468" s="6" t="s">
        <v>547</v>
      </c>
      <c r="F468" s="6" t="s">
        <v>9</v>
      </c>
      <c r="G468" s="6" t="s">
        <v>38</v>
      </c>
      <c r="H468" s="9" t="s">
        <v>33</v>
      </c>
      <c r="I468" s="7" t="str">
        <f t="shared" si="28"/>
        <v>61001005000</v>
      </c>
      <c r="J468" s="7" t="str">
        <f t="shared" si="29"/>
        <v>Материал по ЕГРН</v>
      </c>
      <c r="K468" s="7">
        <f>VLOOKUP(J468,Лист2!A$2:B$4,2,FALSE)</f>
        <v>792</v>
      </c>
      <c r="L468" s="7" t="str">
        <f t="shared" si="30"/>
        <v>ГОТОВ_ИЗМЕНЕН</v>
      </c>
      <c r="M468" s="7">
        <f t="shared" si="31"/>
        <v>0</v>
      </c>
    </row>
    <row r="469" spans="1:13" x14ac:dyDescent="0.25">
      <c r="A469" s="1">
        <v>944893</v>
      </c>
      <c r="B469" s="6" t="s">
        <v>548</v>
      </c>
      <c r="F469" s="6" t="s">
        <v>9</v>
      </c>
      <c r="G469" s="6" t="s">
        <v>10</v>
      </c>
      <c r="H469" s="9" t="s">
        <v>11</v>
      </c>
      <c r="I469" s="7" t="str">
        <f t="shared" si="28"/>
        <v>61001003000</v>
      </c>
      <c r="J469" s="7" t="str">
        <f t="shared" si="29"/>
        <v>Материал по ЕГРН</v>
      </c>
      <c r="K469" s="7">
        <f>VLOOKUP(J469,Лист2!A$2:B$4,2,FALSE)</f>
        <v>792</v>
      </c>
      <c r="L469" s="7" t="str">
        <f t="shared" si="30"/>
        <v>ГОТОВ_ИЗМЕНЕН</v>
      </c>
      <c r="M469" s="7">
        <f t="shared" si="31"/>
        <v>0</v>
      </c>
    </row>
    <row r="470" spans="1:13" x14ac:dyDescent="0.25">
      <c r="A470" s="1">
        <v>944905</v>
      </c>
      <c r="B470" s="6" t="s">
        <v>549</v>
      </c>
      <c r="F470" s="6" t="s">
        <v>9</v>
      </c>
      <c r="G470" s="6" t="s">
        <v>62</v>
      </c>
      <c r="H470" s="9" t="s">
        <v>63</v>
      </c>
      <c r="I470" s="7" t="str">
        <f t="shared" si="28"/>
        <v>61001006002</v>
      </c>
      <c r="J470" s="7" t="str">
        <f t="shared" si="29"/>
        <v>Материал по ЕГРН</v>
      </c>
      <c r="K470" s="7">
        <f>VLOOKUP(J470,Лист2!A$2:B$4,2,FALSE)</f>
        <v>792</v>
      </c>
      <c r="L470" s="7" t="str">
        <f t="shared" si="30"/>
        <v>ГОТОВ_ИЗМЕНЕН</v>
      </c>
      <c r="M470" s="7">
        <f t="shared" si="31"/>
        <v>0</v>
      </c>
    </row>
    <row r="471" spans="1:13" x14ac:dyDescent="0.25">
      <c r="A471" s="1">
        <v>229474</v>
      </c>
      <c r="B471" s="6" t="s">
        <v>550</v>
      </c>
      <c r="C471" s="9" t="s">
        <v>42</v>
      </c>
      <c r="D471" s="6" t="s">
        <v>20</v>
      </c>
      <c r="E471" s="6" t="s">
        <v>8</v>
      </c>
      <c r="F471" s="6" t="s">
        <v>9</v>
      </c>
      <c r="G471" s="6" t="s">
        <v>38</v>
      </c>
      <c r="H471" s="9" t="s">
        <v>33</v>
      </c>
      <c r="I471" s="7" t="str">
        <f t="shared" si="28"/>
        <v>61001005000</v>
      </c>
      <c r="J471" s="7" t="str">
        <f t="shared" si="29"/>
        <v>Материал по ЕГРН</v>
      </c>
      <c r="K471" s="7">
        <f>VLOOKUP(J471,Лист2!A$2:B$4,2,FALSE)</f>
        <v>792</v>
      </c>
      <c r="L471" s="7" t="str">
        <f t="shared" si="30"/>
        <v>ГОТОВ_ИЗМЕНЕН</v>
      </c>
      <c r="M471" s="7" t="str">
        <f t="shared" si="31"/>
        <v>61001002001</v>
      </c>
    </row>
    <row r="472" spans="1:13" x14ac:dyDescent="0.25">
      <c r="A472" s="1">
        <v>378971</v>
      </c>
      <c r="B472" s="6" t="s">
        <v>551</v>
      </c>
      <c r="C472" s="9" t="s">
        <v>60</v>
      </c>
      <c r="D472" s="6" t="s">
        <v>20</v>
      </c>
      <c r="E472" s="6" t="s">
        <v>37</v>
      </c>
      <c r="F472" s="6" t="s">
        <v>9</v>
      </c>
      <c r="G472" s="6" t="s">
        <v>59</v>
      </c>
      <c r="H472" s="9" t="s">
        <v>60</v>
      </c>
      <c r="I472" s="7" t="str">
        <f t="shared" si="28"/>
        <v>61001001001</v>
      </c>
      <c r="J472" s="7" t="str">
        <f t="shared" si="29"/>
        <v>Материал по ЕГРН</v>
      </c>
      <c r="K472" s="7">
        <f>VLOOKUP(J472,Лист2!A$2:B$4,2,FALSE)</f>
        <v>792</v>
      </c>
      <c r="L472" s="7" t="str">
        <f t="shared" si="30"/>
        <v>ГОТОВ</v>
      </c>
      <c r="M472" s="7" t="str">
        <f t="shared" si="31"/>
        <v>61001001001</v>
      </c>
    </row>
    <row r="473" spans="1:13" x14ac:dyDescent="0.25">
      <c r="A473" s="1">
        <v>645042</v>
      </c>
      <c r="B473" s="6" t="s">
        <v>552</v>
      </c>
      <c r="C473" s="9" t="s">
        <v>42</v>
      </c>
      <c r="D473" s="6" t="s">
        <v>20</v>
      </c>
      <c r="E473" s="6" t="s">
        <v>37</v>
      </c>
      <c r="F473" s="6" t="s">
        <v>9</v>
      </c>
      <c r="G473" s="6" t="s">
        <v>43</v>
      </c>
      <c r="H473" s="9" t="s">
        <v>42</v>
      </c>
      <c r="I473" s="7" t="str">
        <f t="shared" si="28"/>
        <v>61001002001</v>
      </c>
      <c r="J473" s="7" t="str">
        <f t="shared" si="29"/>
        <v>Материал по ЕГРН</v>
      </c>
      <c r="K473" s="7">
        <f>VLOOKUP(J473,Лист2!A$2:B$4,2,FALSE)</f>
        <v>792</v>
      </c>
      <c r="L473" s="7" t="str">
        <f t="shared" si="30"/>
        <v>ГОТОВ</v>
      </c>
      <c r="M473" s="7" t="str">
        <f t="shared" si="31"/>
        <v>61001002001</v>
      </c>
    </row>
    <row r="474" spans="1:13" x14ac:dyDescent="0.25">
      <c r="A474" s="1">
        <v>850222</v>
      </c>
      <c r="B474" s="6" t="s">
        <v>553</v>
      </c>
      <c r="C474" s="9" t="s">
        <v>42</v>
      </c>
      <c r="D474" s="6" t="s">
        <v>20</v>
      </c>
      <c r="E474" s="6" t="s">
        <v>37</v>
      </c>
      <c r="F474" s="6" t="s">
        <v>9</v>
      </c>
      <c r="G474" s="6" t="s">
        <v>43</v>
      </c>
      <c r="H474" s="9" t="s">
        <v>42</v>
      </c>
      <c r="I474" s="7" t="str">
        <f t="shared" si="28"/>
        <v>61001002001</v>
      </c>
      <c r="J474" s="7" t="str">
        <f t="shared" si="29"/>
        <v>Материал по ЕГРН</v>
      </c>
      <c r="K474" s="7">
        <f>VLOOKUP(J474,Лист2!A$2:B$4,2,FALSE)</f>
        <v>792</v>
      </c>
      <c r="L474" s="7" t="str">
        <f t="shared" si="30"/>
        <v>ГОТОВ</v>
      </c>
      <c r="M474" s="7" t="str">
        <f t="shared" si="31"/>
        <v>61001002001</v>
      </c>
    </row>
    <row r="475" spans="1:13" x14ac:dyDescent="0.25">
      <c r="A475" s="1">
        <v>946169</v>
      </c>
      <c r="B475" s="6" t="s">
        <v>554</v>
      </c>
      <c r="F475" s="6" t="s">
        <v>9</v>
      </c>
      <c r="G475" s="6" t="s">
        <v>38</v>
      </c>
      <c r="H475" s="9" t="s">
        <v>33</v>
      </c>
      <c r="I475" s="7" t="str">
        <f t="shared" si="28"/>
        <v>61001005000</v>
      </c>
      <c r="J475" s="7" t="str">
        <f t="shared" si="29"/>
        <v>Материал по ЕГРН</v>
      </c>
      <c r="K475" s="7">
        <f>VLOOKUP(J475,Лист2!A$2:B$4,2,FALSE)</f>
        <v>792</v>
      </c>
      <c r="L475" s="7" t="str">
        <f t="shared" si="30"/>
        <v>ГОТОВ_ИЗМЕНЕН</v>
      </c>
      <c r="M475" s="7">
        <f t="shared" si="31"/>
        <v>0</v>
      </c>
    </row>
    <row r="476" spans="1:13" x14ac:dyDescent="0.25">
      <c r="A476" s="1">
        <v>946181</v>
      </c>
      <c r="B476" s="6" t="s">
        <v>555</v>
      </c>
      <c r="F476" s="6" t="s">
        <v>9</v>
      </c>
      <c r="G476" s="6" t="s">
        <v>34</v>
      </c>
      <c r="H476" s="9" t="s">
        <v>35</v>
      </c>
      <c r="I476" s="7" t="str">
        <f t="shared" si="28"/>
        <v>61001002000</v>
      </c>
      <c r="J476" s="7" t="str">
        <f t="shared" si="29"/>
        <v>Материал по ЕГРН</v>
      </c>
      <c r="K476" s="7">
        <f>VLOOKUP(J476,Лист2!A$2:B$4,2,FALSE)</f>
        <v>792</v>
      </c>
      <c r="L476" s="7" t="str">
        <f t="shared" si="30"/>
        <v>ГОТОВ_ИЗМЕНЕН</v>
      </c>
      <c r="M476" s="7">
        <f t="shared" si="31"/>
        <v>0</v>
      </c>
    </row>
    <row r="477" spans="1:13" x14ac:dyDescent="0.25">
      <c r="A477" s="1">
        <v>946193</v>
      </c>
      <c r="B477" s="6" t="s">
        <v>556</v>
      </c>
      <c r="F477" s="6" t="s">
        <v>9</v>
      </c>
      <c r="G477" s="6" t="s">
        <v>34</v>
      </c>
      <c r="H477" s="9" t="s">
        <v>35</v>
      </c>
      <c r="I477" s="7" t="str">
        <f t="shared" si="28"/>
        <v>61001002000</v>
      </c>
      <c r="J477" s="7" t="str">
        <f t="shared" si="29"/>
        <v>Материал по ЕГРН</v>
      </c>
      <c r="K477" s="7">
        <f>VLOOKUP(J477,Лист2!A$2:B$4,2,FALSE)</f>
        <v>792</v>
      </c>
      <c r="L477" s="7" t="str">
        <f t="shared" si="30"/>
        <v>ГОТОВ_ИЗМЕНЕН</v>
      </c>
      <c r="M477" s="7">
        <f t="shared" si="31"/>
        <v>0</v>
      </c>
    </row>
    <row r="478" spans="1:13" x14ac:dyDescent="0.25">
      <c r="A478" s="1">
        <v>946205</v>
      </c>
      <c r="B478" s="6" t="s">
        <v>557</v>
      </c>
      <c r="F478" s="6" t="s">
        <v>9</v>
      </c>
      <c r="G478" s="6" t="s">
        <v>38</v>
      </c>
      <c r="H478" s="9" t="s">
        <v>33</v>
      </c>
      <c r="I478" s="7" t="str">
        <f t="shared" si="28"/>
        <v>61001005000</v>
      </c>
      <c r="J478" s="7" t="str">
        <f t="shared" si="29"/>
        <v>Материал по ЕГРН</v>
      </c>
      <c r="K478" s="7">
        <f>VLOOKUP(J478,Лист2!A$2:B$4,2,FALSE)</f>
        <v>792</v>
      </c>
      <c r="L478" s="7" t="str">
        <f t="shared" si="30"/>
        <v>ГОТОВ_ИЗМЕНЕН</v>
      </c>
      <c r="M478" s="7">
        <f t="shared" si="31"/>
        <v>0</v>
      </c>
    </row>
    <row r="479" spans="1:13" x14ac:dyDescent="0.25">
      <c r="A479" s="1">
        <v>946217</v>
      </c>
      <c r="B479" s="6" t="s">
        <v>558</v>
      </c>
      <c r="F479" s="6" t="s">
        <v>9</v>
      </c>
      <c r="G479" s="6" t="s">
        <v>38</v>
      </c>
      <c r="H479" s="9" t="s">
        <v>33</v>
      </c>
      <c r="I479" s="7" t="str">
        <f t="shared" si="28"/>
        <v>61001005000</v>
      </c>
      <c r="J479" s="7" t="str">
        <f t="shared" si="29"/>
        <v>Материал по ЕГРН</v>
      </c>
      <c r="K479" s="7">
        <f>VLOOKUP(J479,Лист2!A$2:B$4,2,FALSE)</f>
        <v>792</v>
      </c>
      <c r="L479" s="7" t="str">
        <f t="shared" si="30"/>
        <v>ГОТОВ_ИЗМЕНЕН</v>
      </c>
      <c r="M479" s="7">
        <f t="shared" si="31"/>
        <v>0</v>
      </c>
    </row>
    <row r="480" spans="1:13" x14ac:dyDescent="0.25">
      <c r="A480" s="1">
        <v>946229</v>
      </c>
      <c r="B480" s="6" t="s">
        <v>559</v>
      </c>
      <c r="F480" s="6" t="s">
        <v>9</v>
      </c>
      <c r="G480" s="6" t="s">
        <v>59</v>
      </c>
      <c r="H480" s="9" t="s">
        <v>60</v>
      </c>
      <c r="I480" s="7" t="str">
        <f t="shared" si="28"/>
        <v>61001001001</v>
      </c>
      <c r="J480" s="7" t="str">
        <f t="shared" si="29"/>
        <v>Материал по ЕГРН</v>
      </c>
      <c r="K480" s="7">
        <f>VLOOKUP(J480,Лист2!A$2:B$4,2,FALSE)</f>
        <v>792</v>
      </c>
      <c r="L480" s="7" t="str">
        <f t="shared" si="30"/>
        <v>ГОТОВ_ИЗМЕНЕН</v>
      </c>
      <c r="M480" s="7">
        <f t="shared" si="31"/>
        <v>0</v>
      </c>
    </row>
    <row r="481" spans="1:13" x14ac:dyDescent="0.25">
      <c r="A481" s="1">
        <v>946241</v>
      </c>
      <c r="B481" s="6" t="s">
        <v>560</v>
      </c>
      <c r="F481" s="6" t="s">
        <v>9</v>
      </c>
      <c r="G481" s="6" t="s">
        <v>34</v>
      </c>
      <c r="H481" s="9" t="s">
        <v>35</v>
      </c>
      <c r="I481" s="7" t="str">
        <f t="shared" si="28"/>
        <v>61001002000</v>
      </c>
      <c r="J481" s="7" t="str">
        <f t="shared" si="29"/>
        <v>Материал по ЕГРН</v>
      </c>
      <c r="K481" s="7">
        <f>VLOOKUP(J481,Лист2!A$2:B$4,2,FALSE)</f>
        <v>792</v>
      </c>
      <c r="L481" s="7" t="str">
        <f t="shared" si="30"/>
        <v>ГОТОВ_ИЗМЕНЕН</v>
      </c>
      <c r="M481" s="7">
        <f t="shared" si="31"/>
        <v>0</v>
      </c>
    </row>
    <row r="482" spans="1:13" x14ac:dyDescent="0.25">
      <c r="A482" s="1">
        <v>946253</v>
      </c>
      <c r="B482" s="6" t="s">
        <v>561</v>
      </c>
      <c r="F482" s="6" t="s">
        <v>9</v>
      </c>
      <c r="G482" s="6" t="s">
        <v>34</v>
      </c>
      <c r="H482" s="9" t="s">
        <v>35</v>
      </c>
      <c r="I482" s="7" t="str">
        <f t="shared" si="28"/>
        <v>61001002000</v>
      </c>
      <c r="J482" s="7" t="str">
        <f t="shared" si="29"/>
        <v>Материал по ЕГРН</v>
      </c>
      <c r="K482" s="7">
        <f>VLOOKUP(J482,Лист2!A$2:B$4,2,FALSE)</f>
        <v>792</v>
      </c>
      <c r="L482" s="7" t="str">
        <f t="shared" si="30"/>
        <v>ГОТОВ_ИЗМЕНЕН</v>
      </c>
      <c r="M482" s="7">
        <f t="shared" si="31"/>
        <v>0</v>
      </c>
    </row>
    <row r="483" spans="1:13" x14ac:dyDescent="0.25">
      <c r="A483" s="1">
        <v>946265</v>
      </c>
      <c r="B483" s="6" t="s">
        <v>562</v>
      </c>
      <c r="F483" s="6" t="s">
        <v>9</v>
      </c>
      <c r="G483" s="6" t="s">
        <v>38</v>
      </c>
      <c r="H483" s="9" t="s">
        <v>33</v>
      </c>
      <c r="I483" s="7" t="str">
        <f t="shared" si="28"/>
        <v>61001005000</v>
      </c>
      <c r="J483" s="7" t="str">
        <f t="shared" si="29"/>
        <v>Материал по ЕГРН</v>
      </c>
      <c r="K483" s="7">
        <f>VLOOKUP(J483,Лист2!A$2:B$4,2,FALSE)</f>
        <v>792</v>
      </c>
      <c r="L483" s="7" t="str">
        <f t="shared" si="30"/>
        <v>ГОТОВ_ИЗМЕНЕН</v>
      </c>
      <c r="M483" s="7">
        <f t="shared" si="31"/>
        <v>0</v>
      </c>
    </row>
    <row r="484" spans="1:13" x14ac:dyDescent="0.25">
      <c r="A484" s="1">
        <v>946277</v>
      </c>
      <c r="B484" s="6" t="s">
        <v>563</v>
      </c>
      <c r="F484" s="6" t="s">
        <v>9</v>
      </c>
      <c r="G484" s="6" t="s">
        <v>34</v>
      </c>
      <c r="H484" s="9" t="s">
        <v>35</v>
      </c>
      <c r="I484" s="7" t="str">
        <f t="shared" si="28"/>
        <v>61001002000</v>
      </c>
      <c r="J484" s="7" t="str">
        <f t="shared" si="29"/>
        <v>Материал по ЕГРН</v>
      </c>
      <c r="K484" s="7">
        <f>VLOOKUP(J484,Лист2!A$2:B$4,2,FALSE)</f>
        <v>792</v>
      </c>
      <c r="L484" s="7" t="str">
        <f t="shared" si="30"/>
        <v>ГОТОВ_ИЗМЕНЕН</v>
      </c>
      <c r="M484" s="7">
        <f t="shared" si="31"/>
        <v>0</v>
      </c>
    </row>
    <row r="485" spans="1:13" x14ac:dyDescent="0.25">
      <c r="A485" s="1">
        <v>946289</v>
      </c>
      <c r="B485" s="6" t="s">
        <v>564</v>
      </c>
      <c r="F485" s="6" t="s">
        <v>9</v>
      </c>
      <c r="G485" s="6" t="s">
        <v>59</v>
      </c>
      <c r="H485" s="9" t="s">
        <v>60</v>
      </c>
      <c r="I485" s="7" t="str">
        <f t="shared" si="28"/>
        <v>61001001001</v>
      </c>
      <c r="J485" s="7" t="str">
        <f t="shared" si="29"/>
        <v>Материал по ЕГРН</v>
      </c>
      <c r="K485" s="7">
        <f>VLOOKUP(J485,Лист2!A$2:B$4,2,FALSE)</f>
        <v>792</v>
      </c>
      <c r="L485" s="7" t="str">
        <f t="shared" si="30"/>
        <v>ГОТОВ_ИЗМЕНЕН</v>
      </c>
      <c r="M485" s="7">
        <f t="shared" si="31"/>
        <v>0</v>
      </c>
    </row>
    <row r="486" spans="1:13" x14ac:dyDescent="0.25">
      <c r="A486" s="1">
        <v>946301</v>
      </c>
      <c r="B486" s="6" t="s">
        <v>565</v>
      </c>
      <c r="F486" s="6" t="s">
        <v>9</v>
      </c>
      <c r="G486" s="6" t="s">
        <v>38</v>
      </c>
      <c r="H486" s="9" t="s">
        <v>33</v>
      </c>
      <c r="I486" s="7" t="str">
        <f t="shared" si="28"/>
        <v>61001005000</v>
      </c>
      <c r="J486" s="7" t="str">
        <f t="shared" si="29"/>
        <v>Материал по ЕГРН</v>
      </c>
      <c r="K486" s="7">
        <f>VLOOKUP(J486,Лист2!A$2:B$4,2,FALSE)</f>
        <v>792</v>
      </c>
      <c r="L486" s="7" t="str">
        <f t="shared" si="30"/>
        <v>ГОТОВ_ИЗМЕНЕН</v>
      </c>
      <c r="M486" s="7">
        <f t="shared" si="31"/>
        <v>0</v>
      </c>
    </row>
    <row r="487" spans="1:13" x14ac:dyDescent="0.25">
      <c r="A487" s="1">
        <v>946313</v>
      </c>
      <c r="B487" s="6" t="s">
        <v>566</v>
      </c>
      <c r="F487" s="6" t="s">
        <v>9</v>
      </c>
      <c r="G487" s="6" t="s">
        <v>38</v>
      </c>
      <c r="H487" s="9" t="s">
        <v>33</v>
      </c>
      <c r="I487" s="7" t="str">
        <f t="shared" si="28"/>
        <v>61001005000</v>
      </c>
      <c r="J487" s="7" t="str">
        <f t="shared" si="29"/>
        <v>Материал по ЕГРН</v>
      </c>
      <c r="K487" s="7">
        <f>VLOOKUP(J487,Лист2!A$2:B$4,2,FALSE)</f>
        <v>792</v>
      </c>
      <c r="L487" s="7" t="str">
        <f t="shared" si="30"/>
        <v>ГОТОВ_ИЗМЕНЕН</v>
      </c>
      <c r="M487" s="7">
        <f t="shared" si="31"/>
        <v>0</v>
      </c>
    </row>
    <row r="488" spans="1:13" x14ac:dyDescent="0.25">
      <c r="A488" s="1">
        <v>946325</v>
      </c>
      <c r="B488" s="6" t="s">
        <v>567</v>
      </c>
      <c r="F488" s="6" t="s">
        <v>9</v>
      </c>
      <c r="G488" s="6" t="s">
        <v>34</v>
      </c>
      <c r="H488" s="9" t="s">
        <v>35</v>
      </c>
      <c r="I488" s="7" t="str">
        <f t="shared" si="28"/>
        <v>61001002000</v>
      </c>
      <c r="J488" s="7" t="str">
        <f t="shared" si="29"/>
        <v>Материал по ЕГРН</v>
      </c>
      <c r="K488" s="7">
        <f>VLOOKUP(J488,Лист2!A$2:B$4,2,FALSE)</f>
        <v>792</v>
      </c>
      <c r="L488" s="7" t="str">
        <f t="shared" si="30"/>
        <v>ГОТОВ_ИЗМЕНЕН</v>
      </c>
      <c r="M488" s="7">
        <f t="shared" si="31"/>
        <v>0</v>
      </c>
    </row>
    <row r="489" spans="1:13" x14ac:dyDescent="0.25">
      <c r="A489" s="1">
        <v>946337</v>
      </c>
      <c r="B489" s="6" t="s">
        <v>568</v>
      </c>
      <c r="F489" s="6" t="s">
        <v>9</v>
      </c>
      <c r="G489" s="6" t="s">
        <v>38</v>
      </c>
      <c r="H489" s="9" t="s">
        <v>33</v>
      </c>
      <c r="I489" s="7" t="str">
        <f t="shared" si="28"/>
        <v>61001005000</v>
      </c>
      <c r="J489" s="7" t="str">
        <f t="shared" si="29"/>
        <v>Материал по ЕГРН</v>
      </c>
      <c r="K489" s="7">
        <f>VLOOKUP(J489,Лист2!A$2:B$4,2,FALSE)</f>
        <v>792</v>
      </c>
      <c r="L489" s="7" t="str">
        <f t="shared" si="30"/>
        <v>ГОТОВ_ИЗМЕНЕН</v>
      </c>
      <c r="M489" s="7">
        <f t="shared" si="31"/>
        <v>0</v>
      </c>
    </row>
    <row r="490" spans="1:13" x14ac:dyDescent="0.25">
      <c r="A490" s="1">
        <v>946349</v>
      </c>
      <c r="B490" s="6" t="s">
        <v>569</v>
      </c>
      <c r="F490" s="6" t="s">
        <v>9</v>
      </c>
      <c r="G490" s="6" t="s">
        <v>34</v>
      </c>
      <c r="H490" s="9" t="s">
        <v>35</v>
      </c>
      <c r="I490" s="7" t="str">
        <f t="shared" si="28"/>
        <v>61001002000</v>
      </c>
      <c r="J490" s="7" t="str">
        <f t="shared" si="29"/>
        <v>Материал по ЕГРН</v>
      </c>
      <c r="K490" s="7">
        <f>VLOOKUP(J490,Лист2!A$2:B$4,2,FALSE)</f>
        <v>792</v>
      </c>
      <c r="L490" s="7" t="str">
        <f t="shared" si="30"/>
        <v>ГОТОВ_ИЗМЕНЕН</v>
      </c>
      <c r="M490" s="7">
        <f t="shared" si="31"/>
        <v>0</v>
      </c>
    </row>
    <row r="491" spans="1:13" x14ac:dyDescent="0.25">
      <c r="A491" s="1">
        <v>946361</v>
      </c>
      <c r="B491" s="6" t="s">
        <v>570</v>
      </c>
      <c r="F491" s="6" t="s">
        <v>9</v>
      </c>
      <c r="G491" s="6" t="s">
        <v>34</v>
      </c>
      <c r="H491" s="9" t="s">
        <v>35</v>
      </c>
      <c r="I491" s="7" t="str">
        <f t="shared" si="28"/>
        <v>61001002000</v>
      </c>
      <c r="J491" s="7" t="str">
        <f t="shared" si="29"/>
        <v>Материал по ЕГРН</v>
      </c>
      <c r="K491" s="7">
        <f>VLOOKUP(J491,Лист2!A$2:B$4,2,FALSE)</f>
        <v>792</v>
      </c>
      <c r="L491" s="7" t="str">
        <f t="shared" si="30"/>
        <v>ГОТОВ_ИЗМЕНЕН</v>
      </c>
      <c r="M491" s="7">
        <f t="shared" si="31"/>
        <v>0</v>
      </c>
    </row>
    <row r="492" spans="1:13" x14ac:dyDescent="0.25">
      <c r="A492" s="1">
        <v>946373</v>
      </c>
      <c r="B492" s="6" t="s">
        <v>571</v>
      </c>
      <c r="F492" s="6" t="s">
        <v>9</v>
      </c>
      <c r="G492" s="6" t="s">
        <v>38</v>
      </c>
      <c r="H492" s="9" t="s">
        <v>33</v>
      </c>
      <c r="I492" s="7" t="str">
        <f t="shared" si="28"/>
        <v>61001005000</v>
      </c>
      <c r="J492" s="7" t="str">
        <f t="shared" si="29"/>
        <v>Материал по ЕГРН</v>
      </c>
      <c r="K492" s="7">
        <f>VLOOKUP(J492,Лист2!A$2:B$4,2,FALSE)</f>
        <v>792</v>
      </c>
      <c r="L492" s="7" t="str">
        <f t="shared" si="30"/>
        <v>ГОТОВ_ИЗМЕНЕН</v>
      </c>
      <c r="M492" s="7">
        <f t="shared" si="31"/>
        <v>0</v>
      </c>
    </row>
    <row r="493" spans="1:13" x14ac:dyDescent="0.25">
      <c r="A493" s="1">
        <v>946385</v>
      </c>
      <c r="B493" s="6" t="s">
        <v>572</v>
      </c>
      <c r="F493" s="6" t="s">
        <v>9</v>
      </c>
      <c r="G493" s="6" t="s">
        <v>170</v>
      </c>
      <c r="H493" s="9" t="s">
        <v>171</v>
      </c>
      <c r="I493" s="7" t="str">
        <f t="shared" si="28"/>
        <v>61001001000</v>
      </c>
      <c r="J493" s="7" t="str">
        <f t="shared" si="29"/>
        <v>Материал по ЕГРН</v>
      </c>
      <c r="K493" s="7">
        <f>VLOOKUP(J493,Лист2!A$2:B$4,2,FALSE)</f>
        <v>792</v>
      </c>
      <c r="L493" s="7" t="str">
        <f t="shared" si="30"/>
        <v>ГОТОВ_ИЗМЕНЕН</v>
      </c>
      <c r="M493" s="7">
        <f t="shared" si="31"/>
        <v>0</v>
      </c>
    </row>
    <row r="494" spans="1:13" x14ac:dyDescent="0.25">
      <c r="A494" s="1">
        <v>946397</v>
      </c>
      <c r="B494" s="6" t="s">
        <v>573</v>
      </c>
      <c r="F494" s="6" t="s">
        <v>9</v>
      </c>
      <c r="G494" s="6" t="s">
        <v>38</v>
      </c>
      <c r="H494" s="9" t="s">
        <v>33</v>
      </c>
      <c r="I494" s="7" t="str">
        <f t="shared" si="28"/>
        <v>61001005000</v>
      </c>
      <c r="J494" s="7" t="str">
        <f t="shared" si="29"/>
        <v>Материал по ЕГРН</v>
      </c>
      <c r="K494" s="7">
        <f>VLOOKUP(J494,Лист2!A$2:B$4,2,FALSE)</f>
        <v>792</v>
      </c>
      <c r="L494" s="7" t="str">
        <f t="shared" si="30"/>
        <v>ГОТОВ_ИЗМЕНЕН</v>
      </c>
      <c r="M494" s="7">
        <f t="shared" si="31"/>
        <v>0</v>
      </c>
    </row>
    <row r="495" spans="1:13" x14ac:dyDescent="0.25">
      <c r="A495" s="1">
        <v>394274</v>
      </c>
      <c r="B495" s="6" t="s">
        <v>574</v>
      </c>
      <c r="C495" s="9" t="s">
        <v>33</v>
      </c>
      <c r="D495" s="6" t="s">
        <v>20</v>
      </c>
      <c r="E495" s="6" t="s">
        <v>37</v>
      </c>
      <c r="F495" s="6" t="s">
        <v>9</v>
      </c>
      <c r="G495" s="6" t="s">
        <v>38</v>
      </c>
      <c r="H495" s="9" t="s">
        <v>33</v>
      </c>
      <c r="I495" s="7" t="str">
        <f t="shared" si="28"/>
        <v>61001005000</v>
      </c>
      <c r="J495" s="7" t="str">
        <f t="shared" si="29"/>
        <v>Материал по ЕГРН</v>
      </c>
      <c r="K495" s="7">
        <f>VLOOKUP(J495,Лист2!A$2:B$4,2,FALSE)</f>
        <v>792</v>
      </c>
      <c r="L495" s="7" t="str">
        <f t="shared" si="30"/>
        <v>ГОТОВ</v>
      </c>
      <c r="M495" s="7" t="str">
        <f t="shared" si="31"/>
        <v>61001005000</v>
      </c>
    </row>
    <row r="496" spans="1:13" x14ac:dyDescent="0.25">
      <c r="A496" s="1">
        <v>619847</v>
      </c>
      <c r="B496" s="6" t="s">
        <v>575</v>
      </c>
      <c r="C496" s="9" t="s">
        <v>33</v>
      </c>
      <c r="D496" s="6" t="s">
        <v>20</v>
      </c>
      <c r="E496" s="6" t="s">
        <v>37</v>
      </c>
      <c r="F496" s="6" t="s">
        <v>9</v>
      </c>
      <c r="G496" s="6" t="s">
        <v>38</v>
      </c>
      <c r="H496" s="9" t="s">
        <v>33</v>
      </c>
      <c r="I496" s="7" t="str">
        <f t="shared" si="28"/>
        <v>61001005000</v>
      </c>
      <c r="J496" s="7" t="str">
        <f t="shared" si="29"/>
        <v>Материал по ЕГРН</v>
      </c>
      <c r="K496" s="7">
        <f>VLOOKUP(J496,Лист2!A$2:B$4,2,FALSE)</f>
        <v>792</v>
      </c>
      <c r="L496" s="7" t="str">
        <f t="shared" si="30"/>
        <v>ГОТОВ</v>
      </c>
      <c r="M496" s="7" t="str">
        <f t="shared" si="31"/>
        <v>61001005000</v>
      </c>
    </row>
    <row r="497" spans="1:13" x14ac:dyDescent="0.25">
      <c r="A497" s="1">
        <v>944909</v>
      </c>
      <c r="B497" s="6" t="s">
        <v>576</v>
      </c>
      <c r="F497" s="6" t="s">
        <v>9</v>
      </c>
      <c r="G497" s="6" t="s">
        <v>34</v>
      </c>
      <c r="H497" s="9" t="s">
        <v>35</v>
      </c>
      <c r="I497" s="7" t="str">
        <f t="shared" si="28"/>
        <v>61001002000</v>
      </c>
      <c r="J497" s="7" t="str">
        <f t="shared" si="29"/>
        <v>Материал по ЕГРН</v>
      </c>
      <c r="K497" s="7">
        <f>VLOOKUP(J497,Лист2!A$2:B$4,2,FALSE)</f>
        <v>792</v>
      </c>
      <c r="L497" s="7" t="str">
        <f t="shared" si="30"/>
        <v>ГОТОВ_ИЗМЕНЕН</v>
      </c>
      <c r="M497" s="7">
        <f t="shared" si="31"/>
        <v>0</v>
      </c>
    </row>
    <row r="498" spans="1:13" x14ac:dyDescent="0.25">
      <c r="A498" s="1">
        <v>944921</v>
      </c>
      <c r="B498" s="6" t="s">
        <v>577</v>
      </c>
      <c r="F498" s="6" t="s">
        <v>9</v>
      </c>
      <c r="G498" s="6" t="s">
        <v>149</v>
      </c>
      <c r="H498" s="9" t="s">
        <v>150</v>
      </c>
      <c r="I498" s="7" t="str">
        <f t="shared" si="28"/>
        <v>61001007000</v>
      </c>
      <c r="J498" s="7" t="str">
        <f t="shared" si="29"/>
        <v>Материал по ЕГРН</v>
      </c>
      <c r="K498" s="7">
        <f>VLOOKUP(J498,Лист2!A$2:B$4,2,FALSE)</f>
        <v>792</v>
      </c>
      <c r="L498" s="7" t="str">
        <f t="shared" si="30"/>
        <v>ГОТОВ_ИЗМЕНЕН</v>
      </c>
      <c r="M498" s="7">
        <f t="shared" si="31"/>
        <v>0</v>
      </c>
    </row>
    <row r="499" spans="1:13" x14ac:dyDescent="0.25">
      <c r="A499" s="1">
        <v>944933</v>
      </c>
      <c r="B499" s="6" t="s">
        <v>578</v>
      </c>
      <c r="F499" s="6" t="s">
        <v>9</v>
      </c>
      <c r="G499" s="6" t="s">
        <v>38</v>
      </c>
      <c r="H499" s="9" t="s">
        <v>33</v>
      </c>
      <c r="I499" s="7" t="str">
        <f t="shared" si="28"/>
        <v>61001005000</v>
      </c>
      <c r="J499" s="7" t="str">
        <f t="shared" si="29"/>
        <v>Материал по ЕГРН</v>
      </c>
      <c r="K499" s="7">
        <f>VLOOKUP(J499,Лист2!A$2:B$4,2,FALSE)</f>
        <v>792</v>
      </c>
      <c r="L499" s="7" t="str">
        <f t="shared" si="30"/>
        <v>ГОТОВ_ИЗМЕНЕН</v>
      </c>
      <c r="M499" s="7">
        <f t="shared" si="31"/>
        <v>0</v>
      </c>
    </row>
    <row r="500" spans="1:13" x14ac:dyDescent="0.25">
      <c r="A500" s="1">
        <v>944945</v>
      </c>
      <c r="B500" s="6" t="s">
        <v>579</v>
      </c>
      <c r="F500" s="6" t="s">
        <v>9</v>
      </c>
      <c r="G500" s="6" t="s">
        <v>10</v>
      </c>
      <c r="H500" s="9" t="s">
        <v>11</v>
      </c>
      <c r="I500" s="7" t="str">
        <f t="shared" si="28"/>
        <v>61001003000</v>
      </c>
      <c r="J500" s="7" t="str">
        <f t="shared" si="29"/>
        <v>Материал по ЕГРН</v>
      </c>
      <c r="K500" s="7">
        <f>VLOOKUP(J500,Лист2!A$2:B$4,2,FALSE)</f>
        <v>792</v>
      </c>
      <c r="L500" s="7" t="str">
        <f t="shared" si="30"/>
        <v>ГОТОВ_ИЗМЕНЕН</v>
      </c>
      <c r="M500" s="7">
        <f t="shared" si="31"/>
        <v>0</v>
      </c>
    </row>
    <row r="501" spans="1:13" x14ac:dyDescent="0.25">
      <c r="A501" s="1">
        <v>944957</v>
      </c>
      <c r="B501" s="6" t="s">
        <v>580</v>
      </c>
      <c r="F501" s="6" t="s">
        <v>9</v>
      </c>
      <c r="G501" s="6" t="s">
        <v>38</v>
      </c>
      <c r="H501" s="9" t="s">
        <v>33</v>
      </c>
      <c r="I501" s="7" t="str">
        <f t="shared" si="28"/>
        <v>61001005000</v>
      </c>
      <c r="J501" s="7" t="str">
        <f t="shared" si="29"/>
        <v>Материал по ЕГРН</v>
      </c>
      <c r="K501" s="7">
        <f>VLOOKUP(J501,Лист2!A$2:B$4,2,FALSE)</f>
        <v>792</v>
      </c>
      <c r="L501" s="7" t="str">
        <f t="shared" si="30"/>
        <v>ГОТОВ_ИЗМЕНЕН</v>
      </c>
      <c r="M501" s="7">
        <f t="shared" si="31"/>
        <v>0</v>
      </c>
    </row>
    <row r="502" spans="1:13" x14ac:dyDescent="0.25">
      <c r="A502" s="1">
        <v>944969</v>
      </c>
      <c r="B502" s="6" t="s">
        <v>581</v>
      </c>
      <c r="F502" s="6" t="s">
        <v>9</v>
      </c>
      <c r="G502" s="6" t="s">
        <v>125</v>
      </c>
      <c r="H502" s="9" t="s">
        <v>126</v>
      </c>
      <c r="I502" s="7" t="str">
        <f t="shared" si="28"/>
        <v>61001007004</v>
      </c>
      <c r="J502" s="7" t="str">
        <f t="shared" si="29"/>
        <v>Материал по ЕГРН</v>
      </c>
      <c r="K502" s="7">
        <f>VLOOKUP(J502,Лист2!A$2:B$4,2,FALSE)</f>
        <v>792</v>
      </c>
      <c r="L502" s="7" t="str">
        <f t="shared" si="30"/>
        <v>ГОТОВ_ИЗМЕНЕН</v>
      </c>
      <c r="M502" s="7">
        <f t="shared" si="31"/>
        <v>0</v>
      </c>
    </row>
    <row r="503" spans="1:13" x14ac:dyDescent="0.25">
      <c r="A503" s="1">
        <v>944981</v>
      </c>
      <c r="B503" s="6" t="s">
        <v>582</v>
      </c>
      <c r="F503" s="6" t="s">
        <v>9</v>
      </c>
      <c r="G503" s="6" t="s">
        <v>38</v>
      </c>
      <c r="H503" s="9" t="s">
        <v>33</v>
      </c>
      <c r="I503" s="7" t="str">
        <f t="shared" si="28"/>
        <v>61001005000</v>
      </c>
      <c r="J503" s="7" t="str">
        <f t="shared" si="29"/>
        <v>Материал по ЕГРН</v>
      </c>
      <c r="K503" s="7">
        <f>VLOOKUP(J503,Лист2!A$2:B$4,2,FALSE)</f>
        <v>792</v>
      </c>
      <c r="L503" s="7" t="str">
        <f t="shared" si="30"/>
        <v>ГОТОВ_ИЗМЕНЕН</v>
      </c>
      <c r="M503" s="7">
        <f t="shared" si="31"/>
        <v>0</v>
      </c>
    </row>
    <row r="504" spans="1:13" x14ac:dyDescent="0.25">
      <c r="A504" s="1">
        <v>944993</v>
      </c>
      <c r="B504" s="6" t="s">
        <v>583</v>
      </c>
      <c r="F504" s="6" t="s">
        <v>9</v>
      </c>
      <c r="G504" s="6" t="s">
        <v>139</v>
      </c>
      <c r="H504" s="9" t="s">
        <v>140</v>
      </c>
      <c r="I504" s="7" t="str">
        <f t="shared" si="28"/>
        <v>61001999000</v>
      </c>
      <c r="J504" s="7" t="str">
        <f t="shared" si="29"/>
        <v>Материал по ЕГРН</v>
      </c>
      <c r="K504" s="7">
        <f>VLOOKUP(J504,Лист2!A$2:B$4,2,FALSE)</f>
        <v>792</v>
      </c>
      <c r="L504" s="7" t="str">
        <f t="shared" si="30"/>
        <v>ГОТОВ_ИЗМЕНЕН</v>
      </c>
      <c r="M504" s="7">
        <f t="shared" si="31"/>
        <v>0</v>
      </c>
    </row>
    <row r="505" spans="1:13" x14ac:dyDescent="0.25">
      <c r="A505" s="1">
        <v>945005</v>
      </c>
      <c r="B505" s="6" t="s">
        <v>584</v>
      </c>
      <c r="F505" s="6" t="s">
        <v>9</v>
      </c>
      <c r="G505" s="6" t="s">
        <v>10</v>
      </c>
      <c r="H505" s="9" t="s">
        <v>11</v>
      </c>
      <c r="I505" s="7" t="str">
        <f t="shared" si="28"/>
        <v>61001003000</v>
      </c>
      <c r="J505" s="7" t="str">
        <f t="shared" si="29"/>
        <v>Материал по ЕГРН</v>
      </c>
      <c r="K505" s="7">
        <f>VLOOKUP(J505,Лист2!A$2:B$4,2,FALSE)</f>
        <v>792</v>
      </c>
      <c r="L505" s="7" t="str">
        <f t="shared" si="30"/>
        <v>ГОТОВ_ИЗМЕНЕН</v>
      </c>
      <c r="M505" s="7">
        <f t="shared" si="31"/>
        <v>0</v>
      </c>
    </row>
    <row r="506" spans="1:13" x14ac:dyDescent="0.25">
      <c r="A506" s="1">
        <v>945017</v>
      </c>
      <c r="B506" s="6" t="s">
        <v>585</v>
      </c>
      <c r="F506" s="6" t="s">
        <v>9</v>
      </c>
      <c r="G506" s="6" t="s">
        <v>73</v>
      </c>
      <c r="H506" s="9" t="s">
        <v>74</v>
      </c>
      <c r="I506" s="7" t="str">
        <f t="shared" si="28"/>
        <v>61001006000</v>
      </c>
      <c r="J506" s="7" t="str">
        <f t="shared" si="29"/>
        <v>Материал по ЕГРН</v>
      </c>
      <c r="K506" s="7">
        <f>VLOOKUP(J506,Лист2!A$2:B$4,2,FALSE)</f>
        <v>792</v>
      </c>
      <c r="L506" s="7" t="str">
        <f t="shared" si="30"/>
        <v>ГОТОВ_ИЗМЕНЕН</v>
      </c>
      <c r="M506" s="7">
        <f t="shared" si="31"/>
        <v>0</v>
      </c>
    </row>
    <row r="507" spans="1:13" x14ac:dyDescent="0.25">
      <c r="A507" s="1">
        <v>945029</v>
      </c>
      <c r="B507" s="6" t="s">
        <v>586</v>
      </c>
      <c r="F507" s="6" t="s">
        <v>9</v>
      </c>
      <c r="G507" s="6" t="s">
        <v>62</v>
      </c>
      <c r="H507" s="9" t="s">
        <v>63</v>
      </c>
      <c r="I507" s="7" t="str">
        <f t="shared" si="28"/>
        <v>61001006002</v>
      </c>
      <c r="J507" s="7" t="str">
        <f t="shared" si="29"/>
        <v>Материал по ЕГРН</v>
      </c>
      <c r="K507" s="7">
        <f>VLOOKUP(J507,Лист2!A$2:B$4,2,FALSE)</f>
        <v>792</v>
      </c>
      <c r="L507" s="7" t="str">
        <f t="shared" si="30"/>
        <v>ГОТОВ_ИЗМЕНЕН</v>
      </c>
      <c r="M507" s="7">
        <f t="shared" si="31"/>
        <v>0</v>
      </c>
    </row>
    <row r="508" spans="1:13" x14ac:dyDescent="0.25">
      <c r="A508" s="1">
        <v>945041</v>
      </c>
      <c r="B508" s="6" t="s">
        <v>587</v>
      </c>
      <c r="F508" s="6" t="s">
        <v>9</v>
      </c>
      <c r="G508" s="6" t="s">
        <v>38</v>
      </c>
      <c r="H508" s="9" t="s">
        <v>33</v>
      </c>
      <c r="I508" s="7" t="str">
        <f t="shared" si="28"/>
        <v>61001005000</v>
      </c>
      <c r="J508" s="7" t="str">
        <f t="shared" si="29"/>
        <v>Материал по ЕГРН</v>
      </c>
      <c r="K508" s="7">
        <f>VLOOKUP(J508,Лист2!A$2:B$4,2,FALSE)</f>
        <v>792</v>
      </c>
      <c r="L508" s="7" t="str">
        <f t="shared" si="30"/>
        <v>ГОТОВ_ИЗМЕНЕН</v>
      </c>
      <c r="M508" s="7">
        <f t="shared" si="31"/>
        <v>0</v>
      </c>
    </row>
    <row r="509" spans="1:13" x14ac:dyDescent="0.25">
      <c r="A509" s="1">
        <v>945053</v>
      </c>
      <c r="B509" s="6" t="s">
        <v>588</v>
      </c>
      <c r="F509" s="6" t="s">
        <v>9</v>
      </c>
      <c r="G509" s="6" t="s">
        <v>34</v>
      </c>
      <c r="H509" s="9" t="s">
        <v>35</v>
      </c>
      <c r="I509" s="7" t="str">
        <f t="shared" si="28"/>
        <v>61001002000</v>
      </c>
      <c r="J509" s="7" t="str">
        <f t="shared" si="29"/>
        <v>Материал по ЕГРН</v>
      </c>
      <c r="K509" s="7">
        <f>VLOOKUP(J509,Лист2!A$2:B$4,2,FALSE)</f>
        <v>792</v>
      </c>
      <c r="L509" s="7" t="str">
        <f t="shared" si="30"/>
        <v>ГОТОВ_ИЗМЕНЕН</v>
      </c>
      <c r="M509" s="7">
        <f t="shared" si="31"/>
        <v>0</v>
      </c>
    </row>
    <row r="510" spans="1:13" x14ac:dyDescent="0.25">
      <c r="A510" s="1">
        <v>945065</v>
      </c>
      <c r="B510" s="6" t="s">
        <v>589</v>
      </c>
      <c r="F510" s="6" t="s">
        <v>9</v>
      </c>
      <c r="G510" s="6" t="s">
        <v>90</v>
      </c>
      <c r="H510" s="9" t="s">
        <v>12</v>
      </c>
      <c r="I510" s="7" t="str">
        <f t="shared" si="28"/>
        <v>61001008000</v>
      </c>
      <c r="J510" s="7" t="str">
        <f t="shared" si="29"/>
        <v>Материал по ЕГРН</v>
      </c>
      <c r="K510" s="7">
        <f>VLOOKUP(J510,Лист2!A$2:B$4,2,FALSE)</f>
        <v>792</v>
      </c>
      <c r="L510" s="7" t="str">
        <f t="shared" si="30"/>
        <v>ГОТОВ_ИЗМЕНЕН</v>
      </c>
      <c r="M510" s="7">
        <f t="shared" si="31"/>
        <v>0</v>
      </c>
    </row>
    <row r="511" spans="1:13" x14ac:dyDescent="0.25">
      <c r="A511" s="1">
        <v>945077</v>
      </c>
      <c r="B511" s="6" t="s">
        <v>590</v>
      </c>
      <c r="F511" s="6" t="s">
        <v>9</v>
      </c>
      <c r="G511" s="6" t="s">
        <v>38</v>
      </c>
      <c r="H511" s="9" t="s">
        <v>33</v>
      </c>
      <c r="I511" s="7" t="str">
        <f t="shared" si="28"/>
        <v>61001005000</v>
      </c>
      <c r="J511" s="7" t="str">
        <f t="shared" si="29"/>
        <v>Материал по ЕГРН</v>
      </c>
      <c r="K511" s="7">
        <f>VLOOKUP(J511,Лист2!A$2:B$4,2,FALSE)</f>
        <v>792</v>
      </c>
      <c r="L511" s="7" t="str">
        <f t="shared" si="30"/>
        <v>ГОТОВ_ИЗМЕНЕН</v>
      </c>
      <c r="M511" s="7">
        <f t="shared" si="31"/>
        <v>0</v>
      </c>
    </row>
    <row r="512" spans="1:13" x14ac:dyDescent="0.25">
      <c r="A512" s="1">
        <v>945089</v>
      </c>
      <c r="B512" s="6" t="s">
        <v>591</v>
      </c>
      <c r="F512" s="6" t="s">
        <v>9</v>
      </c>
      <c r="G512" s="6" t="s">
        <v>38</v>
      </c>
      <c r="H512" s="9" t="s">
        <v>33</v>
      </c>
      <c r="I512" s="7" t="str">
        <f t="shared" si="28"/>
        <v>61001005000</v>
      </c>
      <c r="J512" s="7" t="str">
        <f t="shared" si="29"/>
        <v>Материал по ЕГРН</v>
      </c>
      <c r="K512" s="7">
        <f>VLOOKUP(J512,Лист2!A$2:B$4,2,FALSE)</f>
        <v>792</v>
      </c>
      <c r="L512" s="7" t="str">
        <f t="shared" si="30"/>
        <v>ГОТОВ_ИЗМЕНЕН</v>
      </c>
      <c r="M512" s="7">
        <f t="shared" si="31"/>
        <v>0</v>
      </c>
    </row>
    <row r="513" spans="1:13" x14ac:dyDescent="0.25">
      <c r="A513" s="1">
        <v>945101</v>
      </c>
      <c r="B513" s="6" t="s">
        <v>592</v>
      </c>
      <c r="F513" s="6" t="s">
        <v>9</v>
      </c>
      <c r="G513" s="6" t="s">
        <v>38</v>
      </c>
      <c r="H513" s="9" t="s">
        <v>33</v>
      </c>
      <c r="I513" s="7" t="str">
        <f t="shared" si="28"/>
        <v>61001005000</v>
      </c>
      <c r="J513" s="7" t="str">
        <f t="shared" si="29"/>
        <v>Материал по ЕГРН</v>
      </c>
      <c r="K513" s="7">
        <f>VLOOKUP(J513,Лист2!A$2:B$4,2,FALSE)</f>
        <v>792</v>
      </c>
      <c r="L513" s="7" t="str">
        <f t="shared" si="30"/>
        <v>ГОТОВ_ИЗМЕНЕН</v>
      </c>
      <c r="M513" s="7">
        <f t="shared" si="31"/>
        <v>0</v>
      </c>
    </row>
    <row r="514" spans="1:13" x14ac:dyDescent="0.25">
      <c r="A514" s="1">
        <v>945113</v>
      </c>
      <c r="B514" s="6" t="s">
        <v>593</v>
      </c>
      <c r="F514" s="6" t="s">
        <v>9</v>
      </c>
      <c r="G514" s="6" t="s">
        <v>90</v>
      </c>
      <c r="H514" s="9" t="s">
        <v>12</v>
      </c>
      <c r="I514" s="7" t="str">
        <f t="shared" si="28"/>
        <v>61001008000</v>
      </c>
      <c r="J514" s="7" t="str">
        <f t="shared" si="29"/>
        <v>Материал по ЕГРН</v>
      </c>
      <c r="K514" s="7">
        <f>VLOOKUP(J514,Лист2!A$2:B$4,2,FALSE)</f>
        <v>792</v>
      </c>
      <c r="L514" s="7" t="str">
        <f t="shared" si="30"/>
        <v>ГОТОВ_ИЗМЕНЕН</v>
      </c>
      <c r="M514" s="7">
        <f t="shared" si="31"/>
        <v>0</v>
      </c>
    </row>
    <row r="515" spans="1:13" x14ac:dyDescent="0.25">
      <c r="A515" s="1">
        <v>945125</v>
      </c>
      <c r="B515" s="6" t="s">
        <v>594</v>
      </c>
      <c r="F515" s="6" t="s">
        <v>9</v>
      </c>
      <c r="G515" s="6" t="s">
        <v>10</v>
      </c>
      <c r="H515" s="9" t="s">
        <v>11</v>
      </c>
      <c r="I515" s="7" t="str">
        <f t="shared" si="28"/>
        <v>61001003000</v>
      </c>
      <c r="J515" s="7" t="str">
        <f t="shared" si="29"/>
        <v>Материал по ЕГРН</v>
      </c>
      <c r="K515" s="7">
        <f>VLOOKUP(J515,Лист2!A$2:B$4,2,FALSE)</f>
        <v>792</v>
      </c>
      <c r="L515" s="7" t="str">
        <f t="shared" si="30"/>
        <v>ГОТОВ_ИЗМЕНЕН</v>
      </c>
      <c r="M515" s="7">
        <f t="shared" si="31"/>
        <v>0</v>
      </c>
    </row>
    <row r="516" spans="1:13" x14ac:dyDescent="0.25">
      <c r="A516" s="1">
        <v>945137</v>
      </c>
      <c r="B516" s="6" t="s">
        <v>595</v>
      </c>
      <c r="F516" s="6" t="s">
        <v>9</v>
      </c>
      <c r="G516" s="6" t="s">
        <v>62</v>
      </c>
      <c r="H516" s="9" t="s">
        <v>63</v>
      </c>
      <c r="I516" s="7" t="str">
        <f t="shared" si="28"/>
        <v>61001006002</v>
      </c>
      <c r="J516" s="7" t="str">
        <f t="shared" si="29"/>
        <v>Материал по ЕГРН</v>
      </c>
      <c r="K516" s="7">
        <f>VLOOKUP(J516,Лист2!A$2:B$4,2,FALSE)</f>
        <v>792</v>
      </c>
      <c r="L516" s="7" t="str">
        <f t="shared" si="30"/>
        <v>ГОТОВ_ИЗМЕНЕН</v>
      </c>
      <c r="M516" s="7">
        <f t="shared" si="31"/>
        <v>0</v>
      </c>
    </row>
    <row r="517" spans="1:13" x14ac:dyDescent="0.25">
      <c r="A517" s="1">
        <v>945149</v>
      </c>
      <c r="B517" s="6" t="s">
        <v>596</v>
      </c>
      <c r="F517" s="6" t="s">
        <v>9</v>
      </c>
      <c r="G517" s="6" t="s">
        <v>34</v>
      </c>
      <c r="H517" s="9" t="s">
        <v>35</v>
      </c>
      <c r="I517" s="7" t="str">
        <f t="shared" ref="I517:I580" si="32">IF(LEN(H517)=11,H517,IF(LEN(H517)=0,"61001005000","61001003000"))</f>
        <v>61001002000</v>
      </c>
      <c r="J517" s="7" t="str">
        <f t="shared" ref="J517:J580" si="33">IF(LEN(H517)=11,"Материал по ЕГРН",IF(LEN(H517)=0,"Прочие по допущению","Смешанные по допущению"))</f>
        <v>Материал по ЕГРН</v>
      </c>
      <c r="K517" s="7">
        <f>VLOOKUP(J517,Лист2!A$2:B$4,2,FALSE)</f>
        <v>792</v>
      </c>
      <c r="L517" s="7" t="str">
        <f t="shared" ref="L517:L580" si="34">IF(I517=C517,"ГОТОВ","ГОТОВ_ИЗМЕНЕН")</f>
        <v>ГОТОВ_ИЗМЕНЕН</v>
      </c>
      <c r="M517" s="7">
        <f t="shared" ref="M517:M580" si="35">C517</f>
        <v>0</v>
      </c>
    </row>
    <row r="518" spans="1:13" x14ac:dyDescent="0.25">
      <c r="A518" s="1">
        <v>945161</v>
      </c>
      <c r="B518" s="6" t="s">
        <v>597</v>
      </c>
      <c r="F518" s="6" t="s">
        <v>9</v>
      </c>
      <c r="G518" s="6" t="s">
        <v>34</v>
      </c>
      <c r="H518" s="9" t="s">
        <v>35</v>
      </c>
      <c r="I518" s="7" t="str">
        <f t="shared" si="32"/>
        <v>61001002000</v>
      </c>
      <c r="J518" s="7" t="str">
        <f t="shared" si="33"/>
        <v>Материал по ЕГРН</v>
      </c>
      <c r="K518" s="7">
        <f>VLOOKUP(J518,Лист2!A$2:B$4,2,FALSE)</f>
        <v>792</v>
      </c>
      <c r="L518" s="7" t="str">
        <f t="shared" si="34"/>
        <v>ГОТОВ_ИЗМЕНЕН</v>
      </c>
      <c r="M518" s="7">
        <f t="shared" si="35"/>
        <v>0</v>
      </c>
    </row>
    <row r="519" spans="1:13" x14ac:dyDescent="0.25">
      <c r="A519" s="1">
        <v>945173</v>
      </c>
      <c r="B519" s="6" t="s">
        <v>598</v>
      </c>
      <c r="F519" s="6" t="s">
        <v>9</v>
      </c>
      <c r="G519" s="6" t="s">
        <v>10</v>
      </c>
      <c r="H519" s="9" t="s">
        <v>11</v>
      </c>
      <c r="I519" s="7" t="str">
        <f t="shared" si="32"/>
        <v>61001003000</v>
      </c>
      <c r="J519" s="7" t="str">
        <f t="shared" si="33"/>
        <v>Материал по ЕГРН</v>
      </c>
      <c r="K519" s="7">
        <f>VLOOKUP(J519,Лист2!A$2:B$4,2,FALSE)</f>
        <v>792</v>
      </c>
      <c r="L519" s="7" t="str">
        <f t="shared" si="34"/>
        <v>ГОТОВ_ИЗМЕНЕН</v>
      </c>
      <c r="M519" s="7">
        <f t="shared" si="35"/>
        <v>0</v>
      </c>
    </row>
    <row r="520" spans="1:13" x14ac:dyDescent="0.25">
      <c r="A520" s="1">
        <v>945185</v>
      </c>
      <c r="B520" s="6" t="s">
        <v>599</v>
      </c>
      <c r="F520" s="6" t="s">
        <v>9</v>
      </c>
      <c r="G520" s="6" t="s">
        <v>90</v>
      </c>
      <c r="H520" s="9" t="s">
        <v>12</v>
      </c>
      <c r="I520" s="7" t="str">
        <f t="shared" si="32"/>
        <v>61001008000</v>
      </c>
      <c r="J520" s="7" t="str">
        <f t="shared" si="33"/>
        <v>Материал по ЕГРН</v>
      </c>
      <c r="K520" s="7">
        <f>VLOOKUP(J520,Лист2!A$2:B$4,2,FALSE)</f>
        <v>792</v>
      </c>
      <c r="L520" s="7" t="str">
        <f t="shared" si="34"/>
        <v>ГОТОВ_ИЗМЕНЕН</v>
      </c>
      <c r="M520" s="7">
        <f t="shared" si="35"/>
        <v>0</v>
      </c>
    </row>
    <row r="521" spans="1:13" x14ac:dyDescent="0.25">
      <c r="A521" s="1">
        <v>187541</v>
      </c>
      <c r="B521" s="6" t="s">
        <v>600</v>
      </c>
      <c r="C521" s="9" t="s">
        <v>33</v>
      </c>
      <c r="D521" s="6" t="s">
        <v>20</v>
      </c>
      <c r="E521" s="6" t="s">
        <v>8</v>
      </c>
      <c r="F521" s="6" t="s">
        <v>9</v>
      </c>
      <c r="G521" s="6" t="s">
        <v>601</v>
      </c>
      <c r="H521" s="9" t="s">
        <v>602</v>
      </c>
      <c r="I521" s="7" t="str">
        <f t="shared" si="32"/>
        <v>61001003000</v>
      </c>
      <c r="J521" s="7" t="str">
        <f t="shared" si="33"/>
        <v>Смешанные по допущению</v>
      </c>
      <c r="K521" s="7">
        <f>VLOOKUP(J521,Лист2!A$2:B$4,2,FALSE)</f>
        <v>793</v>
      </c>
      <c r="L521" s="7" t="str">
        <f t="shared" si="34"/>
        <v>ГОТОВ_ИЗМЕНЕН</v>
      </c>
      <c r="M521" s="7" t="str">
        <f t="shared" si="35"/>
        <v>61001005000</v>
      </c>
    </row>
    <row r="522" spans="1:13" x14ac:dyDescent="0.25">
      <c r="A522" s="1">
        <v>356984</v>
      </c>
      <c r="B522" s="6" t="s">
        <v>603</v>
      </c>
      <c r="C522" s="9" t="s">
        <v>42</v>
      </c>
      <c r="D522" s="6" t="s">
        <v>20</v>
      </c>
      <c r="E522" s="6" t="s">
        <v>37</v>
      </c>
      <c r="F522" s="6" t="s">
        <v>9</v>
      </c>
      <c r="G522" s="6" t="s">
        <v>43</v>
      </c>
      <c r="H522" s="9" t="s">
        <v>42</v>
      </c>
      <c r="I522" s="7" t="str">
        <f t="shared" si="32"/>
        <v>61001002001</v>
      </c>
      <c r="J522" s="7" t="str">
        <f t="shared" si="33"/>
        <v>Материал по ЕГРН</v>
      </c>
      <c r="K522" s="7">
        <f>VLOOKUP(J522,Лист2!A$2:B$4,2,FALSE)</f>
        <v>792</v>
      </c>
      <c r="L522" s="7" t="str">
        <f t="shared" si="34"/>
        <v>ГОТОВ</v>
      </c>
      <c r="M522" s="7" t="str">
        <f t="shared" si="35"/>
        <v>61001002001</v>
      </c>
    </row>
    <row r="523" spans="1:13" x14ac:dyDescent="0.25">
      <c r="A523" s="1">
        <v>769830</v>
      </c>
      <c r="B523" s="6" t="s">
        <v>604</v>
      </c>
      <c r="C523" s="9" t="s">
        <v>33</v>
      </c>
      <c r="D523" s="6" t="s">
        <v>20</v>
      </c>
      <c r="E523" s="6" t="s">
        <v>37</v>
      </c>
      <c r="F523" s="6" t="s">
        <v>9</v>
      </c>
      <c r="G523" s="6" t="s">
        <v>38</v>
      </c>
      <c r="H523" s="9" t="s">
        <v>33</v>
      </c>
      <c r="I523" s="7" t="str">
        <f t="shared" si="32"/>
        <v>61001005000</v>
      </c>
      <c r="J523" s="7" t="str">
        <f t="shared" si="33"/>
        <v>Материал по ЕГРН</v>
      </c>
      <c r="K523" s="7">
        <f>VLOOKUP(J523,Лист2!A$2:B$4,2,FALSE)</f>
        <v>792</v>
      </c>
      <c r="L523" s="7" t="str">
        <f t="shared" si="34"/>
        <v>ГОТОВ</v>
      </c>
      <c r="M523" s="7" t="str">
        <f t="shared" si="35"/>
        <v>61001005000</v>
      </c>
    </row>
    <row r="524" spans="1:13" x14ac:dyDescent="0.25">
      <c r="A524" s="1">
        <v>945200</v>
      </c>
      <c r="B524" s="6" t="s">
        <v>605</v>
      </c>
      <c r="F524" s="6" t="s">
        <v>9</v>
      </c>
      <c r="G524" s="6" t="s">
        <v>59</v>
      </c>
      <c r="H524" s="9" t="s">
        <v>60</v>
      </c>
      <c r="I524" s="7" t="str">
        <f t="shared" si="32"/>
        <v>61001001001</v>
      </c>
      <c r="J524" s="7" t="str">
        <f t="shared" si="33"/>
        <v>Материал по ЕГРН</v>
      </c>
      <c r="K524" s="7">
        <f>VLOOKUP(J524,Лист2!A$2:B$4,2,FALSE)</f>
        <v>792</v>
      </c>
      <c r="L524" s="7" t="str">
        <f t="shared" si="34"/>
        <v>ГОТОВ_ИЗМЕНЕН</v>
      </c>
      <c r="M524" s="7">
        <f t="shared" si="35"/>
        <v>0</v>
      </c>
    </row>
    <row r="525" spans="1:13" x14ac:dyDescent="0.25">
      <c r="A525" s="1">
        <v>945212</v>
      </c>
      <c r="B525" s="6" t="s">
        <v>606</v>
      </c>
      <c r="F525" s="6" t="s">
        <v>9</v>
      </c>
      <c r="G525" s="6" t="s">
        <v>10</v>
      </c>
      <c r="H525" s="9" t="s">
        <v>11</v>
      </c>
      <c r="I525" s="7" t="str">
        <f t="shared" si="32"/>
        <v>61001003000</v>
      </c>
      <c r="J525" s="7" t="str">
        <f t="shared" si="33"/>
        <v>Материал по ЕГРН</v>
      </c>
      <c r="K525" s="7">
        <f>VLOOKUP(J525,Лист2!A$2:B$4,2,FALSE)</f>
        <v>792</v>
      </c>
      <c r="L525" s="7" t="str">
        <f t="shared" si="34"/>
        <v>ГОТОВ_ИЗМЕНЕН</v>
      </c>
      <c r="M525" s="7">
        <f t="shared" si="35"/>
        <v>0</v>
      </c>
    </row>
    <row r="526" spans="1:13" x14ac:dyDescent="0.25">
      <c r="A526" s="1">
        <v>945224</v>
      </c>
      <c r="B526" s="6" t="s">
        <v>607</v>
      </c>
      <c r="E526" s="6" t="s">
        <v>8</v>
      </c>
      <c r="F526" s="6" t="s">
        <v>9</v>
      </c>
      <c r="G526" s="6" t="s">
        <v>608</v>
      </c>
      <c r="H526" s="9" t="s">
        <v>366</v>
      </c>
      <c r="I526" s="7" t="str">
        <f t="shared" si="32"/>
        <v>61001003000</v>
      </c>
      <c r="J526" s="7" t="str">
        <f t="shared" si="33"/>
        <v>Смешанные по допущению</v>
      </c>
      <c r="K526" s="7">
        <f>VLOOKUP(J526,Лист2!A$2:B$4,2,FALSE)</f>
        <v>793</v>
      </c>
      <c r="L526" s="7" t="str">
        <f t="shared" si="34"/>
        <v>ГОТОВ_ИЗМЕНЕН</v>
      </c>
      <c r="M526" s="7">
        <f t="shared" si="35"/>
        <v>0</v>
      </c>
    </row>
    <row r="527" spans="1:13" x14ac:dyDescent="0.25">
      <c r="A527" s="1">
        <v>945236</v>
      </c>
      <c r="B527" s="6" t="s">
        <v>609</v>
      </c>
      <c r="F527" s="6" t="s">
        <v>9</v>
      </c>
      <c r="G527" s="6" t="s">
        <v>62</v>
      </c>
      <c r="H527" s="9" t="s">
        <v>63</v>
      </c>
      <c r="I527" s="7" t="str">
        <f t="shared" si="32"/>
        <v>61001006002</v>
      </c>
      <c r="J527" s="7" t="str">
        <f t="shared" si="33"/>
        <v>Материал по ЕГРН</v>
      </c>
      <c r="K527" s="7">
        <f>VLOOKUP(J527,Лист2!A$2:B$4,2,FALSE)</f>
        <v>792</v>
      </c>
      <c r="L527" s="7" t="str">
        <f t="shared" si="34"/>
        <v>ГОТОВ_ИЗМЕНЕН</v>
      </c>
      <c r="M527" s="7">
        <f t="shared" si="35"/>
        <v>0</v>
      </c>
    </row>
    <row r="528" spans="1:13" x14ac:dyDescent="0.25">
      <c r="A528" s="1">
        <v>945248</v>
      </c>
      <c r="B528" s="6" t="s">
        <v>610</v>
      </c>
      <c r="F528" s="6" t="s">
        <v>9</v>
      </c>
      <c r="G528" s="6" t="s">
        <v>10</v>
      </c>
      <c r="H528" s="9" t="s">
        <v>11</v>
      </c>
      <c r="I528" s="7" t="str">
        <f t="shared" si="32"/>
        <v>61001003000</v>
      </c>
      <c r="J528" s="7" t="str">
        <f t="shared" si="33"/>
        <v>Материал по ЕГРН</v>
      </c>
      <c r="K528" s="7">
        <f>VLOOKUP(J528,Лист2!A$2:B$4,2,FALSE)</f>
        <v>792</v>
      </c>
      <c r="L528" s="7" t="str">
        <f t="shared" si="34"/>
        <v>ГОТОВ_ИЗМЕНЕН</v>
      </c>
      <c r="M528" s="7">
        <f t="shared" si="35"/>
        <v>0</v>
      </c>
    </row>
    <row r="529" spans="1:13" x14ac:dyDescent="0.25">
      <c r="A529" s="1">
        <v>945260</v>
      </c>
      <c r="B529" s="6" t="s">
        <v>611</v>
      </c>
      <c r="F529" s="6" t="s">
        <v>9</v>
      </c>
      <c r="G529" s="6" t="s">
        <v>38</v>
      </c>
      <c r="H529" s="9" t="s">
        <v>33</v>
      </c>
      <c r="I529" s="7" t="str">
        <f t="shared" si="32"/>
        <v>61001005000</v>
      </c>
      <c r="J529" s="7" t="str">
        <f t="shared" si="33"/>
        <v>Материал по ЕГРН</v>
      </c>
      <c r="K529" s="7">
        <f>VLOOKUP(J529,Лист2!A$2:B$4,2,FALSE)</f>
        <v>792</v>
      </c>
      <c r="L529" s="7" t="str">
        <f t="shared" si="34"/>
        <v>ГОТОВ_ИЗМЕНЕН</v>
      </c>
      <c r="M529" s="7">
        <f t="shared" si="35"/>
        <v>0</v>
      </c>
    </row>
    <row r="530" spans="1:13" x14ac:dyDescent="0.25">
      <c r="A530" s="1">
        <v>945272</v>
      </c>
      <c r="B530" s="6" t="s">
        <v>612</v>
      </c>
      <c r="F530" s="6" t="s">
        <v>9</v>
      </c>
      <c r="G530" s="6" t="s">
        <v>38</v>
      </c>
      <c r="H530" s="9" t="s">
        <v>33</v>
      </c>
      <c r="I530" s="7" t="str">
        <f t="shared" si="32"/>
        <v>61001005000</v>
      </c>
      <c r="J530" s="7" t="str">
        <f t="shared" si="33"/>
        <v>Материал по ЕГРН</v>
      </c>
      <c r="K530" s="7">
        <f>VLOOKUP(J530,Лист2!A$2:B$4,2,FALSE)</f>
        <v>792</v>
      </c>
      <c r="L530" s="7" t="str">
        <f t="shared" si="34"/>
        <v>ГОТОВ_ИЗМЕНЕН</v>
      </c>
      <c r="M530" s="7">
        <f t="shared" si="35"/>
        <v>0</v>
      </c>
    </row>
    <row r="531" spans="1:13" x14ac:dyDescent="0.25">
      <c r="A531" s="1">
        <v>945284</v>
      </c>
      <c r="B531" s="6" t="s">
        <v>613</v>
      </c>
      <c r="F531" s="6" t="s">
        <v>9</v>
      </c>
      <c r="G531" s="6" t="s">
        <v>73</v>
      </c>
      <c r="H531" s="9" t="s">
        <v>74</v>
      </c>
      <c r="I531" s="7" t="str">
        <f t="shared" si="32"/>
        <v>61001006000</v>
      </c>
      <c r="J531" s="7" t="str">
        <f t="shared" si="33"/>
        <v>Материал по ЕГРН</v>
      </c>
      <c r="K531" s="7">
        <f>VLOOKUP(J531,Лист2!A$2:B$4,2,FALSE)</f>
        <v>792</v>
      </c>
      <c r="L531" s="7" t="str">
        <f t="shared" si="34"/>
        <v>ГОТОВ_ИЗМЕНЕН</v>
      </c>
      <c r="M531" s="7">
        <f t="shared" si="35"/>
        <v>0</v>
      </c>
    </row>
    <row r="532" spans="1:13" x14ac:dyDescent="0.25">
      <c r="A532" s="1">
        <v>945296</v>
      </c>
      <c r="B532" s="6" t="s">
        <v>614</v>
      </c>
      <c r="F532" s="6" t="s">
        <v>9</v>
      </c>
      <c r="G532" s="6" t="s">
        <v>59</v>
      </c>
      <c r="H532" s="9" t="s">
        <v>60</v>
      </c>
      <c r="I532" s="7" t="str">
        <f t="shared" si="32"/>
        <v>61001001001</v>
      </c>
      <c r="J532" s="7" t="str">
        <f t="shared" si="33"/>
        <v>Материал по ЕГРН</v>
      </c>
      <c r="K532" s="7">
        <f>VLOOKUP(J532,Лист2!A$2:B$4,2,FALSE)</f>
        <v>792</v>
      </c>
      <c r="L532" s="7" t="str">
        <f t="shared" si="34"/>
        <v>ГОТОВ_ИЗМЕНЕН</v>
      </c>
      <c r="M532" s="7">
        <f t="shared" si="35"/>
        <v>0</v>
      </c>
    </row>
    <row r="533" spans="1:13" x14ac:dyDescent="0.25">
      <c r="A533" s="1">
        <v>945308</v>
      </c>
      <c r="B533" s="6" t="s">
        <v>615</v>
      </c>
      <c r="F533" s="6" t="s">
        <v>9</v>
      </c>
      <c r="G533" s="6" t="s">
        <v>90</v>
      </c>
      <c r="H533" s="9" t="s">
        <v>12</v>
      </c>
      <c r="I533" s="7" t="str">
        <f t="shared" si="32"/>
        <v>61001008000</v>
      </c>
      <c r="J533" s="7" t="str">
        <f t="shared" si="33"/>
        <v>Материал по ЕГРН</v>
      </c>
      <c r="K533" s="7">
        <f>VLOOKUP(J533,Лист2!A$2:B$4,2,FALSE)</f>
        <v>792</v>
      </c>
      <c r="L533" s="7" t="str">
        <f t="shared" si="34"/>
        <v>ГОТОВ_ИЗМЕНЕН</v>
      </c>
      <c r="M533" s="7">
        <f t="shared" si="35"/>
        <v>0</v>
      </c>
    </row>
    <row r="534" spans="1:13" x14ac:dyDescent="0.25">
      <c r="A534" s="1">
        <v>945320</v>
      </c>
      <c r="B534" s="6" t="s">
        <v>616</v>
      </c>
      <c r="F534" s="6" t="s">
        <v>9</v>
      </c>
      <c r="G534" s="6" t="s">
        <v>38</v>
      </c>
      <c r="H534" s="9" t="s">
        <v>33</v>
      </c>
      <c r="I534" s="7" t="str">
        <f t="shared" si="32"/>
        <v>61001005000</v>
      </c>
      <c r="J534" s="7" t="str">
        <f t="shared" si="33"/>
        <v>Материал по ЕГРН</v>
      </c>
      <c r="K534" s="7">
        <f>VLOOKUP(J534,Лист2!A$2:B$4,2,FALSE)</f>
        <v>792</v>
      </c>
      <c r="L534" s="7" t="str">
        <f t="shared" si="34"/>
        <v>ГОТОВ_ИЗМЕНЕН</v>
      </c>
      <c r="M534" s="7">
        <f t="shared" si="35"/>
        <v>0</v>
      </c>
    </row>
    <row r="535" spans="1:13" x14ac:dyDescent="0.25">
      <c r="A535" s="1">
        <v>945332</v>
      </c>
      <c r="B535" s="6" t="s">
        <v>617</v>
      </c>
      <c r="F535" s="6" t="s">
        <v>9</v>
      </c>
      <c r="G535" s="6" t="s">
        <v>34</v>
      </c>
      <c r="H535" s="9" t="s">
        <v>35</v>
      </c>
      <c r="I535" s="7" t="str">
        <f t="shared" si="32"/>
        <v>61001002000</v>
      </c>
      <c r="J535" s="7" t="str">
        <f t="shared" si="33"/>
        <v>Материал по ЕГРН</v>
      </c>
      <c r="K535" s="7">
        <f>VLOOKUP(J535,Лист2!A$2:B$4,2,FALSE)</f>
        <v>792</v>
      </c>
      <c r="L535" s="7" t="str">
        <f t="shared" si="34"/>
        <v>ГОТОВ_ИЗМЕНЕН</v>
      </c>
      <c r="M535" s="7">
        <f t="shared" si="35"/>
        <v>0</v>
      </c>
    </row>
    <row r="536" spans="1:13" x14ac:dyDescent="0.25">
      <c r="A536" s="1">
        <v>945344</v>
      </c>
      <c r="B536" s="6" t="s">
        <v>618</v>
      </c>
      <c r="F536" s="6" t="s">
        <v>9</v>
      </c>
      <c r="G536" s="6" t="s">
        <v>73</v>
      </c>
      <c r="H536" s="9" t="s">
        <v>74</v>
      </c>
      <c r="I536" s="7" t="str">
        <f t="shared" si="32"/>
        <v>61001006000</v>
      </c>
      <c r="J536" s="7" t="str">
        <f t="shared" si="33"/>
        <v>Материал по ЕГРН</v>
      </c>
      <c r="K536" s="7">
        <f>VLOOKUP(J536,Лист2!A$2:B$4,2,FALSE)</f>
        <v>792</v>
      </c>
      <c r="L536" s="7" t="str">
        <f t="shared" si="34"/>
        <v>ГОТОВ_ИЗМЕНЕН</v>
      </c>
      <c r="M536" s="7">
        <f t="shared" si="35"/>
        <v>0</v>
      </c>
    </row>
    <row r="537" spans="1:13" x14ac:dyDescent="0.25">
      <c r="A537" s="1">
        <v>945356</v>
      </c>
      <c r="B537" s="6" t="s">
        <v>619</v>
      </c>
      <c r="F537" s="6" t="s">
        <v>9</v>
      </c>
      <c r="G537" s="6" t="s">
        <v>10</v>
      </c>
      <c r="H537" s="9" t="s">
        <v>11</v>
      </c>
      <c r="I537" s="7" t="str">
        <f t="shared" si="32"/>
        <v>61001003000</v>
      </c>
      <c r="J537" s="7" t="str">
        <f t="shared" si="33"/>
        <v>Материал по ЕГРН</v>
      </c>
      <c r="K537" s="7">
        <f>VLOOKUP(J537,Лист2!A$2:B$4,2,FALSE)</f>
        <v>792</v>
      </c>
      <c r="L537" s="7" t="str">
        <f t="shared" si="34"/>
        <v>ГОТОВ_ИЗМЕНЕН</v>
      </c>
      <c r="M537" s="7">
        <f t="shared" si="35"/>
        <v>0</v>
      </c>
    </row>
    <row r="538" spans="1:13" x14ac:dyDescent="0.25">
      <c r="A538" s="1">
        <v>945368</v>
      </c>
      <c r="B538" s="6" t="s">
        <v>620</v>
      </c>
      <c r="F538" s="6" t="s">
        <v>9</v>
      </c>
      <c r="G538" s="6" t="s">
        <v>34</v>
      </c>
      <c r="H538" s="9" t="s">
        <v>35</v>
      </c>
      <c r="I538" s="7" t="str">
        <f t="shared" si="32"/>
        <v>61001002000</v>
      </c>
      <c r="J538" s="7" t="str">
        <f t="shared" si="33"/>
        <v>Материал по ЕГРН</v>
      </c>
      <c r="K538" s="7">
        <f>VLOOKUP(J538,Лист2!A$2:B$4,2,FALSE)</f>
        <v>792</v>
      </c>
      <c r="L538" s="7" t="str">
        <f t="shared" si="34"/>
        <v>ГОТОВ_ИЗМЕНЕН</v>
      </c>
      <c r="M538" s="7">
        <f t="shared" si="35"/>
        <v>0</v>
      </c>
    </row>
    <row r="539" spans="1:13" x14ac:dyDescent="0.25">
      <c r="A539" s="1">
        <v>945380</v>
      </c>
      <c r="B539" s="6" t="s">
        <v>621</v>
      </c>
      <c r="F539" s="6" t="s">
        <v>9</v>
      </c>
      <c r="G539" s="6" t="s">
        <v>38</v>
      </c>
      <c r="H539" s="9" t="s">
        <v>33</v>
      </c>
      <c r="I539" s="7" t="str">
        <f t="shared" si="32"/>
        <v>61001005000</v>
      </c>
      <c r="J539" s="7" t="str">
        <f t="shared" si="33"/>
        <v>Материал по ЕГРН</v>
      </c>
      <c r="K539" s="7">
        <f>VLOOKUP(J539,Лист2!A$2:B$4,2,FALSE)</f>
        <v>792</v>
      </c>
      <c r="L539" s="7" t="str">
        <f t="shared" si="34"/>
        <v>ГОТОВ_ИЗМЕНЕН</v>
      </c>
      <c r="M539" s="7">
        <f t="shared" si="35"/>
        <v>0</v>
      </c>
    </row>
    <row r="540" spans="1:13" x14ac:dyDescent="0.25">
      <c r="A540" s="1">
        <v>945392</v>
      </c>
      <c r="B540" s="6" t="s">
        <v>622</v>
      </c>
      <c r="F540" s="6" t="s">
        <v>9</v>
      </c>
      <c r="G540" s="6" t="s">
        <v>38</v>
      </c>
      <c r="H540" s="9" t="s">
        <v>33</v>
      </c>
      <c r="I540" s="7" t="str">
        <f t="shared" si="32"/>
        <v>61001005000</v>
      </c>
      <c r="J540" s="7" t="str">
        <f t="shared" si="33"/>
        <v>Материал по ЕГРН</v>
      </c>
      <c r="K540" s="7">
        <f>VLOOKUP(J540,Лист2!A$2:B$4,2,FALSE)</f>
        <v>792</v>
      </c>
      <c r="L540" s="7" t="str">
        <f t="shared" si="34"/>
        <v>ГОТОВ_ИЗМЕНЕН</v>
      </c>
      <c r="M540" s="7">
        <f t="shared" si="35"/>
        <v>0</v>
      </c>
    </row>
    <row r="541" spans="1:13" x14ac:dyDescent="0.25">
      <c r="A541" s="1">
        <v>945404</v>
      </c>
      <c r="B541" s="6" t="s">
        <v>623</v>
      </c>
      <c r="F541" s="6" t="s">
        <v>9</v>
      </c>
      <c r="G541" s="6" t="s">
        <v>59</v>
      </c>
      <c r="H541" s="9" t="s">
        <v>60</v>
      </c>
      <c r="I541" s="7" t="str">
        <f t="shared" si="32"/>
        <v>61001001001</v>
      </c>
      <c r="J541" s="7" t="str">
        <f t="shared" si="33"/>
        <v>Материал по ЕГРН</v>
      </c>
      <c r="K541" s="7">
        <f>VLOOKUP(J541,Лист2!A$2:B$4,2,FALSE)</f>
        <v>792</v>
      </c>
      <c r="L541" s="7" t="str">
        <f t="shared" si="34"/>
        <v>ГОТОВ_ИЗМЕНЕН</v>
      </c>
      <c r="M541" s="7">
        <f t="shared" si="35"/>
        <v>0</v>
      </c>
    </row>
    <row r="542" spans="1:13" x14ac:dyDescent="0.25">
      <c r="A542" s="1">
        <v>945416</v>
      </c>
      <c r="B542" s="6" t="s">
        <v>624</v>
      </c>
      <c r="F542" s="6" t="s">
        <v>9</v>
      </c>
      <c r="G542" s="6" t="s">
        <v>59</v>
      </c>
      <c r="H542" s="9" t="s">
        <v>60</v>
      </c>
      <c r="I542" s="7" t="str">
        <f t="shared" si="32"/>
        <v>61001001001</v>
      </c>
      <c r="J542" s="7" t="str">
        <f t="shared" si="33"/>
        <v>Материал по ЕГРН</v>
      </c>
      <c r="K542" s="7">
        <f>VLOOKUP(J542,Лист2!A$2:B$4,2,FALSE)</f>
        <v>792</v>
      </c>
      <c r="L542" s="7" t="str">
        <f t="shared" si="34"/>
        <v>ГОТОВ_ИЗМЕНЕН</v>
      </c>
      <c r="M542" s="7">
        <f t="shared" si="35"/>
        <v>0</v>
      </c>
    </row>
    <row r="543" spans="1:13" x14ac:dyDescent="0.25">
      <c r="A543" s="1">
        <v>945428</v>
      </c>
      <c r="B543" s="6" t="s">
        <v>625</v>
      </c>
      <c r="F543" s="6" t="s">
        <v>9</v>
      </c>
      <c r="G543" s="6" t="s">
        <v>34</v>
      </c>
      <c r="H543" s="9" t="s">
        <v>35</v>
      </c>
      <c r="I543" s="7" t="str">
        <f t="shared" si="32"/>
        <v>61001002000</v>
      </c>
      <c r="J543" s="7" t="str">
        <f t="shared" si="33"/>
        <v>Материал по ЕГРН</v>
      </c>
      <c r="K543" s="7">
        <f>VLOOKUP(J543,Лист2!A$2:B$4,2,FALSE)</f>
        <v>792</v>
      </c>
      <c r="L543" s="7" t="str">
        <f t="shared" si="34"/>
        <v>ГОТОВ_ИЗМЕНЕН</v>
      </c>
      <c r="M543" s="7">
        <f t="shared" si="35"/>
        <v>0</v>
      </c>
    </row>
    <row r="544" spans="1:13" x14ac:dyDescent="0.25">
      <c r="A544" s="1">
        <v>945440</v>
      </c>
      <c r="B544" s="6" t="s">
        <v>626</v>
      </c>
      <c r="F544" s="6" t="s">
        <v>9</v>
      </c>
      <c r="G544" s="6" t="s">
        <v>62</v>
      </c>
      <c r="H544" s="9" t="s">
        <v>63</v>
      </c>
      <c r="I544" s="7" t="str">
        <f t="shared" si="32"/>
        <v>61001006002</v>
      </c>
      <c r="J544" s="7" t="str">
        <f t="shared" si="33"/>
        <v>Материал по ЕГРН</v>
      </c>
      <c r="K544" s="7">
        <f>VLOOKUP(J544,Лист2!A$2:B$4,2,FALSE)</f>
        <v>792</v>
      </c>
      <c r="L544" s="7" t="str">
        <f t="shared" si="34"/>
        <v>ГОТОВ_ИЗМЕНЕН</v>
      </c>
      <c r="M544" s="7">
        <f t="shared" si="35"/>
        <v>0</v>
      </c>
    </row>
    <row r="545" spans="1:13" x14ac:dyDescent="0.25">
      <c r="A545" s="1">
        <v>945452</v>
      </c>
      <c r="B545" s="6" t="s">
        <v>627</v>
      </c>
      <c r="F545" s="6" t="s">
        <v>9</v>
      </c>
      <c r="G545" s="6" t="s">
        <v>38</v>
      </c>
      <c r="H545" s="9" t="s">
        <v>33</v>
      </c>
      <c r="I545" s="7" t="str">
        <f t="shared" si="32"/>
        <v>61001005000</v>
      </c>
      <c r="J545" s="7" t="str">
        <f t="shared" si="33"/>
        <v>Материал по ЕГРН</v>
      </c>
      <c r="K545" s="7">
        <f>VLOOKUP(J545,Лист2!A$2:B$4,2,FALSE)</f>
        <v>792</v>
      </c>
      <c r="L545" s="7" t="str">
        <f t="shared" si="34"/>
        <v>ГОТОВ_ИЗМЕНЕН</v>
      </c>
      <c r="M545" s="7">
        <f t="shared" si="35"/>
        <v>0</v>
      </c>
    </row>
    <row r="546" spans="1:13" x14ac:dyDescent="0.25">
      <c r="A546" s="1">
        <v>945464</v>
      </c>
      <c r="B546" s="6" t="s">
        <v>628</v>
      </c>
      <c r="F546" s="6" t="s">
        <v>9</v>
      </c>
      <c r="G546" s="6" t="s">
        <v>629</v>
      </c>
      <c r="H546" s="9" t="s">
        <v>630</v>
      </c>
      <c r="I546" s="7" t="str">
        <f t="shared" si="32"/>
        <v>61001003000</v>
      </c>
      <c r="J546" s="7" t="str">
        <f t="shared" si="33"/>
        <v>Смешанные по допущению</v>
      </c>
      <c r="K546" s="7">
        <f>VLOOKUP(J546,Лист2!A$2:B$4,2,FALSE)</f>
        <v>793</v>
      </c>
      <c r="L546" s="7" t="str">
        <f t="shared" si="34"/>
        <v>ГОТОВ_ИЗМЕНЕН</v>
      </c>
      <c r="M546" s="7">
        <f t="shared" si="35"/>
        <v>0</v>
      </c>
    </row>
    <row r="547" spans="1:13" x14ac:dyDescent="0.25">
      <c r="A547" s="1">
        <v>945476</v>
      </c>
      <c r="B547" s="6" t="s">
        <v>631</v>
      </c>
      <c r="F547" s="6" t="s">
        <v>9</v>
      </c>
      <c r="G547" s="6" t="s">
        <v>38</v>
      </c>
      <c r="H547" s="9" t="s">
        <v>33</v>
      </c>
      <c r="I547" s="7" t="str">
        <f t="shared" si="32"/>
        <v>61001005000</v>
      </c>
      <c r="J547" s="7" t="str">
        <f t="shared" si="33"/>
        <v>Материал по ЕГРН</v>
      </c>
      <c r="K547" s="7">
        <f>VLOOKUP(J547,Лист2!A$2:B$4,2,FALSE)</f>
        <v>792</v>
      </c>
      <c r="L547" s="7" t="str">
        <f t="shared" si="34"/>
        <v>ГОТОВ_ИЗМЕНЕН</v>
      </c>
      <c r="M547" s="7">
        <f t="shared" si="35"/>
        <v>0</v>
      </c>
    </row>
    <row r="548" spans="1:13" x14ac:dyDescent="0.25">
      <c r="A548" s="1">
        <v>945488</v>
      </c>
      <c r="B548" s="6" t="s">
        <v>632</v>
      </c>
      <c r="F548" s="6" t="s">
        <v>9</v>
      </c>
      <c r="G548" s="6" t="s">
        <v>62</v>
      </c>
      <c r="H548" s="9" t="s">
        <v>63</v>
      </c>
      <c r="I548" s="7" t="str">
        <f t="shared" si="32"/>
        <v>61001006002</v>
      </c>
      <c r="J548" s="7" t="str">
        <f t="shared" si="33"/>
        <v>Материал по ЕГРН</v>
      </c>
      <c r="K548" s="7">
        <f>VLOOKUP(J548,Лист2!A$2:B$4,2,FALSE)</f>
        <v>792</v>
      </c>
      <c r="L548" s="7" t="str">
        <f t="shared" si="34"/>
        <v>ГОТОВ_ИЗМЕНЕН</v>
      </c>
      <c r="M548" s="7">
        <f t="shared" si="35"/>
        <v>0</v>
      </c>
    </row>
    <row r="549" spans="1:13" x14ac:dyDescent="0.25">
      <c r="A549" s="1">
        <v>200502</v>
      </c>
      <c r="B549" s="6" t="s">
        <v>633</v>
      </c>
      <c r="C549" s="9" t="s">
        <v>33</v>
      </c>
      <c r="D549" s="6" t="s">
        <v>20</v>
      </c>
      <c r="E549" s="6" t="s">
        <v>37</v>
      </c>
      <c r="F549" s="6" t="s">
        <v>9</v>
      </c>
      <c r="G549" s="6" t="s">
        <v>38</v>
      </c>
      <c r="H549" s="9" t="s">
        <v>33</v>
      </c>
      <c r="I549" s="7" t="str">
        <f t="shared" si="32"/>
        <v>61001005000</v>
      </c>
      <c r="J549" s="7" t="str">
        <f t="shared" si="33"/>
        <v>Материал по ЕГРН</v>
      </c>
      <c r="K549" s="7">
        <f>VLOOKUP(J549,Лист2!A$2:B$4,2,FALSE)</f>
        <v>792</v>
      </c>
      <c r="L549" s="7" t="str">
        <f t="shared" si="34"/>
        <v>ГОТОВ</v>
      </c>
      <c r="M549" s="7" t="str">
        <f t="shared" si="35"/>
        <v>61001005000</v>
      </c>
    </row>
    <row r="550" spans="1:13" x14ac:dyDescent="0.25">
      <c r="A550" s="1">
        <v>368206</v>
      </c>
      <c r="B550" s="6" t="s">
        <v>634</v>
      </c>
      <c r="C550" s="9" t="s">
        <v>35</v>
      </c>
      <c r="D550" s="6" t="s">
        <v>20</v>
      </c>
      <c r="E550" s="6" t="s">
        <v>37</v>
      </c>
      <c r="F550" s="6" t="s">
        <v>9</v>
      </c>
      <c r="G550" s="6" t="s">
        <v>34</v>
      </c>
      <c r="H550" s="9" t="s">
        <v>35</v>
      </c>
      <c r="I550" s="7" t="str">
        <f t="shared" si="32"/>
        <v>61001002000</v>
      </c>
      <c r="J550" s="7" t="str">
        <f t="shared" si="33"/>
        <v>Материал по ЕГРН</v>
      </c>
      <c r="K550" s="7">
        <f>VLOOKUP(J550,Лист2!A$2:B$4,2,FALSE)</f>
        <v>792</v>
      </c>
      <c r="L550" s="7" t="str">
        <f t="shared" si="34"/>
        <v>ГОТОВ</v>
      </c>
      <c r="M550" s="7" t="str">
        <f t="shared" si="35"/>
        <v>61001002000</v>
      </c>
    </row>
    <row r="551" spans="1:13" x14ac:dyDescent="0.25">
      <c r="A551" s="1">
        <v>787837</v>
      </c>
      <c r="B551" s="6" t="s">
        <v>635</v>
      </c>
      <c r="C551" s="9" t="s">
        <v>33</v>
      </c>
      <c r="D551" s="6" t="s">
        <v>20</v>
      </c>
      <c r="E551" s="6" t="s">
        <v>37</v>
      </c>
      <c r="F551" s="6" t="s">
        <v>9</v>
      </c>
      <c r="G551" s="6" t="s">
        <v>38</v>
      </c>
      <c r="H551" s="9" t="s">
        <v>33</v>
      </c>
      <c r="I551" s="7" t="str">
        <f t="shared" si="32"/>
        <v>61001005000</v>
      </c>
      <c r="J551" s="7" t="str">
        <f t="shared" si="33"/>
        <v>Материал по ЕГРН</v>
      </c>
      <c r="K551" s="7">
        <f>VLOOKUP(J551,Лист2!A$2:B$4,2,FALSE)</f>
        <v>792</v>
      </c>
      <c r="L551" s="7" t="str">
        <f t="shared" si="34"/>
        <v>ГОТОВ</v>
      </c>
      <c r="M551" s="7" t="str">
        <f t="shared" si="35"/>
        <v>61001005000</v>
      </c>
    </row>
    <row r="552" spans="1:13" x14ac:dyDescent="0.25">
      <c r="A552" s="1">
        <v>943621</v>
      </c>
      <c r="B552" s="6" t="s">
        <v>636</v>
      </c>
      <c r="F552" s="6" t="s">
        <v>9</v>
      </c>
      <c r="G552" s="6" t="s">
        <v>38</v>
      </c>
      <c r="H552" s="9" t="s">
        <v>33</v>
      </c>
      <c r="I552" s="7" t="str">
        <f t="shared" si="32"/>
        <v>61001005000</v>
      </c>
      <c r="J552" s="7" t="str">
        <f t="shared" si="33"/>
        <v>Материал по ЕГРН</v>
      </c>
      <c r="K552" s="7">
        <f>VLOOKUP(J552,Лист2!A$2:B$4,2,FALSE)</f>
        <v>792</v>
      </c>
      <c r="L552" s="7" t="str">
        <f t="shared" si="34"/>
        <v>ГОТОВ_ИЗМЕНЕН</v>
      </c>
      <c r="M552" s="7">
        <f t="shared" si="35"/>
        <v>0</v>
      </c>
    </row>
    <row r="553" spans="1:13" x14ac:dyDescent="0.25">
      <c r="A553" s="1">
        <v>943633</v>
      </c>
      <c r="B553" s="6" t="s">
        <v>637</v>
      </c>
      <c r="F553" s="6" t="s">
        <v>9</v>
      </c>
      <c r="G553" s="6" t="s">
        <v>59</v>
      </c>
      <c r="H553" s="9" t="s">
        <v>60</v>
      </c>
      <c r="I553" s="7" t="str">
        <f t="shared" si="32"/>
        <v>61001001001</v>
      </c>
      <c r="J553" s="7" t="str">
        <f t="shared" si="33"/>
        <v>Материал по ЕГРН</v>
      </c>
      <c r="K553" s="7">
        <f>VLOOKUP(J553,Лист2!A$2:B$4,2,FALSE)</f>
        <v>792</v>
      </c>
      <c r="L553" s="7" t="str">
        <f t="shared" si="34"/>
        <v>ГОТОВ_ИЗМЕНЕН</v>
      </c>
      <c r="M553" s="7">
        <f t="shared" si="35"/>
        <v>0</v>
      </c>
    </row>
    <row r="554" spans="1:13" x14ac:dyDescent="0.25">
      <c r="A554" s="1">
        <v>943645</v>
      </c>
      <c r="B554" s="6" t="s">
        <v>638</v>
      </c>
      <c r="F554" s="6" t="s">
        <v>9</v>
      </c>
      <c r="G554" s="6" t="s">
        <v>38</v>
      </c>
      <c r="H554" s="9" t="s">
        <v>33</v>
      </c>
      <c r="I554" s="7" t="str">
        <f t="shared" si="32"/>
        <v>61001005000</v>
      </c>
      <c r="J554" s="7" t="str">
        <f t="shared" si="33"/>
        <v>Материал по ЕГРН</v>
      </c>
      <c r="K554" s="7">
        <f>VLOOKUP(J554,Лист2!A$2:B$4,2,FALSE)</f>
        <v>792</v>
      </c>
      <c r="L554" s="7" t="str">
        <f t="shared" si="34"/>
        <v>ГОТОВ_ИЗМЕНЕН</v>
      </c>
      <c r="M554" s="7">
        <f t="shared" si="35"/>
        <v>0</v>
      </c>
    </row>
    <row r="555" spans="1:13" x14ac:dyDescent="0.25">
      <c r="A555" s="1">
        <v>943657</v>
      </c>
      <c r="B555" s="6" t="s">
        <v>639</v>
      </c>
      <c r="F555" s="6" t="s">
        <v>9</v>
      </c>
      <c r="G555" s="6" t="s">
        <v>38</v>
      </c>
      <c r="H555" s="9" t="s">
        <v>33</v>
      </c>
      <c r="I555" s="7" t="str">
        <f t="shared" si="32"/>
        <v>61001005000</v>
      </c>
      <c r="J555" s="7" t="str">
        <f t="shared" si="33"/>
        <v>Материал по ЕГРН</v>
      </c>
      <c r="K555" s="7">
        <f>VLOOKUP(J555,Лист2!A$2:B$4,2,FALSE)</f>
        <v>792</v>
      </c>
      <c r="L555" s="7" t="str">
        <f t="shared" si="34"/>
        <v>ГОТОВ_ИЗМЕНЕН</v>
      </c>
      <c r="M555" s="7">
        <f t="shared" si="35"/>
        <v>0</v>
      </c>
    </row>
    <row r="556" spans="1:13" x14ac:dyDescent="0.25">
      <c r="A556" s="1">
        <v>943669</v>
      </c>
      <c r="B556" s="6" t="s">
        <v>640</v>
      </c>
      <c r="F556" s="6" t="s">
        <v>9</v>
      </c>
      <c r="G556" s="6" t="s">
        <v>34</v>
      </c>
      <c r="H556" s="9" t="s">
        <v>35</v>
      </c>
      <c r="I556" s="7" t="str">
        <f t="shared" si="32"/>
        <v>61001002000</v>
      </c>
      <c r="J556" s="7" t="str">
        <f t="shared" si="33"/>
        <v>Материал по ЕГРН</v>
      </c>
      <c r="K556" s="7">
        <f>VLOOKUP(J556,Лист2!A$2:B$4,2,FALSE)</f>
        <v>792</v>
      </c>
      <c r="L556" s="7" t="str">
        <f t="shared" si="34"/>
        <v>ГОТОВ_ИЗМЕНЕН</v>
      </c>
      <c r="M556" s="7">
        <f t="shared" si="35"/>
        <v>0</v>
      </c>
    </row>
    <row r="557" spans="1:13" x14ac:dyDescent="0.25">
      <c r="A557" s="1">
        <v>943681</v>
      </c>
      <c r="B557" s="6" t="s">
        <v>641</v>
      </c>
      <c r="F557" s="6" t="s">
        <v>9</v>
      </c>
      <c r="G557" s="6" t="s">
        <v>38</v>
      </c>
      <c r="H557" s="9" t="s">
        <v>33</v>
      </c>
      <c r="I557" s="7" t="str">
        <f t="shared" si="32"/>
        <v>61001005000</v>
      </c>
      <c r="J557" s="7" t="str">
        <f t="shared" si="33"/>
        <v>Материал по ЕГРН</v>
      </c>
      <c r="K557" s="7">
        <f>VLOOKUP(J557,Лист2!A$2:B$4,2,FALSE)</f>
        <v>792</v>
      </c>
      <c r="L557" s="7" t="str">
        <f t="shared" si="34"/>
        <v>ГОТОВ_ИЗМЕНЕН</v>
      </c>
      <c r="M557" s="7">
        <f t="shared" si="35"/>
        <v>0</v>
      </c>
    </row>
    <row r="558" spans="1:13" x14ac:dyDescent="0.25">
      <c r="A558" s="1">
        <v>943693</v>
      </c>
      <c r="B558" s="6" t="s">
        <v>642</v>
      </c>
      <c r="F558" s="6" t="s">
        <v>9</v>
      </c>
      <c r="G558" s="6" t="s">
        <v>43</v>
      </c>
      <c r="H558" s="9" t="s">
        <v>42</v>
      </c>
      <c r="I558" s="7" t="str">
        <f t="shared" si="32"/>
        <v>61001002001</v>
      </c>
      <c r="J558" s="7" t="str">
        <f t="shared" si="33"/>
        <v>Материал по ЕГРН</v>
      </c>
      <c r="K558" s="7">
        <f>VLOOKUP(J558,Лист2!A$2:B$4,2,FALSE)</f>
        <v>792</v>
      </c>
      <c r="L558" s="7" t="str">
        <f t="shared" si="34"/>
        <v>ГОТОВ_ИЗМЕНЕН</v>
      </c>
      <c r="M558" s="7">
        <f t="shared" si="35"/>
        <v>0</v>
      </c>
    </row>
    <row r="559" spans="1:13" x14ac:dyDescent="0.25">
      <c r="A559" s="1">
        <v>943705</v>
      </c>
      <c r="B559" s="6" t="s">
        <v>643</v>
      </c>
      <c r="F559" s="6" t="s">
        <v>9</v>
      </c>
      <c r="G559" s="6" t="s">
        <v>34</v>
      </c>
      <c r="H559" s="9" t="s">
        <v>35</v>
      </c>
      <c r="I559" s="7" t="str">
        <f t="shared" si="32"/>
        <v>61001002000</v>
      </c>
      <c r="J559" s="7" t="str">
        <f t="shared" si="33"/>
        <v>Материал по ЕГРН</v>
      </c>
      <c r="K559" s="7">
        <f>VLOOKUP(J559,Лист2!A$2:B$4,2,FALSE)</f>
        <v>792</v>
      </c>
      <c r="L559" s="7" t="str">
        <f t="shared" si="34"/>
        <v>ГОТОВ_ИЗМЕНЕН</v>
      </c>
      <c r="M559" s="7">
        <f t="shared" si="35"/>
        <v>0</v>
      </c>
    </row>
    <row r="560" spans="1:13" x14ac:dyDescent="0.25">
      <c r="A560" s="1">
        <v>943717</v>
      </c>
      <c r="B560" s="6" t="s">
        <v>644</v>
      </c>
      <c r="F560" s="6" t="s">
        <v>9</v>
      </c>
      <c r="G560" s="6" t="s">
        <v>170</v>
      </c>
      <c r="H560" s="9" t="s">
        <v>171</v>
      </c>
      <c r="I560" s="7" t="str">
        <f t="shared" si="32"/>
        <v>61001001000</v>
      </c>
      <c r="J560" s="7" t="str">
        <f t="shared" si="33"/>
        <v>Материал по ЕГРН</v>
      </c>
      <c r="K560" s="7">
        <f>VLOOKUP(J560,Лист2!A$2:B$4,2,FALSE)</f>
        <v>792</v>
      </c>
      <c r="L560" s="7" t="str">
        <f t="shared" si="34"/>
        <v>ГОТОВ_ИЗМЕНЕН</v>
      </c>
      <c r="M560" s="7">
        <f t="shared" si="35"/>
        <v>0</v>
      </c>
    </row>
    <row r="561" spans="1:13" x14ac:dyDescent="0.25">
      <c r="A561" s="1">
        <v>943729</v>
      </c>
      <c r="B561" s="6" t="s">
        <v>645</v>
      </c>
      <c r="F561" s="6" t="s">
        <v>9</v>
      </c>
      <c r="G561" s="6" t="s">
        <v>34</v>
      </c>
      <c r="H561" s="9" t="s">
        <v>35</v>
      </c>
      <c r="I561" s="7" t="str">
        <f t="shared" si="32"/>
        <v>61001002000</v>
      </c>
      <c r="J561" s="7" t="str">
        <f t="shared" si="33"/>
        <v>Материал по ЕГРН</v>
      </c>
      <c r="K561" s="7">
        <f>VLOOKUP(J561,Лист2!A$2:B$4,2,FALSE)</f>
        <v>792</v>
      </c>
      <c r="L561" s="7" t="str">
        <f t="shared" si="34"/>
        <v>ГОТОВ_ИЗМЕНЕН</v>
      </c>
      <c r="M561" s="7">
        <f t="shared" si="35"/>
        <v>0</v>
      </c>
    </row>
    <row r="562" spans="1:13" x14ac:dyDescent="0.25">
      <c r="A562" s="1">
        <v>943741</v>
      </c>
      <c r="B562" s="6" t="s">
        <v>646</v>
      </c>
      <c r="F562" s="6" t="s">
        <v>9</v>
      </c>
      <c r="G562" s="6" t="s">
        <v>38</v>
      </c>
      <c r="H562" s="9" t="s">
        <v>33</v>
      </c>
      <c r="I562" s="7" t="str">
        <f t="shared" si="32"/>
        <v>61001005000</v>
      </c>
      <c r="J562" s="7" t="str">
        <f t="shared" si="33"/>
        <v>Материал по ЕГРН</v>
      </c>
      <c r="K562" s="7">
        <f>VLOOKUP(J562,Лист2!A$2:B$4,2,FALSE)</f>
        <v>792</v>
      </c>
      <c r="L562" s="7" t="str">
        <f t="shared" si="34"/>
        <v>ГОТОВ_ИЗМЕНЕН</v>
      </c>
      <c r="M562" s="7">
        <f t="shared" si="35"/>
        <v>0</v>
      </c>
    </row>
    <row r="563" spans="1:13" x14ac:dyDescent="0.25">
      <c r="A563" s="1">
        <v>943753</v>
      </c>
      <c r="B563" s="6" t="s">
        <v>647</v>
      </c>
      <c r="F563" s="6" t="s">
        <v>9</v>
      </c>
      <c r="G563" s="6" t="s">
        <v>73</v>
      </c>
      <c r="H563" s="9" t="s">
        <v>74</v>
      </c>
      <c r="I563" s="7" t="str">
        <f t="shared" si="32"/>
        <v>61001006000</v>
      </c>
      <c r="J563" s="7" t="str">
        <f t="shared" si="33"/>
        <v>Материал по ЕГРН</v>
      </c>
      <c r="K563" s="7">
        <f>VLOOKUP(J563,Лист2!A$2:B$4,2,FALSE)</f>
        <v>792</v>
      </c>
      <c r="L563" s="7" t="str">
        <f t="shared" si="34"/>
        <v>ГОТОВ_ИЗМЕНЕН</v>
      </c>
      <c r="M563" s="7">
        <f t="shared" si="35"/>
        <v>0</v>
      </c>
    </row>
    <row r="564" spans="1:13" x14ac:dyDescent="0.25">
      <c r="A564" s="1">
        <v>943765</v>
      </c>
      <c r="B564" s="6" t="s">
        <v>648</v>
      </c>
      <c r="F564" s="6" t="s">
        <v>9</v>
      </c>
      <c r="G564" s="6" t="s">
        <v>38</v>
      </c>
      <c r="H564" s="9" t="s">
        <v>33</v>
      </c>
      <c r="I564" s="7" t="str">
        <f t="shared" si="32"/>
        <v>61001005000</v>
      </c>
      <c r="J564" s="7" t="str">
        <f t="shared" si="33"/>
        <v>Материал по ЕГРН</v>
      </c>
      <c r="K564" s="7">
        <f>VLOOKUP(J564,Лист2!A$2:B$4,2,FALSE)</f>
        <v>792</v>
      </c>
      <c r="L564" s="7" t="str">
        <f t="shared" si="34"/>
        <v>ГОТОВ_ИЗМЕНЕН</v>
      </c>
      <c r="M564" s="7">
        <f t="shared" si="35"/>
        <v>0</v>
      </c>
    </row>
    <row r="565" spans="1:13" x14ac:dyDescent="0.25">
      <c r="A565" s="1">
        <v>943777</v>
      </c>
      <c r="B565" s="6" t="s">
        <v>649</v>
      </c>
      <c r="F565" s="6" t="s">
        <v>9</v>
      </c>
      <c r="G565" s="6" t="s">
        <v>59</v>
      </c>
      <c r="H565" s="9" t="s">
        <v>60</v>
      </c>
      <c r="I565" s="7" t="str">
        <f t="shared" si="32"/>
        <v>61001001001</v>
      </c>
      <c r="J565" s="7" t="str">
        <f t="shared" si="33"/>
        <v>Материал по ЕГРН</v>
      </c>
      <c r="K565" s="7">
        <f>VLOOKUP(J565,Лист2!A$2:B$4,2,FALSE)</f>
        <v>792</v>
      </c>
      <c r="L565" s="7" t="str">
        <f t="shared" si="34"/>
        <v>ГОТОВ_ИЗМЕНЕН</v>
      </c>
      <c r="M565" s="7">
        <f t="shared" si="35"/>
        <v>0</v>
      </c>
    </row>
    <row r="566" spans="1:13" x14ac:dyDescent="0.25">
      <c r="A566" s="1">
        <v>943789</v>
      </c>
      <c r="B566" s="6" t="s">
        <v>650</v>
      </c>
      <c r="F566" s="6" t="s">
        <v>9</v>
      </c>
      <c r="G566" s="6" t="s">
        <v>38</v>
      </c>
      <c r="H566" s="9" t="s">
        <v>33</v>
      </c>
      <c r="I566" s="7" t="str">
        <f t="shared" si="32"/>
        <v>61001005000</v>
      </c>
      <c r="J566" s="7" t="str">
        <f t="shared" si="33"/>
        <v>Материал по ЕГРН</v>
      </c>
      <c r="K566" s="7">
        <f>VLOOKUP(J566,Лист2!A$2:B$4,2,FALSE)</f>
        <v>792</v>
      </c>
      <c r="L566" s="7" t="str">
        <f t="shared" si="34"/>
        <v>ГОТОВ_ИЗМЕНЕН</v>
      </c>
      <c r="M566" s="7">
        <f t="shared" si="35"/>
        <v>0</v>
      </c>
    </row>
    <row r="567" spans="1:13" x14ac:dyDescent="0.25">
      <c r="A567" s="1">
        <v>943801</v>
      </c>
      <c r="B567" s="6" t="s">
        <v>651</v>
      </c>
      <c r="F567" s="6" t="s">
        <v>9</v>
      </c>
      <c r="G567" s="6" t="s">
        <v>38</v>
      </c>
      <c r="H567" s="9" t="s">
        <v>33</v>
      </c>
      <c r="I567" s="7" t="str">
        <f t="shared" si="32"/>
        <v>61001005000</v>
      </c>
      <c r="J567" s="7" t="str">
        <f t="shared" si="33"/>
        <v>Материал по ЕГРН</v>
      </c>
      <c r="K567" s="7">
        <f>VLOOKUP(J567,Лист2!A$2:B$4,2,FALSE)</f>
        <v>792</v>
      </c>
      <c r="L567" s="7" t="str">
        <f t="shared" si="34"/>
        <v>ГОТОВ_ИЗМЕНЕН</v>
      </c>
      <c r="M567" s="7">
        <f t="shared" si="35"/>
        <v>0</v>
      </c>
    </row>
    <row r="568" spans="1:13" x14ac:dyDescent="0.25">
      <c r="A568" s="1">
        <v>943813</v>
      </c>
      <c r="B568" s="6" t="s">
        <v>652</v>
      </c>
      <c r="F568" s="6" t="s">
        <v>9</v>
      </c>
      <c r="G568" s="6" t="s">
        <v>86</v>
      </c>
      <c r="H568" s="9" t="s">
        <v>87</v>
      </c>
      <c r="I568" s="7" t="str">
        <f t="shared" si="32"/>
        <v>61001003000</v>
      </c>
      <c r="J568" s="7" t="str">
        <f t="shared" si="33"/>
        <v>Смешанные по допущению</v>
      </c>
      <c r="K568" s="7">
        <f>VLOOKUP(J568,Лист2!A$2:B$4,2,FALSE)</f>
        <v>793</v>
      </c>
      <c r="L568" s="7" t="str">
        <f t="shared" si="34"/>
        <v>ГОТОВ_ИЗМЕНЕН</v>
      </c>
      <c r="M568" s="7">
        <f t="shared" si="35"/>
        <v>0</v>
      </c>
    </row>
    <row r="569" spans="1:13" x14ac:dyDescent="0.25">
      <c r="A569" s="1">
        <v>943825</v>
      </c>
      <c r="B569" s="6" t="s">
        <v>653</v>
      </c>
      <c r="F569" s="6" t="s">
        <v>9</v>
      </c>
      <c r="G569" s="6" t="s">
        <v>38</v>
      </c>
      <c r="H569" s="9" t="s">
        <v>33</v>
      </c>
      <c r="I569" s="7" t="str">
        <f t="shared" si="32"/>
        <v>61001005000</v>
      </c>
      <c r="J569" s="7" t="str">
        <f t="shared" si="33"/>
        <v>Материал по ЕГРН</v>
      </c>
      <c r="K569" s="7">
        <f>VLOOKUP(J569,Лист2!A$2:B$4,2,FALSE)</f>
        <v>792</v>
      </c>
      <c r="L569" s="7" t="str">
        <f t="shared" si="34"/>
        <v>ГОТОВ_ИЗМЕНЕН</v>
      </c>
      <c r="M569" s="7">
        <f t="shared" si="35"/>
        <v>0</v>
      </c>
    </row>
    <row r="570" spans="1:13" x14ac:dyDescent="0.25">
      <c r="A570" s="1">
        <v>943837</v>
      </c>
      <c r="B570" s="6" t="s">
        <v>654</v>
      </c>
      <c r="F570" s="6" t="s">
        <v>9</v>
      </c>
      <c r="G570" s="6" t="s">
        <v>10</v>
      </c>
      <c r="H570" s="9" t="s">
        <v>11</v>
      </c>
      <c r="I570" s="7" t="str">
        <f t="shared" si="32"/>
        <v>61001003000</v>
      </c>
      <c r="J570" s="7" t="str">
        <f t="shared" si="33"/>
        <v>Материал по ЕГРН</v>
      </c>
      <c r="K570" s="7">
        <f>VLOOKUP(J570,Лист2!A$2:B$4,2,FALSE)</f>
        <v>792</v>
      </c>
      <c r="L570" s="7" t="str">
        <f t="shared" si="34"/>
        <v>ГОТОВ_ИЗМЕНЕН</v>
      </c>
      <c r="M570" s="7">
        <f t="shared" si="35"/>
        <v>0</v>
      </c>
    </row>
    <row r="571" spans="1:13" x14ac:dyDescent="0.25">
      <c r="A571" s="1">
        <v>943849</v>
      </c>
      <c r="B571" s="6" t="s">
        <v>655</v>
      </c>
      <c r="F571" s="6" t="s">
        <v>9</v>
      </c>
      <c r="G571" s="6" t="s">
        <v>38</v>
      </c>
      <c r="H571" s="9" t="s">
        <v>33</v>
      </c>
      <c r="I571" s="7" t="str">
        <f t="shared" si="32"/>
        <v>61001005000</v>
      </c>
      <c r="J571" s="7" t="str">
        <f t="shared" si="33"/>
        <v>Материал по ЕГРН</v>
      </c>
      <c r="K571" s="7">
        <f>VLOOKUP(J571,Лист2!A$2:B$4,2,FALSE)</f>
        <v>792</v>
      </c>
      <c r="L571" s="7" t="str">
        <f t="shared" si="34"/>
        <v>ГОТОВ_ИЗМЕНЕН</v>
      </c>
      <c r="M571" s="7">
        <f t="shared" si="35"/>
        <v>0</v>
      </c>
    </row>
    <row r="572" spans="1:13" x14ac:dyDescent="0.25">
      <c r="A572" s="1">
        <v>943861</v>
      </c>
      <c r="B572" s="6" t="s">
        <v>656</v>
      </c>
      <c r="F572" s="6" t="s">
        <v>9</v>
      </c>
      <c r="G572" s="6" t="s">
        <v>38</v>
      </c>
      <c r="H572" s="9" t="s">
        <v>33</v>
      </c>
      <c r="I572" s="7" t="str">
        <f t="shared" si="32"/>
        <v>61001005000</v>
      </c>
      <c r="J572" s="7" t="str">
        <f t="shared" si="33"/>
        <v>Материал по ЕГРН</v>
      </c>
      <c r="K572" s="7">
        <f>VLOOKUP(J572,Лист2!A$2:B$4,2,FALSE)</f>
        <v>792</v>
      </c>
      <c r="L572" s="7" t="str">
        <f t="shared" si="34"/>
        <v>ГОТОВ_ИЗМЕНЕН</v>
      </c>
      <c r="M572" s="7">
        <f t="shared" si="35"/>
        <v>0</v>
      </c>
    </row>
    <row r="573" spans="1:13" x14ac:dyDescent="0.25">
      <c r="A573" s="1">
        <v>943873</v>
      </c>
      <c r="B573" s="6" t="s">
        <v>657</v>
      </c>
      <c r="F573" s="6" t="s">
        <v>9</v>
      </c>
      <c r="G573" s="6" t="s">
        <v>38</v>
      </c>
      <c r="H573" s="9" t="s">
        <v>33</v>
      </c>
      <c r="I573" s="7" t="str">
        <f t="shared" si="32"/>
        <v>61001005000</v>
      </c>
      <c r="J573" s="7" t="str">
        <f t="shared" si="33"/>
        <v>Материал по ЕГРН</v>
      </c>
      <c r="K573" s="7">
        <f>VLOOKUP(J573,Лист2!A$2:B$4,2,FALSE)</f>
        <v>792</v>
      </c>
      <c r="L573" s="7" t="str">
        <f t="shared" si="34"/>
        <v>ГОТОВ_ИЗМЕНЕН</v>
      </c>
      <c r="M573" s="7">
        <f t="shared" si="35"/>
        <v>0</v>
      </c>
    </row>
    <row r="574" spans="1:13" x14ac:dyDescent="0.25">
      <c r="A574" s="1">
        <v>943885</v>
      </c>
      <c r="B574" s="6" t="s">
        <v>658</v>
      </c>
      <c r="F574" s="6" t="s">
        <v>9</v>
      </c>
      <c r="G574" s="6" t="s">
        <v>38</v>
      </c>
      <c r="H574" s="9" t="s">
        <v>33</v>
      </c>
      <c r="I574" s="7" t="str">
        <f t="shared" si="32"/>
        <v>61001005000</v>
      </c>
      <c r="J574" s="7" t="str">
        <f t="shared" si="33"/>
        <v>Материал по ЕГРН</v>
      </c>
      <c r="K574" s="7">
        <f>VLOOKUP(J574,Лист2!A$2:B$4,2,FALSE)</f>
        <v>792</v>
      </c>
      <c r="L574" s="7" t="str">
        <f t="shared" si="34"/>
        <v>ГОТОВ_ИЗМЕНЕН</v>
      </c>
      <c r="M574" s="7">
        <f t="shared" si="35"/>
        <v>0</v>
      </c>
    </row>
    <row r="575" spans="1:13" x14ac:dyDescent="0.25">
      <c r="A575" s="1">
        <v>943897</v>
      </c>
      <c r="B575" s="6" t="s">
        <v>659</v>
      </c>
      <c r="F575" s="6" t="s">
        <v>9</v>
      </c>
      <c r="G575" s="6" t="s">
        <v>38</v>
      </c>
      <c r="H575" s="9" t="s">
        <v>33</v>
      </c>
      <c r="I575" s="7" t="str">
        <f t="shared" si="32"/>
        <v>61001005000</v>
      </c>
      <c r="J575" s="7" t="str">
        <f t="shared" si="33"/>
        <v>Материал по ЕГРН</v>
      </c>
      <c r="K575" s="7">
        <f>VLOOKUP(J575,Лист2!A$2:B$4,2,FALSE)</f>
        <v>792</v>
      </c>
      <c r="L575" s="7" t="str">
        <f t="shared" si="34"/>
        <v>ГОТОВ_ИЗМЕНЕН</v>
      </c>
      <c r="M575" s="7">
        <f t="shared" si="35"/>
        <v>0</v>
      </c>
    </row>
    <row r="576" spans="1:13" x14ac:dyDescent="0.25">
      <c r="A576" s="1">
        <v>943909</v>
      </c>
      <c r="B576" s="6" t="s">
        <v>660</v>
      </c>
      <c r="F576" s="6" t="s">
        <v>9</v>
      </c>
      <c r="G576" s="6" t="s">
        <v>90</v>
      </c>
      <c r="H576" s="9" t="s">
        <v>12</v>
      </c>
      <c r="I576" s="7" t="str">
        <f t="shared" si="32"/>
        <v>61001008000</v>
      </c>
      <c r="J576" s="7" t="str">
        <f t="shared" si="33"/>
        <v>Материал по ЕГРН</v>
      </c>
      <c r="K576" s="7">
        <f>VLOOKUP(J576,Лист2!A$2:B$4,2,FALSE)</f>
        <v>792</v>
      </c>
      <c r="L576" s="7" t="str">
        <f t="shared" si="34"/>
        <v>ГОТОВ_ИЗМЕНЕН</v>
      </c>
      <c r="M576" s="7">
        <f t="shared" si="35"/>
        <v>0</v>
      </c>
    </row>
    <row r="577" spans="1:13" x14ac:dyDescent="0.25">
      <c r="A577" s="1">
        <v>943921</v>
      </c>
      <c r="B577" s="6" t="s">
        <v>661</v>
      </c>
      <c r="F577" s="6" t="s">
        <v>9</v>
      </c>
      <c r="G577" s="6" t="s">
        <v>59</v>
      </c>
      <c r="H577" s="9" t="s">
        <v>60</v>
      </c>
      <c r="I577" s="7" t="str">
        <f t="shared" si="32"/>
        <v>61001001001</v>
      </c>
      <c r="J577" s="7" t="str">
        <f t="shared" si="33"/>
        <v>Материал по ЕГРН</v>
      </c>
      <c r="K577" s="7">
        <f>VLOOKUP(J577,Лист2!A$2:B$4,2,FALSE)</f>
        <v>792</v>
      </c>
      <c r="L577" s="7" t="str">
        <f t="shared" si="34"/>
        <v>ГОТОВ_ИЗМЕНЕН</v>
      </c>
      <c r="M577" s="7">
        <f t="shared" si="35"/>
        <v>0</v>
      </c>
    </row>
    <row r="578" spans="1:13" x14ac:dyDescent="0.25">
      <c r="A578" s="1">
        <v>943933</v>
      </c>
      <c r="B578" s="6" t="s">
        <v>662</v>
      </c>
      <c r="F578" s="6" t="s">
        <v>9</v>
      </c>
      <c r="G578" s="6" t="s">
        <v>62</v>
      </c>
      <c r="H578" s="9" t="s">
        <v>63</v>
      </c>
      <c r="I578" s="7" t="str">
        <f t="shared" si="32"/>
        <v>61001006002</v>
      </c>
      <c r="J578" s="7" t="str">
        <f t="shared" si="33"/>
        <v>Материал по ЕГРН</v>
      </c>
      <c r="K578" s="7">
        <f>VLOOKUP(J578,Лист2!A$2:B$4,2,FALSE)</f>
        <v>792</v>
      </c>
      <c r="L578" s="7" t="str">
        <f t="shared" si="34"/>
        <v>ГОТОВ_ИЗМЕНЕН</v>
      </c>
      <c r="M578" s="7">
        <f t="shared" si="35"/>
        <v>0</v>
      </c>
    </row>
    <row r="579" spans="1:13" x14ac:dyDescent="0.25">
      <c r="A579" s="1">
        <v>943945</v>
      </c>
      <c r="B579" s="6" t="s">
        <v>663</v>
      </c>
      <c r="F579" s="6" t="s">
        <v>9</v>
      </c>
      <c r="G579" s="6" t="s">
        <v>43</v>
      </c>
      <c r="H579" s="9" t="s">
        <v>42</v>
      </c>
      <c r="I579" s="7" t="str">
        <f t="shared" si="32"/>
        <v>61001002001</v>
      </c>
      <c r="J579" s="7" t="str">
        <f t="shared" si="33"/>
        <v>Материал по ЕГРН</v>
      </c>
      <c r="K579" s="7">
        <f>VLOOKUP(J579,Лист2!A$2:B$4,2,FALSE)</f>
        <v>792</v>
      </c>
      <c r="L579" s="7" t="str">
        <f t="shared" si="34"/>
        <v>ГОТОВ_ИЗМЕНЕН</v>
      </c>
      <c r="M579" s="7">
        <f t="shared" si="35"/>
        <v>0</v>
      </c>
    </row>
    <row r="580" spans="1:13" x14ac:dyDescent="0.25">
      <c r="A580" s="1">
        <v>189904</v>
      </c>
      <c r="B580" s="6" t="s">
        <v>664</v>
      </c>
      <c r="C580" s="9" t="s">
        <v>33</v>
      </c>
      <c r="D580" s="6" t="s">
        <v>20</v>
      </c>
      <c r="E580" s="6" t="s">
        <v>37</v>
      </c>
      <c r="F580" s="6" t="s">
        <v>9</v>
      </c>
      <c r="G580" s="6" t="s">
        <v>38</v>
      </c>
      <c r="H580" s="9" t="s">
        <v>33</v>
      </c>
      <c r="I580" s="7" t="str">
        <f t="shared" si="32"/>
        <v>61001005000</v>
      </c>
      <c r="J580" s="7" t="str">
        <f t="shared" si="33"/>
        <v>Материал по ЕГРН</v>
      </c>
      <c r="K580" s="7">
        <f>VLOOKUP(J580,Лист2!A$2:B$4,2,FALSE)</f>
        <v>792</v>
      </c>
      <c r="L580" s="7" t="str">
        <f t="shared" si="34"/>
        <v>ГОТОВ</v>
      </c>
      <c r="M580" s="7" t="str">
        <f t="shared" si="35"/>
        <v>61001005000</v>
      </c>
    </row>
    <row r="581" spans="1:13" x14ac:dyDescent="0.25">
      <c r="A581" s="1">
        <v>522725</v>
      </c>
      <c r="B581" s="6" t="s">
        <v>665</v>
      </c>
      <c r="C581" s="9" t="s">
        <v>33</v>
      </c>
      <c r="D581" s="6" t="s">
        <v>20</v>
      </c>
      <c r="E581" s="6" t="s">
        <v>37</v>
      </c>
      <c r="F581" s="6" t="s">
        <v>9</v>
      </c>
      <c r="G581" s="6" t="s">
        <v>38</v>
      </c>
      <c r="H581" s="9" t="s">
        <v>33</v>
      </c>
      <c r="I581" s="7" t="str">
        <f t="shared" ref="I581:I644" si="36">IF(LEN(H581)=11,H581,IF(LEN(H581)=0,"61001005000","61001003000"))</f>
        <v>61001005000</v>
      </c>
      <c r="J581" s="7" t="str">
        <f t="shared" ref="J581:J644" si="37">IF(LEN(H581)=11,"Материал по ЕГРН",IF(LEN(H581)=0,"Прочие по допущению","Смешанные по допущению"))</f>
        <v>Материал по ЕГРН</v>
      </c>
      <c r="K581" s="7">
        <f>VLOOKUP(J581,Лист2!A$2:B$4,2,FALSE)</f>
        <v>792</v>
      </c>
      <c r="L581" s="7" t="str">
        <f t="shared" ref="L581:L644" si="38">IF(I581=C581,"ГОТОВ","ГОТОВ_ИЗМЕНЕН")</f>
        <v>ГОТОВ</v>
      </c>
      <c r="M581" s="7" t="str">
        <f t="shared" ref="M581:M644" si="39">C581</f>
        <v>61001005000</v>
      </c>
    </row>
    <row r="582" spans="1:13" x14ac:dyDescent="0.25">
      <c r="A582" s="1">
        <v>532633</v>
      </c>
      <c r="B582" s="6" t="s">
        <v>666</v>
      </c>
      <c r="C582" s="9" t="s">
        <v>33</v>
      </c>
      <c r="D582" s="6" t="s">
        <v>20</v>
      </c>
      <c r="E582" s="6" t="s">
        <v>37</v>
      </c>
      <c r="F582" s="6" t="s">
        <v>9</v>
      </c>
      <c r="G582" s="6" t="s">
        <v>38</v>
      </c>
      <c r="H582" s="9" t="s">
        <v>33</v>
      </c>
      <c r="I582" s="7" t="str">
        <f t="shared" si="36"/>
        <v>61001005000</v>
      </c>
      <c r="J582" s="7" t="str">
        <f t="shared" si="37"/>
        <v>Материал по ЕГРН</v>
      </c>
      <c r="K582" s="7">
        <f>VLOOKUP(J582,Лист2!A$2:B$4,2,FALSE)</f>
        <v>792</v>
      </c>
      <c r="L582" s="7" t="str">
        <f t="shared" si="38"/>
        <v>ГОТОВ</v>
      </c>
      <c r="M582" s="7" t="str">
        <f t="shared" si="39"/>
        <v>61001005000</v>
      </c>
    </row>
    <row r="583" spans="1:13" x14ac:dyDescent="0.25">
      <c r="A583" s="1">
        <v>756837</v>
      </c>
      <c r="B583" s="6" t="s">
        <v>667</v>
      </c>
      <c r="C583" s="9" t="s">
        <v>33</v>
      </c>
      <c r="D583" s="6" t="s">
        <v>20</v>
      </c>
      <c r="E583" s="6" t="s">
        <v>8</v>
      </c>
      <c r="F583" s="6" t="s">
        <v>9</v>
      </c>
      <c r="G583" s="6" t="s">
        <v>34</v>
      </c>
      <c r="H583" s="9" t="s">
        <v>35</v>
      </c>
      <c r="I583" s="7" t="str">
        <f t="shared" si="36"/>
        <v>61001002000</v>
      </c>
      <c r="J583" s="7" t="str">
        <f t="shared" si="37"/>
        <v>Материал по ЕГРН</v>
      </c>
      <c r="K583" s="7">
        <f>VLOOKUP(J583,Лист2!A$2:B$4,2,FALSE)</f>
        <v>792</v>
      </c>
      <c r="L583" s="7" t="str">
        <f t="shared" si="38"/>
        <v>ГОТОВ_ИЗМЕНЕН</v>
      </c>
      <c r="M583" s="7" t="str">
        <f t="shared" si="39"/>
        <v>61001005000</v>
      </c>
    </row>
    <row r="584" spans="1:13" x14ac:dyDescent="0.25">
      <c r="A584" s="1">
        <v>943957</v>
      </c>
      <c r="B584" s="6" t="s">
        <v>668</v>
      </c>
      <c r="F584" s="6" t="s">
        <v>9</v>
      </c>
      <c r="G584" s="6" t="s">
        <v>34</v>
      </c>
      <c r="H584" s="9" t="s">
        <v>35</v>
      </c>
      <c r="I584" s="7" t="str">
        <f t="shared" si="36"/>
        <v>61001002000</v>
      </c>
      <c r="J584" s="7" t="str">
        <f t="shared" si="37"/>
        <v>Материал по ЕГРН</v>
      </c>
      <c r="K584" s="7">
        <f>VLOOKUP(J584,Лист2!A$2:B$4,2,FALSE)</f>
        <v>792</v>
      </c>
      <c r="L584" s="7" t="str">
        <f t="shared" si="38"/>
        <v>ГОТОВ_ИЗМЕНЕН</v>
      </c>
      <c r="M584" s="7">
        <f t="shared" si="39"/>
        <v>0</v>
      </c>
    </row>
    <row r="585" spans="1:13" x14ac:dyDescent="0.25">
      <c r="A585" s="1">
        <v>943969</v>
      </c>
      <c r="B585" s="6" t="s">
        <v>669</v>
      </c>
      <c r="F585" s="6" t="s">
        <v>9</v>
      </c>
      <c r="G585" s="6" t="s">
        <v>34</v>
      </c>
      <c r="H585" s="9" t="s">
        <v>35</v>
      </c>
      <c r="I585" s="7" t="str">
        <f t="shared" si="36"/>
        <v>61001002000</v>
      </c>
      <c r="J585" s="7" t="str">
        <f t="shared" si="37"/>
        <v>Материал по ЕГРН</v>
      </c>
      <c r="K585" s="7">
        <f>VLOOKUP(J585,Лист2!A$2:B$4,2,FALSE)</f>
        <v>792</v>
      </c>
      <c r="L585" s="7" t="str">
        <f t="shared" si="38"/>
        <v>ГОТОВ_ИЗМЕНЕН</v>
      </c>
      <c r="M585" s="7">
        <f t="shared" si="39"/>
        <v>0</v>
      </c>
    </row>
    <row r="586" spans="1:13" x14ac:dyDescent="0.25">
      <c r="A586" s="1">
        <v>943981</v>
      </c>
      <c r="B586" s="6" t="s">
        <v>670</v>
      </c>
      <c r="F586" s="6" t="s">
        <v>9</v>
      </c>
      <c r="G586" s="6" t="s">
        <v>34</v>
      </c>
      <c r="H586" s="9" t="s">
        <v>35</v>
      </c>
      <c r="I586" s="7" t="str">
        <f t="shared" si="36"/>
        <v>61001002000</v>
      </c>
      <c r="J586" s="7" t="str">
        <f t="shared" si="37"/>
        <v>Материал по ЕГРН</v>
      </c>
      <c r="K586" s="7">
        <f>VLOOKUP(J586,Лист2!A$2:B$4,2,FALSE)</f>
        <v>792</v>
      </c>
      <c r="L586" s="7" t="str">
        <f t="shared" si="38"/>
        <v>ГОТОВ_ИЗМЕНЕН</v>
      </c>
      <c r="M586" s="7">
        <f t="shared" si="39"/>
        <v>0</v>
      </c>
    </row>
    <row r="587" spans="1:13" x14ac:dyDescent="0.25">
      <c r="A587" s="1">
        <v>943993</v>
      </c>
      <c r="B587" s="6" t="s">
        <v>671</v>
      </c>
      <c r="F587" s="6" t="s">
        <v>9</v>
      </c>
      <c r="G587" s="6" t="s">
        <v>62</v>
      </c>
      <c r="H587" s="9" t="s">
        <v>63</v>
      </c>
      <c r="I587" s="7" t="str">
        <f t="shared" si="36"/>
        <v>61001006002</v>
      </c>
      <c r="J587" s="7" t="str">
        <f t="shared" si="37"/>
        <v>Материал по ЕГРН</v>
      </c>
      <c r="K587" s="7">
        <f>VLOOKUP(J587,Лист2!A$2:B$4,2,FALSE)</f>
        <v>792</v>
      </c>
      <c r="L587" s="7" t="str">
        <f t="shared" si="38"/>
        <v>ГОТОВ_ИЗМЕНЕН</v>
      </c>
      <c r="M587" s="7">
        <f t="shared" si="39"/>
        <v>0</v>
      </c>
    </row>
    <row r="588" spans="1:13" x14ac:dyDescent="0.25">
      <c r="A588" s="1">
        <v>944005</v>
      </c>
      <c r="B588" s="6" t="s">
        <v>672</v>
      </c>
      <c r="F588" s="6" t="s">
        <v>9</v>
      </c>
      <c r="G588" s="6" t="s">
        <v>38</v>
      </c>
      <c r="H588" s="9" t="s">
        <v>33</v>
      </c>
      <c r="I588" s="7" t="str">
        <f t="shared" si="36"/>
        <v>61001005000</v>
      </c>
      <c r="J588" s="7" t="str">
        <f t="shared" si="37"/>
        <v>Материал по ЕГРН</v>
      </c>
      <c r="K588" s="7">
        <f>VLOOKUP(J588,Лист2!A$2:B$4,2,FALSE)</f>
        <v>792</v>
      </c>
      <c r="L588" s="7" t="str">
        <f t="shared" si="38"/>
        <v>ГОТОВ_ИЗМЕНЕН</v>
      </c>
      <c r="M588" s="7">
        <f t="shared" si="39"/>
        <v>0</v>
      </c>
    </row>
    <row r="589" spans="1:13" x14ac:dyDescent="0.25">
      <c r="A589" s="1">
        <v>944017</v>
      </c>
      <c r="B589" s="6" t="s">
        <v>673</v>
      </c>
      <c r="F589" s="6" t="s">
        <v>9</v>
      </c>
      <c r="G589" s="6" t="s">
        <v>10</v>
      </c>
      <c r="H589" s="9" t="s">
        <v>11</v>
      </c>
      <c r="I589" s="7" t="str">
        <f t="shared" si="36"/>
        <v>61001003000</v>
      </c>
      <c r="J589" s="7" t="str">
        <f t="shared" si="37"/>
        <v>Материал по ЕГРН</v>
      </c>
      <c r="K589" s="7">
        <f>VLOOKUP(J589,Лист2!A$2:B$4,2,FALSE)</f>
        <v>792</v>
      </c>
      <c r="L589" s="7" t="str">
        <f t="shared" si="38"/>
        <v>ГОТОВ_ИЗМЕНЕН</v>
      </c>
      <c r="M589" s="7">
        <f t="shared" si="39"/>
        <v>0</v>
      </c>
    </row>
    <row r="590" spans="1:13" x14ac:dyDescent="0.25">
      <c r="A590" s="1">
        <v>944029</v>
      </c>
      <c r="B590" s="6" t="s">
        <v>674</v>
      </c>
      <c r="F590" s="6" t="s">
        <v>9</v>
      </c>
      <c r="G590" s="6" t="s">
        <v>34</v>
      </c>
      <c r="H590" s="9" t="s">
        <v>35</v>
      </c>
      <c r="I590" s="7" t="str">
        <f t="shared" si="36"/>
        <v>61001002000</v>
      </c>
      <c r="J590" s="7" t="str">
        <f t="shared" si="37"/>
        <v>Материал по ЕГРН</v>
      </c>
      <c r="K590" s="7">
        <f>VLOOKUP(J590,Лист2!A$2:B$4,2,FALSE)</f>
        <v>792</v>
      </c>
      <c r="L590" s="7" t="str">
        <f t="shared" si="38"/>
        <v>ГОТОВ_ИЗМЕНЕН</v>
      </c>
      <c r="M590" s="7">
        <f t="shared" si="39"/>
        <v>0</v>
      </c>
    </row>
    <row r="591" spans="1:13" x14ac:dyDescent="0.25">
      <c r="A591" s="1">
        <v>944041</v>
      </c>
      <c r="B591" s="6" t="s">
        <v>675</v>
      </c>
      <c r="F591" s="6" t="s">
        <v>9</v>
      </c>
      <c r="G591" s="6" t="s">
        <v>38</v>
      </c>
      <c r="H591" s="9" t="s">
        <v>33</v>
      </c>
      <c r="I591" s="7" t="str">
        <f t="shared" si="36"/>
        <v>61001005000</v>
      </c>
      <c r="J591" s="7" t="str">
        <f t="shared" si="37"/>
        <v>Материал по ЕГРН</v>
      </c>
      <c r="K591" s="7">
        <f>VLOOKUP(J591,Лист2!A$2:B$4,2,FALSE)</f>
        <v>792</v>
      </c>
      <c r="L591" s="7" t="str">
        <f t="shared" si="38"/>
        <v>ГОТОВ_ИЗМЕНЕН</v>
      </c>
      <c r="M591" s="7">
        <f t="shared" si="39"/>
        <v>0</v>
      </c>
    </row>
    <row r="592" spans="1:13" x14ac:dyDescent="0.25">
      <c r="A592" s="1">
        <v>944053</v>
      </c>
      <c r="B592" s="6" t="s">
        <v>676</v>
      </c>
      <c r="F592" s="6" t="s">
        <v>9</v>
      </c>
      <c r="G592" s="6" t="s">
        <v>62</v>
      </c>
      <c r="H592" s="9" t="s">
        <v>63</v>
      </c>
      <c r="I592" s="7" t="str">
        <f t="shared" si="36"/>
        <v>61001006002</v>
      </c>
      <c r="J592" s="7" t="str">
        <f t="shared" si="37"/>
        <v>Материал по ЕГРН</v>
      </c>
      <c r="K592" s="7">
        <f>VLOOKUP(J592,Лист2!A$2:B$4,2,FALSE)</f>
        <v>792</v>
      </c>
      <c r="L592" s="7" t="str">
        <f t="shared" si="38"/>
        <v>ГОТОВ_ИЗМЕНЕН</v>
      </c>
      <c r="M592" s="7">
        <f t="shared" si="39"/>
        <v>0</v>
      </c>
    </row>
    <row r="593" spans="1:13" x14ac:dyDescent="0.25">
      <c r="A593" s="1">
        <v>944065</v>
      </c>
      <c r="B593" s="6" t="s">
        <v>677</v>
      </c>
      <c r="F593" s="6" t="s">
        <v>9</v>
      </c>
      <c r="G593" s="6" t="s">
        <v>38</v>
      </c>
      <c r="H593" s="9" t="s">
        <v>33</v>
      </c>
      <c r="I593" s="7" t="str">
        <f t="shared" si="36"/>
        <v>61001005000</v>
      </c>
      <c r="J593" s="7" t="str">
        <f t="shared" si="37"/>
        <v>Материал по ЕГРН</v>
      </c>
      <c r="K593" s="7">
        <f>VLOOKUP(J593,Лист2!A$2:B$4,2,FALSE)</f>
        <v>792</v>
      </c>
      <c r="L593" s="7" t="str">
        <f t="shared" si="38"/>
        <v>ГОТОВ_ИЗМЕНЕН</v>
      </c>
      <c r="M593" s="7">
        <f t="shared" si="39"/>
        <v>0</v>
      </c>
    </row>
    <row r="594" spans="1:13" x14ac:dyDescent="0.25">
      <c r="A594" s="1">
        <v>944077</v>
      </c>
      <c r="B594" s="6" t="s">
        <v>678</v>
      </c>
      <c r="F594" s="6" t="s">
        <v>9</v>
      </c>
      <c r="G594" s="6" t="s">
        <v>34</v>
      </c>
      <c r="H594" s="9" t="s">
        <v>35</v>
      </c>
      <c r="I594" s="7" t="str">
        <f t="shared" si="36"/>
        <v>61001002000</v>
      </c>
      <c r="J594" s="7" t="str">
        <f t="shared" si="37"/>
        <v>Материал по ЕГРН</v>
      </c>
      <c r="K594" s="7">
        <f>VLOOKUP(J594,Лист2!A$2:B$4,2,FALSE)</f>
        <v>792</v>
      </c>
      <c r="L594" s="7" t="str">
        <f t="shared" si="38"/>
        <v>ГОТОВ_ИЗМЕНЕН</v>
      </c>
      <c r="M594" s="7">
        <f t="shared" si="39"/>
        <v>0</v>
      </c>
    </row>
    <row r="595" spans="1:13" x14ac:dyDescent="0.25">
      <c r="A595" s="1">
        <v>944089</v>
      </c>
      <c r="B595" s="6" t="s">
        <v>679</v>
      </c>
      <c r="F595" s="6" t="s">
        <v>9</v>
      </c>
      <c r="G595" s="6" t="s">
        <v>62</v>
      </c>
      <c r="H595" s="9" t="s">
        <v>63</v>
      </c>
      <c r="I595" s="7" t="str">
        <f t="shared" si="36"/>
        <v>61001006002</v>
      </c>
      <c r="J595" s="7" t="str">
        <f t="shared" si="37"/>
        <v>Материал по ЕГРН</v>
      </c>
      <c r="K595" s="7">
        <f>VLOOKUP(J595,Лист2!A$2:B$4,2,FALSE)</f>
        <v>792</v>
      </c>
      <c r="L595" s="7" t="str">
        <f t="shared" si="38"/>
        <v>ГОТОВ_ИЗМЕНЕН</v>
      </c>
      <c r="M595" s="7">
        <f t="shared" si="39"/>
        <v>0</v>
      </c>
    </row>
    <row r="596" spans="1:13" x14ac:dyDescent="0.25">
      <c r="A596" s="1">
        <v>944101</v>
      </c>
      <c r="B596" s="6" t="s">
        <v>680</v>
      </c>
      <c r="F596" s="6" t="s">
        <v>9</v>
      </c>
      <c r="G596" s="6" t="s">
        <v>34</v>
      </c>
      <c r="H596" s="9" t="s">
        <v>35</v>
      </c>
      <c r="I596" s="7" t="str">
        <f t="shared" si="36"/>
        <v>61001002000</v>
      </c>
      <c r="J596" s="7" t="str">
        <f t="shared" si="37"/>
        <v>Материал по ЕГРН</v>
      </c>
      <c r="K596" s="7">
        <f>VLOOKUP(J596,Лист2!A$2:B$4,2,FALSE)</f>
        <v>792</v>
      </c>
      <c r="L596" s="7" t="str">
        <f t="shared" si="38"/>
        <v>ГОТОВ_ИЗМЕНЕН</v>
      </c>
      <c r="M596" s="7">
        <f t="shared" si="39"/>
        <v>0</v>
      </c>
    </row>
    <row r="597" spans="1:13" x14ac:dyDescent="0.25">
      <c r="A597" s="1">
        <v>944113</v>
      </c>
      <c r="B597" s="6" t="s">
        <v>681</v>
      </c>
      <c r="F597" s="6" t="s">
        <v>9</v>
      </c>
      <c r="G597" s="6" t="s">
        <v>38</v>
      </c>
      <c r="H597" s="9" t="s">
        <v>33</v>
      </c>
      <c r="I597" s="7" t="str">
        <f t="shared" si="36"/>
        <v>61001005000</v>
      </c>
      <c r="J597" s="7" t="str">
        <f t="shared" si="37"/>
        <v>Материал по ЕГРН</v>
      </c>
      <c r="K597" s="7">
        <f>VLOOKUP(J597,Лист2!A$2:B$4,2,FALSE)</f>
        <v>792</v>
      </c>
      <c r="L597" s="7" t="str">
        <f t="shared" si="38"/>
        <v>ГОТОВ_ИЗМЕНЕН</v>
      </c>
      <c r="M597" s="7">
        <f t="shared" si="39"/>
        <v>0</v>
      </c>
    </row>
    <row r="598" spans="1:13" x14ac:dyDescent="0.25">
      <c r="A598" s="1">
        <v>944125</v>
      </c>
      <c r="B598" s="6" t="s">
        <v>682</v>
      </c>
      <c r="F598" s="6" t="s">
        <v>9</v>
      </c>
      <c r="G598" s="6" t="s">
        <v>90</v>
      </c>
      <c r="H598" s="9" t="s">
        <v>12</v>
      </c>
      <c r="I598" s="7" t="str">
        <f t="shared" si="36"/>
        <v>61001008000</v>
      </c>
      <c r="J598" s="7" t="str">
        <f t="shared" si="37"/>
        <v>Материал по ЕГРН</v>
      </c>
      <c r="K598" s="7">
        <f>VLOOKUP(J598,Лист2!A$2:B$4,2,FALSE)</f>
        <v>792</v>
      </c>
      <c r="L598" s="7" t="str">
        <f t="shared" si="38"/>
        <v>ГОТОВ_ИЗМЕНЕН</v>
      </c>
      <c r="M598" s="7">
        <f t="shared" si="39"/>
        <v>0</v>
      </c>
    </row>
    <row r="599" spans="1:13" x14ac:dyDescent="0.25">
      <c r="A599" s="1">
        <v>944137</v>
      </c>
      <c r="B599" s="6" t="s">
        <v>683</v>
      </c>
      <c r="F599" s="6" t="s">
        <v>9</v>
      </c>
      <c r="G599" s="6" t="s">
        <v>62</v>
      </c>
      <c r="H599" s="9" t="s">
        <v>63</v>
      </c>
      <c r="I599" s="7" t="str">
        <f t="shared" si="36"/>
        <v>61001006002</v>
      </c>
      <c r="J599" s="7" t="str">
        <f t="shared" si="37"/>
        <v>Материал по ЕГРН</v>
      </c>
      <c r="K599" s="7">
        <f>VLOOKUP(J599,Лист2!A$2:B$4,2,FALSE)</f>
        <v>792</v>
      </c>
      <c r="L599" s="7" t="str">
        <f t="shared" si="38"/>
        <v>ГОТОВ_ИЗМЕНЕН</v>
      </c>
      <c r="M599" s="7">
        <f t="shared" si="39"/>
        <v>0</v>
      </c>
    </row>
    <row r="600" spans="1:13" x14ac:dyDescent="0.25">
      <c r="A600" s="1">
        <v>944149</v>
      </c>
      <c r="B600" s="6" t="s">
        <v>684</v>
      </c>
      <c r="F600" s="6" t="s">
        <v>9</v>
      </c>
      <c r="G600" s="6" t="s">
        <v>43</v>
      </c>
      <c r="H600" s="9" t="s">
        <v>42</v>
      </c>
      <c r="I600" s="7" t="str">
        <f t="shared" si="36"/>
        <v>61001002001</v>
      </c>
      <c r="J600" s="7" t="str">
        <f t="shared" si="37"/>
        <v>Материал по ЕГРН</v>
      </c>
      <c r="K600" s="7">
        <f>VLOOKUP(J600,Лист2!A$2:B$4,2,FALSE)</f>
        <v>792</v>
      </c>
      <c r="L600" s="7" t="str">
        <f t="shared" si="38"/>
        <v>ГОТОВ_ИЗМЕНЕН</v>
      </c>
      <c r="M600" s="7">
        <f t="shared" si="39"/>
        <v>0</v>
      </c>
    </row>
    <row r="601" spans="1:13" x14ac:dyDescent="0.25">
      <c r="A601" s="1">
        <v>944161</v>
      </c>
      <c r="B601" s="6" t="s">
        <v>685</v>
      </c>
      <c r="F601" s="6" t="s">
        <v>9</v>
      </c>
      <c r="G601" s="6" t="s">
        <v>170</v>
      </c>
      <c r="H601" s="9" t="s">
        <v>171</v>
      </c>
      <c r="I601" s="7" t="str">
        <f t="shared" si="36"/>
        <v>61001001000</v>
      </c>
      <c r="J601" s="7" t="str">
        <f t="shared" si="37"/>
        <v>Материал по ЕГРН</v>
      </c>
      <c r="K601" s="7">
        <f>VLOOKUP(J601,Лист2!A$2:B$4,2,FALSE)</f>
        <v>792</v>
      </c>
      <c r="L601" s="7" t="str">
        <f t="shared" si="38"/>
        <v>ГОТОВ_ИЗМЕНЕН</v>
      </c>
      <c r="M601" s="7">
        <f t="shared" si="39"/>
        <v>0</v>
      </c>
    </row>
    <row r="602" spans="1:13" x14ac:dyDescent="0.25">
      <c r="A602" s="1">
        <v>944173</v>
      </c>
      <c r="B602" s="6" t="s">
        <v>686</v>
      </c>
      <c r="F602" s="6" t="s">
        <v>9</v>
      </c>
      <c r="G602" s="6" t="s">
        <v>34</v>
      </c>
      <c r="H602" s="9" t="s">
        <v>35</v>
      </c>
      <c r="I602" s="7" t="str">
        <f t="shared" si="36"/>
        <v>61001002000</v>
      </c>
      <c r="J602" s="7" t="str">
        <f t="shared" si="37"/>
        <v>Материал по ЕГРН</v>
      </c>
      <c r="K602" s="7">
        <f>VLOOKUP(J602,Лист2!A$2:B$4,2,FALSE)</f>
        <v>792</v>
      </c>
      <c r="L602" s="7" t="str">
        <f t="shared" si="38"/>
        <v>ГОТОВ_ИЗМЕНЕН</v>
      </c>
      <c r="M602" s="7">
        <f t="shared" si="39"/>
        <v>0</v>
      </c>
    </row>
    <row r="603" spans="1:13" x14ac:dyDescent="0.25">
      <c r="A603" s="1">
        <v>944185</v>
      </c>
      <c r="B603" s="6" t="s">
        <v>687</v>
      </c>
      <c r="F603" s="6" t="s">
        <v>9</v>
      </c>
      <c r="G603" s="6" t="s">
        <v>38</v>
      </c>
      <c r="H603" s="9" t="s">
        <v>33</v>
      </c>
      <c r="I603" s="7" t="str">
        <f t="shared" si="36"/>
        <v>61001005000</v>
      </c>
      <c r="J603" s="7" t="str">
        <f t="shared" si="37"/>
        <v>Материал по ЕГРН</v>
      </c>
      <c r="K603" s="7">
        <f>VLOOKUP(J603,Лист2!A$2:B$4,2,FALSE)</f>
        <v>792</v>
      </c>
      <c r="L603" s="7" t="str">
        <f t="shared" si="38"/>
        <v>ГОТОВ_ИЗМЕНЕН</v>
      </c>
      <c r="M603" s="7">
        <f t="shared" si="39"/>
        <v>0</v>
      </c>
    </row>
    <row r="604" spans="1:13" x14ac:dyDescent="0.25">
      <c r="A604" s="1">
        <v>944197</v>
      </c>
      <c r="B604" s="6" t="s">
        <v>688</v>
      </c>
      <c r="F604" s="6" t="s">
        <v>9</v>
      </c>
      <c r="G604" s="6" t="s">
        <v>34</v>
      </c>
      <c r="H604" s="9" t="s">
        <v>35</v>
      </c>
      <c r="I604" s="7" t="str">
        <f t="shared" si="36"/>
        <v>61001002000</v>
      </c>
      <c r="J604" s="7" t="str">
        <f t="shared" si="37"/>
        <v>Материал по ЕГРН</v>
      </c>
      <c r="K604" s="7">
        <f>VLOOKUP(J604,Лист2!A$2:B$4,2,FALSE)</f>
        <v>792</v>
      </c>
      <c r="L604" s="7" t="str">
        <f t="shared" si="38"/>
        <v>ГОТОВ_ИЗМЕНЕН</v>
      </c>
      <c r="M604" s="7">
        <f t="shared" si="39"/>
        <v>0</v>
      </c>
    </row>
    <row r="605" spans="1:13" x14ac:dyDescent="0.25">
      <c r="A605" s="1">
        <v>944209</v>
      </c>
      <c r="B605" s="6" t="s">
        <v>689</v>
      </c>
      <c r="F605" s="6" t="s">
        <v>9</v>
      </c>
      <c r="G605" s="6" t="s">
        <v>73</v>
      </c>
      <c r="H605" s="9" t="s">
        <v>74</v>
      </c>
      <c r="I605" s="7" t="str">
        <f t="shared" si="36"/>
        <v>61001006000</v>
      </c>
      <c r="J605" s="7" t="str">
        <f t="shared" si="37"/>
        <v>Материал по ЕГРН</v>
      </c>
      <c r="K605" s="7">
        <f>VLOOKUP(J605,Лист2!A$2:B$4,2,FALSE)</f>
        <v>792</v>
      </c>
      <c r="L605" s="7" t="str">
        <f t="shared" si="38"/>
        <v>ГОТОВ_ИЗМЕНЕН</v>
      </c>
      <c r="M605" s="7">
        <f t="shared" si="39"/>
        <v>0</v>
      </c>
    </row>
    <row r="606" spans="1:13" x14ac:dyDescent="0.25">
      <c r="A606" s="1">
        <v>944221</v>
      </c>
      <c r="B606" s="6" t="s">
        <v>690</v>
      </c>
      <c r="F606" s="6" t="s">
        <v>9</v>
      </c>
      <c r="G606" s="6" t="s">
        <v>10</v>
      </c>
      <c r="H606" s="9" t="s">
        <v>11</v>
      </c>
      <c r="I606" s="7" t="str">
        <f t="shared" si="36"/>
        <v>61001003000</v>
      </c>
      <c r="J606" s="7" t="str">
        <f t="shared" si="37"/>
        <v>Материал по ЕГРН</v>
      </c>
      <c r="K606" s="7">
        <f>VLOOKUP(J606,Лист2!A$2:B$4,2,FALSE)</f>
        <v>792</v>
      </c>
      <c r="L606" s="7" t="str">
        <f t="shared" si="38"/>
        <v>ГОТОВ_ИЗМЕНЕН</v>
      </c>
      <c r="M606" s="7">
        <f t="shared" si="39"/>
        <v>0</v>
      </c>
    </row>
    <row r="607" spans="1:13" x14ac:dyDescent="0.25">
      <c r="A607" s="1">
        <v>944233</v>
      </c>
      <c r="B607" s="6" t="s">
        <v>691</v>
      </c>
      <c r="F607" s="6" t="s">
        <v>9</v>
      </c>
      <c r="G607" s="6" t="s">
        <v>34</v>
      </c>
      <c r="H607" s="9" t="s">
        <v>35</v>
      </c>
      <c r="I607" s="7" t="str">
        <f t="shared" si="36"/>
        <v>61001002000</v>
      </c>
      <c r="J607" s="7" t="str">
        <f t="shared" si="37"/>
        <v>Материал по ЕГРН</v>
      </c>
      <c r="K607" s="7">
        <f>VLOOKUP(J607,Лист2!A$2:B$4,2,FALSE)</f>
        <v>792</v>
      </c>
      <c r="L607" s="7" t="str">
        <f t="shared" si="38"/>
        <v>ГОТОВ_ИЗМЕНЕН</v>
      </c>
      <c r="M607" s="7">
        <f t="shared" si="39"/>
        <v>0</v>
      </c>
    </row>
    <row r="608" spans="1:13" x14ac:dyDescent="0.25">
      <c r="A608" s="1">
        <v>944245</v>
      </c>
      <c r="B608" s="6" t="s">
        <v>692</v>
      </c>
      <c r="F608" s="6" t="s">
        <v>9</v>
      </c>
      <c r="G608" s="6" t="s">
        <v>10</v>
      </c>
      <c r="H608" s="9" t="s">
        <v>11</v>
      </c>
      <c r="I608" s="7" t="str">
        <f t="shared" si="36"/>
        <v>61001003000</v>
      </c>
      <c r="J608" s="7" t="str">
        <f t="shared" si="37"/>
        <v>Материал по ЕГРН</v>
      </c>
      <c r="K608" s="7">
        <f>VLOOKUP(J608,Лист2!A$2:B$4,2,FALSE)</f>
        <v>792</v>
      </c>
      <c r="L608" s="7" t="str">
        <f t="shared" si="38"/>
        <v>ГОТОВ_ИЗМЕНЕН</v>
      </c>
      <c r="M608" s="7">
        <f t="shared" si="39"/>
        <v>0</v>
      </c>
    </row>
    <row r="609" spans="1:13" x14ac:dyDescent="0.25">
      <c r="A609" s="1">
        <v>944257</v>
      </c>
      <c r="B609" s="6" t="s">
        <v>693</v>
      </c>
      <c r="F609" s="6" t="s">
        <v>9</v>
      </c>
      <c r="G609" s="6" t="s">
        <v>34</v>
      </c>
      <c r="H609" s="9" t="s">
        <v>35</v>
      </c>
      <c r="I609" s="7" t="str">
        <f t="shared" si="36"/>
        <v>61001002000</v>
      </c>
      <c r="J609" s="7" t="str">
        <f t="shared" si="37"/>
        <v>Материал по ЕГРН</v>
      </c>
      <c r="K609" s="7">
        <f>VLOOKUP(J609,Лист2!A$2:B$4,2,FALSE)</f>
        <v>792</v>
      </c>
      <c r="L609" s="7" t="str">
        <f t="shared" si="38"/>
        <v>ГОТОВ_ИЗМЕНЕН</v>
      </c>
      <c r="M609" s="7">
        <f t="shared" si="39"/>
        <v>0</v>
      </c>
    </row>
    <row r="610" spans="1:13" x14ac:dyDescent="0.25">
      <c r="A610" s="1">
        <v>944269</v>
      </c>
      <c r="B610" s="6" t="s">
        <v>694</v>
      </c>
      <c r="F610" s="6" t="s">
        <v>9</v>
      </c>
      <c r="G610" s="6" t="s">
        <v>10</v>
      </c>
      <c r="H610" s="9" t="s">
        <v>11</v>
      </c>
      <c r="I610" s="7" t="str">
        <f t="shared" si="36"/>
        <v>61001003000</v>
      </c>
      <c r="J610" s="7" t="str">
        <f t="shared" si="37"/>
        <v>Материал по ЕГРН</v>
      </c>
      <c r="K610" s="7">
        <f>VLOOKUP(J610,Лист2!A$2:B$4,2,FALSE)</f>
        <v>792</v>
      </c>
      <c r="L610" s="7" t="str">
        <f t="shared" si="38"/>
        <v>ГОТОВ_ИЗМЕНЕН</v>
      </c>
      <c r="M610" s="7">
        <f t="shared" si="39"/>
        <v>0</v>
      </c>
    </row>
    <row r="611" spans="1:13" x14ac:dyDescent="0.25">
      <c r="A611" s="1">
        <v>254262</v>
      </c>
      <c r="B611" s="6" t="s">
        <v>695</v>
      </c>
      <c r="C611" s="9" t="s">
        <v>33</v>
      </c>
      <c r="D611" s="6" t="s">
        <v>20</v>
      </c>
      <c r="E611" s="6" t="s">
        <v>37</v>
      </c>
      <c r="F611" s="6" t="s">
        <v>9</v>
      </c>
      <c r="G611" s="6" t="s">
        <v>38</v>
      </c>
      <c r="H611" s="9" t="s">
        <v>33</v>
      </c>
      <c r="I611" s="7" t="str">
        <f t="shared" si="36"/>
        <v>61001005000</v>
      </c>
      <c r="J611" s="7" t="str">
        <f t="shared" si="37"/>
        <v>Материал по ЕГРН</v>
      </c>
      <c r="K611" s="7">
        <f>VLOOKUP(J611,Лист2!A$2:B$4,2,FALSE)</f>
        <v>792</v>
      </c>
      <c r="L611" s="7" t="str">
        <f t="shared" si="38"/>
        <v>ГОТОВ</v>
      </c>
      <c r="M611" s="7" t="str">
        <f t="shared" si="39"/>
        <v>61001005000</v>
      </c>
    </row>
    <row r="612" spans="1:13" x14ac:dyDescent="0.25">
      <c r="A612" s="1">
        <v>438363</v>
      </c>
      <c r="B612" s="6" t="s">
        <v>696</v>
      </c>
      <c r="C612" s="9" t="s">
        <v>33</v>
      </c>
      <c r="D612" s="6" t="s">
        <v>20</v>
      </c>
      <c r="E612" s="6" t="s">
        <v>37</v>
      </c>
      <c r="F612" s="6" t="s">
        <v>9</v>
      </c>
      <c r="G612" s="6" t="s">
        <v>38</v>
      </c>
      <c r="H612" s="9" t="s">
        <v>33</v>
      </c>
      <c r="I612" s="7" t="str">
        <f t="shared" si="36"/>
        <v>61001005000</v>
      </c>
      <c r="J612" s="7" t="str">
        <f t="shared" si="37"/>
        <v>Материал по ЕГРН</v>
      </c>
      <c r="K612" s="7">
        <f>VLOOKUP(J612,Лист2!A$2:B$4,2,FALSE)</f>
        <v>792</v>
      </c>
      <c r="L612" s="7" t="str">
        <f t="shared" si="38"/>
        <v>ГОТОВ</v>
      </c>
      <c r="M612" s="7" t="str">
        <f t="shared" si="39"/>
        <v>61001005000</v>
      </c>
    </row>
    <row r="613" spans="1:13" x14ac:dyDescent="0.25">
      <c r="A613" s="1">
        <v>796905</v>
      </c>
      <c r="B613" s="6" t="s">
        <v>697</v>
      </c>
      <c r="C613" s="9" t="s">
        <v>33</v>
      </c>
      <c r="D613" s="6" t="s">
        <v>20</v>
      </c>
      <c r="E613" s="6" t="s">
        <v>37</v>
      </c>
      <c r="F613" s="6" t="s">
        <v>9</v>
      </c>
      <c r="G613" s="6" t="s">
        <v>38</v>
      </c>
      <c r="H613" s="9" t="s">
        <v>33</v>
      </c>
      <c r="I613" s="7" t="str">
        <f t="shared" si="36"/>
        <v>61001005000</v>
      </c>
      <c r="J613" s="7" t="str">
        <f t="shared" si="37"/>
        <v>Материал по ЕГРН</v>
      </c>
      <c r="K613" s="7">
        <f>VLOOKUP(J613,Лист2!A$2:B$4,2,FALSE)</f>
        <v>792</v>
      </c>
      <c r="L613" s="7" t="str">
        <f t="shared" si="38"/>
        <v>ГОТОВ</v>
      </c>
      <c r="M613" s="7" t="str">
        <f t="shared" si="39"/>
        <v>61001005000</v>
      </c>
    </row>
    <row r="614" spans="1:13" x14ac:dyDescent="0.25">
      <c r="A614" s="1">
        <v>945786</v>
      </c>
      <c r="B614" s="6" t="s">
        <v>698</v>
      </c>
      <c r="F614" s="6" t="s">
        <v>9</v>
      </c>
      <c r="G614" s="6" t="s">
        <v>59</v>
      </c>
      <c r="H614" s="9" t="s">
        <v>60</v>
      </c>
      <c r="I614" s="7" t="str">
        <f t="shared" si="36"/>
        <v>61001001001</v>
      </c>
      <c r="J614" s="7" t="str">
        <f t="shared" si="37"/>
        <v>Материал по ЕГРН</v>
      </c>
      <c r="K614" s="7">
        <f>VLOOKUP(J614,Лист2!A$2:B$4,2,FALSE)</f>
        <v>792</v>
      </c>
      <c r="L614" s="7" t="str">
        <f t="shared" si="38"/>
        <v>ГОТОВ_ИЗМЕНЕН</v>
      </c>
      <c r="M614" s="7">
        <f t="shared" si="39"/>
        <v>0</v>
      </c>
    </row>
    <row r="615" spans="1:13" x14ac:dyDescent="0.25">
      <c r="A615" s="1">
        <v>945798</v>
      </c>
      <c r="B615" s="6" t="s">
        <v>699</v>
      </c>
      <c r="F615" s="6" t="s">
        <v>9</v>
      </c>
      <c r="G615" s="6" t="s">
        <v>38</v>
      </c>
      <c r="H615" s="9" t="s">
        <v>33</v>
      </c>
      <c r="I615" s="7" t="str">
        <f t="shared" si="36"/>
        <v>61001005000</v>
      </c>
      <c r="J615" s="7" t="str">
        <f t="shared" si="37"/>
        <v>Материал по ЕГРН</v>
      </c>
      <c r="K615" s="7">
        <f>VLOOKUP(J615,Лист2!A$2:B$4,2,FALSE)</f>
        <v>792</v>
      </c>
      <c r="L615" s="7" t="str">
        <f t="shared" si="38"/>
        <v>ГОТОВ_ИЗМЕНЕН</v>
      </c>
      <c r="M615" s="7">
        <f t="shared" si="39"/>
        <v>0</v>
      </c>
    </row>
    <row r="616" spans="1:13" x14ac:dyDescent="0.25">
      <c r="A616" s="1">
        <v>211907</v>
      </c>
      <c r="B616" s="6" t="s">
        <v>700</v>
      </c>
      <c r="C616" s="9" t="s">
        <v>35</v>
      </c>
      <c r="D616" s="6" t="s">
        <v>20</v>
      </c>
      <c r="E616" s="6" t="s">
        <v>37</v>
      </c>
      <c r="F616" s="6" t="s">
        <v>9</v>
      </c>
      <c r="G616" s="6" t="s">
        <v>34</v>
      </c>
      <c r="H616" s="9" t="s">
        <v>35</v>
      </c>
      <c r="I616" s="7" t="str">
        <f t="shared" si="36"/>
        <v>61001002000</v>
      </c>
      <c r="J616" s="7" t="str">
        <f t="shared" si="37"/>
        <v>Материал по ЕГРН</v>
      </c>
      <c r="K616" s="7">
        <f>VLOOKUP(J616,Лист2!A$2:B$4,2,FALSE)</f>
        <v>792</v>
      </c>
      <c r="L616" s="7" t="str">
        <f t="shared" si="38"/>
        <v>ГОТОВ</v>
      </c>
      <c r="M616" s="7" t="str">
        <f t="shared" si="39"/>
        <v>61001002000</v>
      </c>
    </row>
    <row r="617" spans="1:13" x14ac:dyDescent="0.25">
      <c r="A617" s="1">
        <v>480394</v>
      </c>
      <c r="B617" s="6" t="s">
        <v>701</v>
      </c>
      <c r="C617" s="9" t="s">
        <v>33</v>
      </c>
      <c r="D617" s="6" t="s">
        <v>20</v>
      </c>
      <c r="E617" s="6" t="s">
        <v>8</v>
      </c>
      <c r="F617" s="6" t="s">
        <v>9</v>
      </c>
      <c r="G617" s="6" t="s">
        <v>34</v>
      </c>
      <c r="H617" s="9" t="s">
        <v>35</v>
      </c>
      <c r="I617" s="7" t="str">
        <f t="shared" si="36"/>
        <v>61001002000</v>
      </c>
      <c r="J617" s="7" t="str">
        <f t="shared" si="37"/>
        <v>Материал по ЕГРН</v>
      </c>
      <c r="K617" s="7">
        <f>VLOOKUP(J617,Лист2!A$2:B$4,2,FALSE)</f>
        <v>792</v>
      </c>
      <c r="L617" s="7" t="str">
        <f t="shared" si="38"/>
        <v>ГОТОВ_ИЗМЕНЕН</v>
      </c>
      <c r="M617" s="7" t="str">
        <f t="shared" si="39"/>
        <v>61001005000</v>
      </c>
    </row>
    <row r="618" spans="1:13" x14ac:dyDescent="0.25">
      <c r="A618" s="1">
        <v>519176</v>
      </c>
      <c r="B618" s="6" t="s">
        <v>702</v>
      </c>
      <c r="C618" s="9" t="s">
        <v>33</v>
      </c>
      <c r="D618" s="6" t="s">
        <v>20</v>
      </c>
      <c r="E618" s="6" t="s">
        <v>37</v>
      </c>
      <c r="F618" s="6" t="s">
        <v>9</v>
      </c>
      <c r="G618" s="6" t="s">
        <v>38</v>
      </c>
      <c r="H618" s="9" t="s">
        <v>33</v>
      </c>
      <c r="I618" s="7" t="str">
        <f t="shared" si="36"/>
        <v>61001005000</v>
      </c>
      <c r="J618" s="7" t="str">
        <f t="shared" si="37"/>
        <v>Материал по ЕГРН</v>
      </c>
      <c r="K618" s="7">
        <f>VLOOKUP(J618,Лист2!A$2:B$4,2,FALSE)</f>
        <v>792</v>
      </c>
      <c r="L618" s="7" t="str">
        <f t="shared" si="38"/>
        <v>ГОТОВ</v>
      </c>
      <c r="M618" s="7" t="str">
        <f t="shared" si="39"/>
        <v>61001005000</v>
      </c>
    </row>
    <row r="619" spans="1:13" x14ac:dyDescent="0.25">
      <c r="A619" s="1">
        <v>530998</v>
      </c>
      <c r="B619" s="6" t="s">
        <v>703</v>
      </c>
      <c r="C619" s="9" t="s">
        <v>33</v>
      </c>
      <c r="D619" s="6" t="s">
        <v>20</v>
      </c>
      <c r="E619" s="6" t="s">
        <v>37</v>
      </c>
      <c r="F619" s="6" t="s">
        <v>9</v>
      </c>
      <c r="G619" s="6" t="s">
        <v>38</v>
      </c>
      <c r="H619" s="9" t="s">
        <v>33</v>
      </c>
      <c r="I619" s="7" t="str">
        <f t="shared" si="36"/>
        <v>61001005000</v>
      </c>
      <c r="J619" s="7" t="str">
        <f t="shared" si="37"/>
        <v>Материал по ЕГРН</v>
      </c>
      <c r="K619" s="7">
        <f>VLOOKUP(J619,Лист2!A$2:B$4,2,FALSE)</f>
        <v>792</v>
      </c>
      <c r="L619" s="7" t="str">
        <f t="shared" si="38"/>
        <v>ГОТОВ</v>
      </c>
      <c r="M619" s="7" t="str">
        <f t="shared" si="39"/>
        <v>61001005000</v>
      </c>
    </row>
    <row r="620" spans="1:13" x14ac:dyDescent="0.25">
      <c r="A620" s="1">
        <v>565865</v>
      </c>
      <c r="B620" s="6" t="s">
        <v>704</v>
      </c>
      <c r="C620" s="9" t="s">
        <v>42</v>
      </c>
      <c r="D620" s="6" t="s">
        <v>20</v>
      </c>
      <c r="E620" s="6" t="s">
        <v>8</v>
      </c>
      <c r="F620" s="6" t="s">
        <v>9</v>
      </c>
      <c r="G620" s="6" t="s">
        <v>38</v>
      </c>
      <c r="H620" s="9" t="s">
        <v>33</v>
      </c>
      <c r="I620" s="7" t="str">
        <f t="shared" si="36"/>
        <v>61001005000</v>
      </c>
      <c r="J620" s="7" t="str">
        <f t="shared" si="37"/>
        <v>Материал по ЕГРН</v>
      </c>
      <c r="K620" s="7">
        <f>VLOOKUP(J620,Лист2!A$2:B$4,2,FALSE)</f>
        <v>792</v>
      </c>
      <c r="L620" s="7" t="str">
        <f t="shared" si="38"/>
        <v>ГОТОВ_ИЗМЕНЕН</v>
      </c>
      <c r="M620" s="7" t="str">
        <f t="shared" si="39"/>
        <v>61001002001</v>
      </c>
    </row>
    <row r="621" spans="1:13" x14ac:dyDescent="0.25">
      <c r="A621" s="1">
        <v>848234</v>
      </c>
      <c r="B621" s="6" t="s">
        <v>705</v>
      </c>
      <c r="C621" s="9" t="s">
        <v>33</v>
      </c>
      <c r="D621" s="6" t="s">
        <v>20</v>
      </c>
      <c r="E621" s="6" t="s">
        <v>37</v>
      </c>
      <c r="F621" s="6" t="s">
        <v>9</v>
      </c>
      <c r="G621" s="6" t="s">
        <v>38</v>
      </c>
      <c r="H621" s="9" t="s">
        <v>33</v>
      </c>
      <c r="I621" s="7" t="str">
        <f t="shared" si="36"/>
        <v>61001005000</v>
      </c>
      <c r="J621" s="7" t="str">
        <f t="shared" si="37"/>
        <v>Материал по ЕГРН</v>
      </c>
      <c r="K621" s="7">
        <f>VLOOKUP(J621,Лист2!A$2:B$4,2,FALSE)</f>
        <v>792</v>
      </c>
      <c r="L621" s="7" t="str">
        <f t="shared" si="38"/>
        <v>ГОТОВ</v>
      </c>
      <c r="M621" s="7" t="str">
        <f t="shared" si="39"/>
        <v>61001005000</v>
      </c>
    </row>
    <row r="622" spans="1:13" x14ac:dyDescent="0.25">
      <c r="A622" s="1">
        <v>195766</v>
      </c>
      <c r="B622" s="6" t="s">
        <v>706</v>
      </c>
      <c r="C622" s="9" t="s">
        <v>42</v>
      </c>
      <c r="D622" s="6" t="s">
        <v>20</v>
      </c>
      <c r="E622" s="6" t="s">
        <v>37</v>
      </c>
      <c r="F622" s="6" t="s">
        <v>9</v>
      </c>
      <c r="G622" s="6" t="s">
        <v>43</v>
      </c>
      <c r="H622" s="9" t="s">
        <v>42</v>
      </c>
      <c r="I622" s="7" t="str">
        <f t="shared" si="36"/>
        <v>61001002001</v>
      </c>
      <c r="J622" s="7" t="str">
        <f t="shared" si="37"/>
        <v>Материал по ЕГРН</v>
      </c>
      <c r="K622" s="7">
        <f>VLOOKUP(J622,Лист2!A$2:B$4,2,FALSE)</f>
        <v>792</v>
      </c>
      <c r="L622" s="7" t="str">
        <f t="shared" si="38"/>
        <v>ГОТОВ</v>
      </c>
      <c r="M622" s="7" t="str">
        <f t="shared" si="39"/>
        <v>61001002001</v>
      </c>
    </row>
    <row r="623" spans="1:13" x14ac:dyDescent="0.25">
      <c r="A623" s="1">
        <v>274834</v>
      </c>
      <c r="B623" s="6" t="s">
        <v>707</v>
      </c>
      <c r="C623" s="9" t="s">
        <v>33</v>
      </c>
      <c r="D623" s="6" t="s">
        <v>20</v>
      </c>
      <c r="E623" s="6" t="s">
        <v>37</v>
      </c>
      <c r="F623" s="6" t="s">
        <v>9</v>
      </c>
      <c r="G623" s="6" t="s">
        <v>38</v>
      </c>
      <c r="H623" s="9" t="s">
        <v>33</v>
      </c>
      <c r="I623" s="7" t="str">
        <f t="shared" si="36"/>
        <v>61001005000</v>
      </c>
      <c r="J623" s="7" t="str">
        <f t="shared" si="37"/>
        <v>Материал по ЕГРН</v>
      </c>
      <c r="K623" s="7">
        <f>VLOOKUP(J623,Лист2!A$2:B$4,2,FALSE)</f>
        <v>792</v>
      </c>
      <c r="L623" s="7" t="str">
        <f t="shared" si="38"/>
        <v>ГОТОВ</v>
      </c>
      <c r="M623" s="7" t="str">
        <f t="shared" si="39"/>
        <v>61001005000</v>
      </c>
    </row>
    <row r="624" spans="1:13" x14ac:dyDescent="0.25">
      <c r="A624" s="1">
        <v>540949</v>
      </c>
      <c r="B624" s="6" t="s">
        <v>708</v>
      </c>
      <c r="C624" s="9" t="s">
        <v>33</v>
      </c>
      <c r="D624" s="6" t="s">
        <v>20</v>
      </c>
      <c r="E624" s="6" t="s">
        <v>37</v>
      </c>
      <c r="F624" s="6" t="s">
        <v>9</v>
      </c>
      <c r="G624" s="6" t="s">
        <v>38</v>
      </c>
      <c r="H624" s="9" t="s">
        <v>33</v>
      </c>
      <c r="I624" s="7" t="str">
        <f t="shared" si="36"/>
        <v>61001005000</v>
      </c>
      <c r="J624" s="7" t="str">
        <f t="shared" si="37"/>
        <v>Материал по ЕГРН</v>
      </c>
      <c r="K624" s="7">
        <f>VLOOKUP(J624,Лист2!A$2:B$4,2,FALSE)</f>
        <v>792</v>
      </c>
      <c r="L624" s="7" t="str">
        <f t="shared" si="38"/>
        <v>ГОТОВ</v>
      </c>
      <c r="M624" s="7" t="str">
        <f t="shared" si="39"/>
        <v>61001005000</v>
      </c>
    </row>
    <row r="625" spans="1:13" x14ac:dyDescent="0.25">
      <c r="A625" s="1">
        <v>608340</v>
      </c>
      <c r="B625" s="6" t="s">
        <v>709</v>
      </c>
      <c r="C625" s="9" t="s">
        <v>33</v>
      </c>
      <c r="D625" s="6" t="s">
        <v>20</v>
      </c>
      <c r="E625" s="6" t="s">
        <v>37</v>
      </c>
      <c r="F625" s="6" t="s">
        <v>9</v>
      </c>
      <c r="G625" s="6" t="s">
        <v>38</v>
      </c>
      <c r="H625" s="9" t="s">
        <v>33</v>
      </c>
      <c r="I625" s="7" t="str">
        <f t="shared" si="36"/>
        <v>61001005000</v>
      </c>
      <c r="J625" s="7" t="str">
        <f t="shared" si="37"/>
        <v>Материал по ЕГРН</v>
      </c>
      <c r="K625" s="7">
        <f>VLOOKUP(J625,Лист2!A$2:B$4,2,FALSE)</f>
        <v>792</v>
      </c>
      <c r="L625" s="7" t="str">
        <f t="shared" si="38"/>
        <v>ГОТОВ</v>
      </c>
      <c r="M625" s="7" t="str">
        <f t="shared" si="39"/>
        <v>61001005000</v>
      </c>
    </row>
    <row r="626" spans="1:13" x14ac:dyDescent="0.25">
      <c r="A626" s="1">
        <v>178251</v>
      </c>
      <c r="B626" s="6" t="s">
        <v>710</v>
      </c>
      <c r="C626" s="9" t="s">
        <v>33</v>
      </c>
      <c r="D626" s="6" t="s">
        <v>20</v>
      </c>
      <c r="E626" s="6" t="s">
        <v>37</v>
      </c>
      <c r="F626" s="6" t="s">
        <v>9</v>
      </c>
      <c r="G626" s="6" t="s">
        <v>38</v>
      </c>
      <c r="H626" s="9" t="s">
        <v>33</v>
      </c>
      <c r="I626" s="7" t="str">
        <f t="shared" si="36"/>
        <v>61001005000</v>
      </c>
      <c r="J626" s="7" t="str">
        <f t="shared" si="37"/>
        <v>Материал по ЕГРН</v>
      </c>
      <c r="K626" s="7">
        <f>VLOOKUP(J626,Лист2!A$2:B$4,2,FALSE)</f>
        <v>792</v>
      </c>
      <c r="L626" s="7" t="str">
        <f t="shared" si="38"/>
        <v>ГОТОВ</v>
      </c>
      <c r="M626" s="7" t="str">
        <f t="shared" si="39"/>
        <v>61001005000</v>
      </c>
    </row>
    <row r="627" spans="1:13" x14ac:dyDescent="0.25">
      <c r="A627" s="1">
        <v>509781</v>
      </c>
      <c r="B627" s="6" t="s">
        <v>711</v>
      </c>
      <c r="C627" s="9" t="s">
        <v>126</v>
      </c>
      <c r="D627" s="6" t="s">
        <v>20</v>
      </c>
      <c r="E627" s="6" t="s">
        <v>37</v>
      </c>
      <c r="F627" s="6" t="s">
        <v>9</v>
      </c>
      <c r="G627" s="6" t="s">
        <v>125</v>
      </c>
      <c r="H627" s="9" t="s">
        <v>126</v>
      </c>
      <c r="I627" s="7" t="str">
        <f t="shared" si="36"/>
        <v>61001007004</v>
      </c>
      <c r="J627" s="7" t="str">
        <f t="shared" si="37"/>
        <v>Материал по ЕГРН</v>
      </c>
      <c r="K627" s="7">
        <f>VLOOKUP(J627,Лист2!A$2:B$4,2,FALSE)</f>
        <v>792</v>
      </c>
      <c r="L627" s="7" t="str">
        <f t="shared" si="38"/>
        <v>ГОТОВ</v>
      </c>
      <c r="M627" s="7" t="str">
        <f t="shared" si="39"/>
        <v>61001007004</v>
      </c>
    </row>
    <row r="628" spans="1:13" x14ac:dyDescent="0.25">
      <c r="A628" s="1">
        <v>787508</v>
      </c>
      <c r="B628" s="6" t="s">
        <v>712</v>
      </c>
      <c r="C628" s="9" t="s">
        <v>33</v>
      </c>
      <c r="D628" s="6" t="s">
        <v>20</v>
      </c>
      <c r="E628" s="6" t="s">
        <v>37</v>
      </c>
      <c r="F628" s="6" t="s">
        <v>9</v>
      </c>
      <c r="G628" s="6" t="s">
        <v>38</v>
      </c>
      <c r="H628" s="9" t="s">
        <v>33</v>
      </c>
      <c r="I628" s="7" t="str">
        <f t="shared" si="36"/>
        <v>61001005000</v>
      </c>
      <c r="J628" s="7" t="str">
        <f t="shared" si="37"/>
        <v>Материал по ЕГРН</v>
      </c>
      <c r="K628" s="7">
        <f>VLOOKUP(J628,Лист2!A$2:B$4,2,FALSE)</f>
        <v>792</v>
      </c>
      <c r="L628" s="7" t="str">
        <f t="shared" si="38"/>
        <v>ГОТОВ</v>
      </c>
      <c r="M628" s="7" t="str">
        <f t="shared" si="39"/>
        <v>61001005000</v>
      </c>
    </row>
    <row r="629" spans="1:13" x14ac:dyDescent="0.25">
      <c r="A629" s="1">
        <v>885234</v>
      </c>
      <c r="B629" s="6" t="s">
        <v>713</v>
      </c>
      <c r="C629" s="9" t="s">
        <v>12</v>
      </c>
      <c r="D629" s="6" t="s">
        <v>14</v>
      </c>
      <c r="E629" s="6" t="s">
        <v>37</v>
      </c>
      <c r="F629" s="6" t="s">
        <v>9</v>
      </c>
      <c r="G629" s="6" t="s">
        <v>90</v>
      </c>
      <c r="H629" s="9" t="s">
        <v>12</v>
      </c>
      <c r="I629" s="7" t="str">
        <f t="shared" si="36"/>
        <v>61001008000</v>
      </c>
      <c r="J629" s="7" t="str">
        <f t="shared" si="37"/>
        <v>Материал по ЕГРН</v>
      </c>
      <c r="K629" s="7">
        <f>VLOOKUP(J629,Лист2!A$2:B$4,2,FALSE)</f>
        <v>792</v>
      </c>
      <c r="L629" s="7" t="str">
        <f t="shared" si="38"/>
        <v>ГОТОВ</v>
      </c>
      <c r="M629" s="7" t="str">
        <f t="shared" si="39"/>
        <v>61001008000</v>
      </c>
    </row>
    <row r="630" spans="1:13" x14ac:dyDescent="0.25">
      <c r="A630" s="1">
        <v>943425</v>
      </c>
      <c r="B630" s="6" t="s">
        <v>714</v>
      </c>
      <c r="F630" s="6" t="s">
        <v>9</v>
      </c>
      <c r="G630" s="6" t="s">
        <v>59</v>
      </c>
      <c r="H630" s="9" t="s">
        <v>60</v>
      </c>
      <c r="I630" s="7" t="str">
        <f t="shared" si="36"/>
        <v>61001001001</v>
      </c>
      <c r="J630" s="7" t="str">
        <f t="shared" si="37"/>
        <v>Материал по ЕГРН</v>
      </c>
      <c r="K630" s="7">
        <f>VLOOKUP(J630,Лист2!A$2:B$4,2,FALSE)</f>
        <v>792</v>
      </c>
      <c r="L630" s="7" t="str">
        <f t="shared" si="38"/>
        <v>ГОТОВ_ИЗМЕНЕН</v>
      </c>
      <c r="M630" s="7">
        <f t="shared" si="39"/>
        <v>0</v>
      </c>
    </row>
    <row r="631" spans="1:13" x14ac:dyDescent="0.25">
      <c r="A631" s="1">
        <v>943437</v>
      </c>
      <c r="B631" s="6" t="s">
        <v>715</v>
      </c>
      <c r="F631" s="6" t="s">
        <v>9</v>
      </c>
      <c r="G631" s="6" t="s">
        <v>38</v>
      </c>
      <c r="H631" s="9" t="s">
        <v>33</v>
      </c>
      <c r="I631" s="7" t="str">
        <f t="shared" si="36"/>
        <v>61001005000</v>
      </c>
      <c r="J631" s="7" t="str">
        <f t="shared" si="37"/>
        <v>Материал по ЕГРН</v>
      </c>
      <c r="K631" s="7">
        <f>VLOOKUP(J631,Лист2!A$2:B$4,2,FALSE)</f>
        <v>792</v>
      </c>
      <c r="L631" s="7" t="str">
        <f t="shared" si="38"/>
        <v>ГОТОВ_ИЗМЕНЕН</v>
      </c>
      <c r="M631" s="7">
        <f t="shared" si="39"/>
        <v>0</v>
      </c>
    </row>
    <row r="632" spans="1:13" x14ac:dyDescent="0.25">
      <c r="A632" s="1">
        <v>943449</v>
      </c>
      <c r="B632" s="6" t="s">
        <v>716</v>
      </c>
      <c r="F632" s="6" t="s">
        <v>9</v>
      </c>
      <c r="G632" s="6" t="s">
        <v>34</v>
      </c>
      <c r="H632" s="9" t="s">
        <v>35</v>
      </c>
      <c r="I632" s="7" t="str">
        <f t="shared" si="36"/>
        <v>61001002000</v>
      </c>
      <c r="J632" s="7" t="str">
        <f t="shared" si="37"/>
        <v>Материал по ЕГРН</v>
      </c>
      <c r="K632" s="7">
        <f>VLOOKUP(J632,Лист2!A$2:B$4,2,FALSE)</f>
        <v>792</v>
      </c>
      <c r="L632" s="7" t="str">
        <f t="shared" si="38"/>
        <v>ГОТОВ_ИЗМЕНЕН</v>
      </c>
      <c r="M632" s="7">
        <f t="shared" si="39"/>
        <v>0</v>
      </c>
    </row>
    <row r="633" spans="1:13" x14ac:dyDescent="0.25">
      <c r="A633" s="1">
        <v>943461</v>
      </c>
      <c r="B633" s="6" t="s">
        <v>717</v>
      </c>
      <c r="F633" s="6" t="s">
        <v>9</v>
      </c>
      <c r="G633" s="6" t="s">
        <v>62</v>
      </c>
      <c r="H633" s="9" t="s">
        <v>63</v>
      </c>
      <c r="I633" s="7" t="str">
        <f t="shared" si="36"/>
        <v>61001006002</v>
      </c>
      <c r="J633" s="7" t="str">
        <f t="shared" si="37"/>
        <v>Материал по ЕГРН</v>
      </c>
      <c r="K633" s="7">
        <f>VLOOKUP(J633,Лист2!A$2:B$4,2,FALSE)</f>
        <v>792</v>
      </c>
      <c r="L633" s="7" t="str">
        <f t="shared" si="38"/>
        <v>ГОТОВ_ИЗМЕНЕН</v>
      </c>
      <c r="M633" s="7">
        <f t="shared" si="39"/>
        <v>0</v>
      </c>
    </row>
    <row r="634" spans="1:13" x14ac:dyDescent="0.25">
      <c r="A634" s="1">
        <v>943473</v>
      </c>
      <c r="B634" s="6" t="s">
        <v>718</v>
      </c>
      <c r="F634" s="6" t="s">
        <v>9</v>
      </c>
      <c r="G634" s="6" t="s">
        <v>149</v>
      </c>
      <c r="H634" s="9" t="s">
        <v>150</v>
      </c>
      <c r="I634" s="7" t="str">
        <f t="shared" si="36"/>
        <v>61001007000</v>
      </c>
      <c r="J634" s="7" t="str">
        <f t="shared" si="37"/>
        <v>Материал по ЕГРН</v>
      </c>
      <c r="K634" s="7">
        <f>VLOOKUP(J634,Лист2!A$2:B$4,2,FALSE)</f>
        <v>792</v>
      </c>
      <c r="L634" s="7" t="str">
        <f t="shared" si="38"/>
        <v>ГОТОВ_ИЗМЕНЕН</v>
      </c>
      <c r="M634" s="7">
        <f t="shared" si="39"/>
        <v>0</v>
      </c>
    </row>
    <row r="635" spans="1:13" x14ac:dyDescent="0.25">
      <c r="A635" s="1">
        <v>943485</v>
      </c>
      <c r="B635" s="6" t="s">
        <v>719</v>
      </c>
      <c r="F635" s="6" t="s">
        <v>9</v>
      </c>
      <c r="G635" s="6" t="s">
        <v>139</v>
      </c>
      <c r="H635" s="9" t="s">
        <v>140</v>
      </c>
      <c r="I635" s="7" t="str">
        <f t="shared" si="36"/>
        <v>61001999000</v>
      </c>
      <c r="J635" s="7" t="str">
        <f t="shared" si="37"/>
        <v>Материал по ЕГРН</v>
      </c>
      <c r="K635" s="7">
        <f>VLOOKUP(J635,Лист2!A$2:B$4,2,FALSE)</f>
        <v>792</v>
      </c>
      <c r="L635" s="7" t="str">
        <f t="shared" si="38"/>
        <v>ГОТОВ_ИЗМЕНЕН</v>
      </c>
      <c r="M635" s="7">
        <f t="shared" si="39"/>
        <v>0</v>
      </c>
    </row>
    <row r="636" spans="1:13" x14ac:dyDescent="0.25">
      <c r="A636" s="1">
        <v>943497</v>
      </c>
      <c r="B636" s="6" t="s">
        <v>720</v>
      </c>
      <c r="F636" s="6" t="s">
        <v>9</v>
      </c>
      <c r="G636" s="6" t="s">
        <v>34</v>
      </c>
      <c r="H636" s="9" t="s">
        <v>35</v>
      </c>
      <c r="I636" s="7" t="str">
        <f t="shared" si="36"/>
        <v>61001002000</v>
      </c>
      <c r="J636" s="7" t="str">
        <f t="shared" si="37"/>
        <v>Материал по ЕГРН</v>
      </c>
      <c r="K636" s="7">
        <f>VLOOKUP(J636,Лист2!A$2:B$4,2,FALSE)</f>
        <v>792</v>
      </c>
      <c r="L636" s="7" t="str">
        <f t="shared" si="38"/>
        <v>ГОТОВ_ИЗМЕНЕН</v>
      </c>
      <c r="M636" s="7">
        <f t="shared" si="39"/>
        <v>0</v>
      </c>
    </row>
    <row r="637" spans="1:13" x14ac:dyDescent="0.25">
      <c r="A637" s="1">
        <v>943509</v>
      </c>
      <c r="B637" s="6" t="s">
        <v>721</v>
      </c>
      <c r="F637" s="6" t="s">
        <v>9</v>
      </c>
      <c r="G637" s="6" t="s">
        <v>34</v>
      </c>
      <c r="H637" s="9" t="s">
        <v>35</v>
      </c>
      <c r="I637" s="7" t="str">
        <f t="shared" si="36"/>
        <v>61001002000</v>
      </c>
      <c r="J637" s="7" t="str">
        <f t="shared" si="37"/>
        <v>Материал по ЕГРН</v>
      </c>
      <c r="K637" s="7">
        <f>VLOOKUP(J637,Лист2!A$2:B$4,2,FALSE)</f>
        <v>792</v>
      </c>
      <c r="L637" s="7" t="str">
        <f t="shared" si="38"/>
        <v>ГОТОВ_ИЗМЕНЕН</v>
      </c>
      <c r="M637" s="7">
        <f t="shared" si="39"/>
        <v>0</v>
      </c>
    </row>
    <row r="638" spans="1:13" x14ac:dyDescent="0.25">
      <c r="A638" s="1">
        <v>943521</v>
      </c>
      <c r="B638" s="6" t="s">
        <v>722</v>
      </c>
      <c r="F638" s="6" t="s">
        <v>9</v>
      </c>
      <c r="G638" s="6" t="s">
        <v>10</v>
      </c>
      <c r="H638" s="9" t="s">
        <v>11</v>
      </c>
      <c r="I638" s="7" t="str">
        <f t="shared" si="36"/>
        <v>61001003000</v>
      </c>
      <c r="J638" s="7" t="str">
        <f t="shared" si="37"/>
        <v>Материал по ЕГРН</v>
      </c>
      <c r="K638" s="7">
        <f>VLOOKUP(J638,Лист2!A$2:B$4,2,FALSE)</f>
        <v>792</v>
      </c>
      <c r="L638" s="7" t="str">
        <f t="shared" si="38"/>
        <v>ГОТОВ_ИЗМЕНЕН</v>
      </c>
      <c r="M638" s="7">
        <f t="shared" si="39"/>
        <v>0</v>
      </c>
    </row>
    <row r="639" spans="1:13" x14ac:dyDescent="0.25">
      <c r="A639" s="1">
        <v>943533</v>
      </c>
      <c r="B639" s="6" t="s">
        <v>723</v>
      </c>
      <c r="F639" s="6" t="s">
        <v>9</v>
      </c>
      <c r="G639" s="6" t="s">
        <v>149</v>
      </c>
      <c r="H639" s="9" t="s">
        <v>150</v>
      </c>
      <c r="I639" s="7" t="str">
        <f t="shared" si="36"/>
        <v>61001007000</v>
      </c>
      <c r="J639" s="7" t="str">
        <f t="shared" si="37"/>
        <v>Материал по ЕГРН</v>
      </c>
      <c r="K639" s="7">
        <f>VLOOKUP(J639,Лист2!A$2:B$4,2,FALSE)</f>
        <v>792</v>
      </c>
      <c r="L639" s="7" t="str">
        <f t="shared" si="38"/>
        <v>ГОТОВ_ИЗМЕНЕН</v>
      </c>
      <c r="M639" s="7">
        <f t="shared" si="39"/>
        <v>0</v>
      </c>
    </row>
    <row r="640" spans="1:13" x14ac:dyDescent="0.25">
      <c r="A640" s="1">
        <v>943545</v>
      </c>
      <c r="B640" s="6" t="s">
        <v>724</v>
      </c>
      <c r="F640" s="6" t="s">
        <v>9</v>
      </c>
      <c r="G640" s="6" t="s">
        <v>38</v>
      </c>
      <c r="H640" s="9" t="s">
        <v>33</v>
      </c>
      <c r="I640" s="7" t="str">
        <f t="shared" si="36"/>
        <v>61001005000</v>
      </c>
      <c r="J640" s="7" t="str">
        <f t="shared" si="37"/>
        <v>Материал по ЕГРН</v>
      </c>
      <c r="K640" s="7">
        <f>VLOOKUP(J640,Лист2!A$2:B$4,2,FALSE)</f>
        <v>792</v>
      </c>
      <c r="L640" s="7" t="str">
        <f t="shared" si="38"/>
        <v>ГОТОВ_ИЗМЕНЕН</v>
      </c>
      <c r="M640" s="7">
        <f t="shared" si="39"/>
        <v>0</v>
      </c>
    </row>
    <row r="641" spans="1:13" x14ac:dyDescent="0.25">
      <c r="A641" s="1">
        <v>943557</v>
      </c>
      <c r="B641" s="6" t="s">
        <v>725</v>
      </c>
      <c r="F641" s="6" t="s">
        <v>9</v>
      </c>
      <c r="G641" s="6" t="s">
        <v>90</v>
      </c>
      <c r="H641" s="9" t="s">
        <v>12</v>
      </c>
      <c r="I641" s="7" t="str">
        <f t="shared" si="36"/>
        <v>61001008000</v>
      </c>
      <c r="J641" s="7" t="str">
        <f t="shared" si="37"/>
        <v>Материал по ЕГРН</v>
      </c>
      <c r="K641" s="7">
        <f>VLOOKUP(J641,Лист2!A$2:B$4,2,FALSE)</f>
        <v>792</v>
      </c>
      <c r="L641" s="7" t="str">
        <f t="shared" si="38"/>
        <v>ГОТОВ_ИЗМЕНЕН</v>
      </c>
      <c r="M641" s="7">
        <f t="shared" si="39"/>
        <v>0</v>
      </c>
    </row>
    <row r="642" spans="1:13" x14ac:dyDescent="0.25">
      <c r="A642" s="1">
        <v>943569</v>
      </c>
      <c r="B642" s="6" t="s">
        <v>726</v>
      </c>
      <c r="F642" s="6" t="s">
        <v>9</v>
      </c>
      <c r="G642" s="6" t="s">
        <v>10</v>
      </c>
      <c r="H642" s="9" t="s">
        <v>11</v>
      </c>
      <c r="I642" s="7" t="str">
        <f t="shared" si="36"/>
        <v>61001003000</v>
      </c>
      <c r="J642" s="7" t="str">
        <f t="shared" si="37"/>
        <v>Материал по ЕГРН</v>
      </c>
      <c r="K642" s="7">
        <f>VLOOKUP(J642,Лист2!A$2:B$4,2,FALSE)</f>
        <v>792</v>
      </c>
      <c r="L642" s="7" t="str">
        <f t="shared" si="38"/>
        <v>ГОТОВ_ИЗМЕНЕН</v>
      </c>
      <c r="M642" s="7">
        <f t="shared" si="39"/>
        <v>0</v>
      </c>
    </row>
    <row r="643" spans="1:13" x14ac:dyDescent="0.25">
      <c r="A643" s="1">
        <v>943581</v>
      </c>
      <c r="B643" s="6" t="s">
        <v>727</v>
      </c>
      <c r="F643" s="6" t="s">
        <v>9</v>
      </c>
      <c r="G643" s="6" t="s">
        <v>10</v>
      </c>
      <c r="H643" s="9" t="s">
        <v>11</v>
      </c>
      <c r="I643" s="7" t="str">
        <f t="shared" si="36"/>
        <v>61001003000</v>
      </c>
      <c r="J643" s="7" t="str">
        <f t="shared" si="37"/>
        <v>Материал по ЕГРН</v>
      </c>
      <c r="K643" s="7">
        <f>VLOOKUP(J643,Лист2!A$2:B$4,2,FALSE)</f>
        <v>792</v>
      </c>
      <c r="L643" s="7" t="str">
        <f t="shared" si="38"/>
        <v>ГОТОВ_ИЗМЕНЕН</v>
      </c>
      <c r="M643" s="7">
        <f t="shared" si="39"/>
        <v>0</v>
      </c>
    </row>
    <row r="644" spans="1:13" x14ac:dyDescent="0.25">
      <c r="A644" s="1">
        <v>943593</v>
      </c>
      <c r="B644" s="6" t="s">
        <v>728</v>
      </c>
      <c r="F644" s="6" t="s">
        <v>9</v>
      </c>
      <c r="G644" s="6" t="s">
        <v>43</v>
      </c>
      <c r="H644" s="9" t="s">
        <v>42</v>
      </c>
      <c r="I644" s="7" t="str">
        <f t="shared" si="36"/>
        <v>61001002001</v>
      </c>
      <c r="J644" s="7" t="str">
        <f t="shared" si="37"/>
        <v>Материал по ЕГРН</v>
      </c>
      <c r="K644" s="7">
        <f>VLOOKUP(J644,Лист2!A$2:B$4,2,FALSE)</f>
        <v>792</v>
      </c>
      <c r="L644" s="7" t="str">
        <f t="shared" si="38"/>
        <v>ГОТОВ_ИЗМЕНЕН</v>
      </c>
      <c r="M644" s="7">
        <f t="shared" si="39"/>
        <v>0</v>
      </c>
    </row>
    <row r="645" spans="1:13" x14ac:dyDescent="0.25">
      <c r="A645" s="1">
        <v>943605</v>
      </c>
      <c r="B645" s="6" t="s">
        <v>729</v>
      </c>
      <c r="F645" s="6" t="s">
        <v>9</v>
      </c>
      <c r="G645" s="6" t="s">
        <v>34</v>
      </c>
      <c r="H645" s="9" t="s">
        <v>35</v>
      </c>
      <c r="I645" s="7" t="str">
        <f t="shared" ref="I645:I708" si="40">IF(LEN(H645)=11,H645,IF(LEN(H645)=0,"61001005000","61001003000"))</f>
        <v>61001002000</v>
      </c>
      <c r="J645" s="7" t="str">
        <f t="shared" ref="J645:J708" si="41">IF(LEN(H645)=11,"Материал по ЕГРН",IF(LEN(H645)=0,"Прочие по допущению","Смешанные по допущению"))</f>
        <v>Материал по ЕГРН</v>
      </c>
      <c r="K645" s="7">
        <f>VLOOKUP(J645,Лист2!A$2:B$4,2,FALSE)</f>
        <v>792</v>
      </c>
      <c r="L645" s="7" t="str">
        <f t="shared" ref="L645:L708" si="42">IF(I645=C645,"ГОТОВ","ГОТОВ_ИЗМЕНЕН")</f>
        <v>ГОТОВ_ИЗМЕНЕН</v>
      </c>
      <c r="M645" s="7">
        <f t="shared" ref="M645:M708" si="43">C645</f>
        <v>0</v>
      </c>
    </row>
    <row r="646" spans="1:13" x14ac:dyDescent="0.25">
      <c r="A646" s="1">
        <v>943617</v>
      </c>
      <c r="B646" s="6" t="s">
        <v>730</v>
      </c>
      <c r="F646" s="6" t="s">
        <v>9</v>
      </c>
      <c r="G646" s="6" t="s">
        <v>38</v>
      </c>
      <c r="H646" s="9" t="s">
        <v>33</v>
      </c>
      <c r="I646" s="7" t="str">
        <f t="shared" si="40"/>
        <v>61001005000</v>
      </c>
      <c r="J646" s="7" t="str">
        <f t="shared" si="41"/>
        <v>Материал по ЕГРН</v>
      </c>
      <c r="K646" s="7">
        <f>VLOOKUP(J646,Лист2!A$2:B$4,2,FALSE)</f>
        <v>792</v>
      </c>
      <c r="L646" s="7" t="str">
        <f t="shared" si="42"/>
        <v>ГОТОВ_ИЗМЕНЕН</v>
      </c>
      <c r="M646" s="7">
        <f t="shared" si="43"/>
        <v>0</v>
      </c>
    </row>
    <row r="647" spans="1:13" x14ac:dyDescent="0.25">
      <c r="A647" s="1">
        <v>120535</v>
      </c>
      <c r="B647" s="6" t="s">
        <v>731</v>
      </c>
      <c r="C647" s="9" t="s">
        <v>42</v>
      </c>
      <c r="D647" s="6" t="s">
        <v>20</v>
      </c>
      <c r="E647" s="6" t="s">
        <v>37</v>
      </c>
      <c r="F647" s="6" t="s">
        <v>9</v>
      </c>
      <c r="G647" s="6" t="s">
        <v>43</v>
      </c>
      <c r="H647" s="9" t="s">
        <v>42</v>
      </c>
      <c r="I647" s="7" t="str">
        <f t="shared" si="40"/>
        <v>61001002001</v>
      </c>
      <c r="J647" s="7" t="str">
        <f t="shared" si="41"/>
        <v>Материал по ЕГРН</v>
      </c>
      <c r="K647" s="7">
        <f>VLOOKUP(J647,Лист2!A$2:B$4,2,FALSE)</f>
        <v>792</v>
      </c>
      <c r="L647" s="7" t="str">
        <f t="shared" si="42"/>
        <v>ГОТОВ</v>
      </c>
      <c r="M647" s="7" t="str">
        <f t="shared" si="43"/>
        <v>61001002001</v>
      </c>
    </row>
    <row r="648" spans="1:13" x14ac:dyDescent="0.25">
      <c r="A648" s="1">
        <v>276039</v>
      </c>
      <c r="B648" s="6" t="s">
        <v>732</v>
      </c>
      <c r="C648" s="9" t="s">
        <v>33</v>
      </c>
      <c r="D648" s="6" t="s">
        <v>20</v>
      </c>
      <c r="E648" s="6" t="s">
        <v>37</v>
      </c>
      <c r="F648" s="6" t="s">
        <v>9</v>
      </c>
      <c r="G648" s="6" t="s">
        <v>38</v>
      </c>
      <c r="H648" s="9" t="s">
        <v>33</v>
      </c>
      <c r="I648" s="7" t="str">
        <f t="shared" si="40"/>
        <v>61001005000</v>
      </c>
      <c r="J648" s="7" t="str">
        <f t="shared" si="41"/>
        <v>Материал по ЕГРН</v>
      </c>
      <c r="K648" s="7">
        <f>VLOOKUP(J648,Лист2!A$2:B$4,2,FALSE)</f>
        <v>792</v>
      </c>
      <c r="L648" s="7" t="str">
        <f t="shared" si="42"/>
        <v>ГОТОВ</v>
      </c>
      <c r="M648" s="7" t="str">
        <f t="shared" si="43"/>
        <v>61001005000</v>
      </c>
    </row>
    <row r="649" spans="1:13" x14ac:dyDescent="0.25">
      <c r="A649" s="1">
        <v>520837</v>
      </c>
      <c r="B649" s="6" t="s">
        <v>733</v>
      </c>
      <c r="C649" s="9" t="s">
        <v>33</v>
      </c>
      <c r="D649" s="6" t="s">
        <v>20</v>
      </c>
      <c r="E649" s="6" t="s">
        <v>37</v>
      </c>
      <c r="F649" s="6" t="s">
        <v>9</v>
      </c>
      <c r="G649" s="6" t="s">
        <v>38</v>
      </c>
      <c r="H649" s="9" t="s">
        <v>33</v>
      </c>
      <c r="I649" s="7" t="str">
        <f t="shared" si="40"/>
        <v>61001005000</v>
      </c>
      <c r="J649" s="7" t="str">
        <f t="shared" si="41"/>
        <v>Материал по ЕГРН</v>
      </c>
      <c r="K649" s="7">
        <f>VLOOKUP(J649,Лист2!A$2:B$4,2,FALSE)</f>
        <v>792</v>
      </c>
      <c r="L649" s="7" t="str">
        <f t="shared" si="42"/>
        <v>ГОТОВ</v>
      </c>
      <c r="M649" s="7" t="str">
        <f t="shared" si="43"/>
        <v>61001005000</v>
      </c>
    </row>
    <row r="650" spans="1:13" x14ac:dyDescent="0.25">
      <c r="A650" s="1">
        <v>520922</v>
      </c>
      <c r="B650" s="6" t="s">
        <v>734</v>
      </c>
      <c r="C650" s="9" t="s">
        <v>33</v>
      </c>
      <c r="D650" s="6" t="s">
        <v>20</v>
      </c>
      <c r="E650" s="6" t="s">
        <v>37</v>
      </c>
      <c r="F650" s="6" t="s">
        <v>9</v>
      </c>
      <c r="G650" s="6" t="s">
        <v>38</v>
      </c>
      <c r="H650" s="9" t="s">
        <v>33</v>
      </c>
      <c r="I650" s="7" t="str">
        <f t="shared" si="40"/>
        <v>61001005000</v>
      </c>
      <c r="J650" s="7" t="str">
        <f t="shared" si="41"/>
        <v>Материал по ЕГРН</v>
      </c>
      <c r="K650" s="7">
        <f>VLOOKUP(J650,Лист2!A$2:B$4,2,FALSE)</f>
        <v>792</v>
      </c>
      <c r="L650" s="7" t="str">
        <f t="shared" si="42"/>
        <v>ГОТОВ</v>
      </c>
      <c r="M650" s="7" t="str">
        <f t="shared" si="43"/>
        <v>61001005000</v>
      </c>
    </row>
    <row r="651" spans="1:13" x14ac:dyDescent="0.25">
      <c r="A651" s="1">
        <v>539415</v>
      </c>
      <c r="B651" s="6" t="s">
        <v>735</v>
      </c>
      <c r="C651" s="9" t="s">
        <v>33</v>
      </c>
      <c r="D651" s="6" t="s">
        <v>20</v>
      </c>
      <c r="E651" s="6" t="s">
        <v>37</v>
      </c>
      <c r="F651" s="6" t="s">
        <v>9</v>
      </c>
      <c r="G651" s="6" t="s">
        <v>38</v>
      </c>
      <c r="H651" s="9" t="s">
        <v>33</v>
      </c>
      <c r="I651" s="7" t="str">
        <f t="shared" si="40"/>
        <v>61001005000</v>
      </c>
      <c r="J651" s="7" t="str">
        <f t="shared" si="41"/>
        <v>Материал по ЕГРН</v>
      </c>
      <c r="K651" s="7">
        <f>VLOOKUP(J651,Лист2!A$2:B$4,2,FALSE)</f>
        <v>792</v>
      </c>
      <c r="L651" s="7" t="str">
        <f t="shared" si="42"/>
        <v>ГОТОВ</v>
      </c>
      <c r="M651" s="7" t="str">
        <f t="shared" si="43"/>
        <v>61001005000</v>
      </c>
    </row>
    <row r="652" spans="1:13" x14ac:dyDescent="0.25">
      <c r="A652" s="1">
        <v>944642</v>
      </c>
      <c r="B652" s="6" t="s">
        <v>736</v>
      </c>
      <c r="F652" s="6" t="s">
        <v>9</v>
      </c>
      <c r="G652" s="6" t="s">
        <v>38</v>
      </c>
      <c r="H652" s="9" t="s">
        <v>33</v>
      </c>
      <c r="I652" s="7" t="str">
        <f t="shared" si="40"/>
        <v>61001005000</v>
      </c>
      <c r="J652" s="7" t="str">
        <f t="shared" si="41"/>
        <v>Материал по ЕГРН</v>
      </c>
      <c r="K652" s="7">
        <f>VLOOKUP(J652,Лист2!A$2:B$4,2,FALSE)</f>
        <v>792</v>
      </c>
      <c r="L652" s="7" t="str">
        <f t="shared" si="42"/>
        <v>ГОТОВ_ИЗМЕНЕН</v>
      </c>
      <c r="M652" s="7">
        <f t="shared" si="43"/>
        <v>0</v>
      </c>
    </row>
    <row r="653" spans="1:13" x14ac:dyDescent="0.25">
      <c r="A653" s="1">
        <v>944654</v>
      </c>
      <c r="B653" s="6" t="s">
        <v>737</v>
      </c>
      <c r="F653" s="6" t="s">
        <v>9</v>
      </c>
      <c r="G653" s="6" t="s">
        <v>59</v>
      </c>
      <c r="H653" s="9" t="s">
        <v>60</v>
      </c>
      <c r="I653" s="7" t="str">
        <f t="shared" si="40"/>
        <v>61001001001</v>
      </c>
      <c r="J653" s="7" t="str">
        <f t="shared" si="41"/>
        <v>Материал по ЕГРН</v>
      </c>
      <c r="K653" s="7">
        <f>VLOOKUP(J653,Лист2!A$2:B$4,2,FALSE)</f>
        <v>792</v>
      </c>
      <c r="L653" s="7" t="str">
        <f t="shared" si="42"/>
        <v>ГОТОВ_ИЗМЕНЕН</v>
      </c>
      <c r="M653" s="7">
        <f t="shared" si="43"/>
        <v>0</v>
      </c>
    </row>
    <row r="654" spans="1:13" x14ac:dyDescent="0.25">
      <c r="A654" s="1">
        <v>944666</v>
      </c>
      <c r="B654" s="6" t="s">
        <v>738</v>
      </c>
      <c r="F654" s="6" t="s">
        <v>9</v>
      </c>
      <c r="G654" s="6" t="s">
        <v>62</v>
      </c>
      <c r="H654" s="9" t="s">
        <v>63</v>
      </c>
      <c r="I654" s="7" t="str">
        <f t="shared" si="40"/>
        <v>61001006002</v>
      </c>
      <c r="J654" s="7" t="str">
        <f t="shared" si="41"/>
        <v>Материал по ЕГРН</v>
      </c>
      <c r="K654" s="7">
        <f>VLOOKUP(J654,Лист2!A$2:B$4,2,FALSE)</f>
        <v>792</v>
      </c>
      <c r="L654" s="7" t="str">
        <f t="shared" si="42"/>
        <v>ГОТОВ_ИЗМЕНЕН</v>
      </c>
      <c r="M654" s="7">
        <f t="shared" si="43"/>
        <v>0</v>
      </c>
    </row>
    <row r="655" spans="1:13" x14ac:dyDescent="0.25">
      <c r="A655" s="1">
        <v>944678</v>
      </c>
      <c r="B655" s="6" t="s">
        <v>739</v>
      </c>
      <c r="F655" s="6" t="s">
        <v>9</v>
      </c>
      <c r="G655" s="6" t="s">
        <v>38</v>
      </c>
      <c r="H655" s="9" t="s">
        <v>33</v>
      </c>
      <c r="I655" s="7" t="str">
        <f t="shared" si="40"/>
        <v>61001005000</v>
      </c>
      <c r="J655" s="7" t="str">
        <f t="shared" si="41"/>
        <v>Материал по ЕГРН</v>
      </c>
      <c r="K655" s="7">
        <f>VLOOKUP(J655,Лист2!A$2:B$4,2,FALSE)</f>
        <v>792</v>
      </c>
      <c r="L655" s="7" t="str">
        <f t="shared" si="42"/>
        <v>ГОТОВ_ИЗМЕНЕН</v>
      </c>
      <c r="M655" s="7">
        <f t="shared" si="43"/>
        <v>0</v>
      </c>
    </row>
    <row r="656" spans="1:13" x14ac:dyDescent="0.25">
      <c r="A656" s="1">
        <v>944690</v>
      </c>
      <c r="B656" s="6" t="s">
        <v>740</v>
      </c>
      <c r="F656" s="6" t="s">
        <v>9</v>
      </c>
      <c r="G656" s="6" t="s">
        <v>34</v>
      </c>
      <c r="H656" s="9" t="s">
        <v>35</v>
      </c>
      <c r="I656" s="7" t="str">
        <f t="shared" si="40"/>
        <v>61001002000</v>
      </c>
      <c r="J656" s="7" t="str">
        <f t="shared" si="41"/>
        <v>Материал по ЕГРН</v>
      </c>
      <c r="K656" s="7">
        <f>VLOOKUP(J656,Лист2!A$2:B$4,2,FALSE)</f>
        <v>792</v>
      </c>
      <c r="L656" s="7" t="str">
        <f t="shared" si="42"/>
        <v>ГОТОВ_ИЗМЕНЕН</v>
      </c>
      <c r="M656" s="7">
        <f t="shared" si="43"/>
        <v>0</v>
      </c>
    </row>
    <row r="657" spans="1:13" x14ac:dyDescent="0.25">
      <c r="A657" s="1">
        <v>944702</v>
      </c>
      <c r="B657" s="6" t="s">
        <v>741</v>
      </c>
      <c r="F657" s="6" t="s">
        <v>9</v>
      </c>
      <c r="G657" s="6" t="s">
        <v>38</v>
      </c>
      <c r="H657" s="9" t="s">
        <v>33</v>
      </c>
      <c r="I657" s="7" t="str">
        <f t="shared" si="40"/>
        <v>61001005000</v>
      </c>
      <c r="J657" s="7" t="str">
        <f t="shared" si="41"/>
        <v>Материал по ЕГРН</v>
      </c>
      <c r="K657" s="7">
        <f>VLOOKUP(J657,Лист2!A$2:B$4,2,FALSE)</f>
        <v>792</v>
      </c>
      <c r="L657" s="7" t="str">
        <f t="shared" si="42"/>
        <v>ГОТОВ_ИЗМЕНЕН</v>
      </c>
      <c r="M657" s="7">
        <f t="shared" si="43"/>
        <v>0</v>
      </c>
    </row>
    <row r="658" spans="1:13" x14ac:dyDescent="0.25">
      <c r="A658" s="1">
        <v>944714</v>
      </c>
      <c r="B658" s="6" t="s">
        <v>742</v>
      </c>
      <c r="F658" s="6" t="s">
        <v>9</v>
      </c>
      <c r="G658" s="6" t="s">
        <v>170</v>
      </c>
      <c r="H658" s="9" t="s">
        <v>171</v>
      </c>
      <c r="I658" s="7" t="str">
        <f t="shared" si="40"/>
        <v>61001001000</v>
      </c>
      <c r="J658" s="7" t="str">
        <f t="shared" si="41"/>
        <v>Материал по ЕГРН</v>
      </c>
      <c r="K658" s="7">
        <f>VLOOKUP(J658,Лист2!A$2:B$4,2,FALSE)</f>
        <v>792</v>
      </c>
      <c r="L658" s="7" t="str">
        <f t="shared" si="42"/>
        <v>ГОТОВ_ИЗМЕНЕН</v>
      </c>
      <c r="M658" s="7">
        <f t="shared" si="43"/>
        <v>0</v>
      </c>
    </row>
    <row r="659" spans="1:13" x14ac:dyDescent="0.25">
      <c r="A659" s="1">
        <v>944726</v>
      </c>
      <c r="B659" s="6" t="s">
        <v>743</v>
      </c>
      <c r="F659" s="6" t="s">
        <v>9</v>
      </c>
      <c r="G659" s="6" t="s">
        <v>62</v>
      </c>
      <c r="H659" s="9" t="s">
        <v>63</v>
      </c>
      <c r="I659" s="7" t="str">
        <f t="shared" si="40"/>
        <v>61001006002</v>
      </c>
      <c r="J659" s="7" t="str">
        <f t="shared" si="41"/>
        <v>Материал по ЕГРН</v>
      </c>
      <c r="K659" s="7">
        <f>VLOOKUP(J659,Лист2!A$2:B$4,2,FALSE)</f>
        <v>792</v>
      </c>
      <c r="L659" s="7" t="str">
        <f t="shared" si="42"/>
        <v>ГОТОВ_ИЗМЕНЕН</v>
      </c>
      <c r="M659" s="7">
        <f t="shared" si="43"/>
        <v>0</v>
      </c>
    </row>
    <row r="660" spans="1:13" x14ac:dyDescent="0.25">
      <c r="A660" s="1">
        <v>944738</v>
      </c>
      <c r="B660" s="6" t="s">
        <v>744</v>
      </c>
      <c r="F660" s="6" t="s">
        <v>9</v>
      </c>
      <c r="G660" s="6" t="s">
        <v>43</v>
      </c>
      <c r="H660" s="9" t="s">
        <v>42</v>
      </c>
      <c r="I660" s="7" t="str">
        <f t="shared" si="40"/>
        <v>61001002001</v>
      </c>
      <c r="J660" s="7" t="str">
        <f t="shared" si="41"/>
        <v>Материал по ЕГРН</v>
      </c>
      <c r="K660" s="7">
        <f>VLOOKUP(J660,Лист2!A$2:B$4,2,FALSE)</f>
        <v>792</v>
      </c>
      <c r="L660" s="7" t="str">
        <f t="shared" si="42"/>
        <v>ГОТОВ_ИЗМЕНЕН</v>
      </c>
      <c r="M660" s="7">
        <f t="shared" si="43"/>
        <v>0</v>
      </c>
    </row>
    <row r="661" spans="1:13" x14ac:dyDescent="0.25">
      <c r="A661" s="1">
        <v>944750</v>
      </c>
      <c r="B661" s="6" t="s">
        <v>745</v>
      </c>
      <c r="F661" s="6" t="s">
        <v>9</v>
      </c>
      <c r="G661" s="6" t="s">
        <v>38</v>
      </c>
      <c r="H661" s="9" t="s">
        <v>33</v>
      </c>
      <c r="I661" s="7" t="str">
        <f t="shared" si="40"/>
        <v>61001005000</v>
      </c>
      <c r="J661" s="7" t="str">
        <f t="shared" si="41"/>
        <v>Материал по ЕГРН</v>
      </c>
      <c r="K661" s="7">
        <f>VLOOKUP(J661,Лист2!A$2:B$4,2,FALSE)</f>
        <v>792</v>
      </c>
      <c r="L661" s="7" t="str">
        <f t="shared" si="42"/>
        <v>ГОТОВ_ИЗМЕНЕН</v>
      </c>
      <c r="M661" s="7">
        <f t="shared" si="43"/>
        <v>0</v>
      </c>
    </row>
    <row r="662" spans="1:13" x14ac:dyDescent="0.25">
      <c r="A662" s="1">
        <v>944762</v>
      </c>
      <c r="B662" s="6" t="s">
        <v>746</v>
      </c>
      <c r="F662" s="6" t="s">
        <v>9</v>
      </c>
      <c r="G662" s="6" t="s">
        <v>62</v>
      </c>
      <c r="H662" s="9" t="s">
        <v>63</v>
      </c>
      <c r="I662" s="7" t="str">
        <f t="shared" si="40"/>
        <v>61001006002</v>
      </c>
      <c r="J662" s="7" t="str">
        <f t="shared" si="41"/>
        <v>Материал по ЕГРН</v>
      </c>
      <c r="K662" s="7">
        <f>VLOOKUP(J662,Лист2!A$2:B$4,2,FALSE)</f>
        <v>792</v>
      </c>
      <c r="L662" s="7" t="str">
        <f t="shared" si="42"/>
        <v>ГОТОВ_ИЗМЕНЕН</v>
      </c>
      <c r="M662" s="7">
        <f t="shared" si="43"/>
        <v>0</v>
      </c>
    </row>
    <row r="663" spans="1:13" x14ac:dyDescent="0.25">
      <c r="A663" s="1">
        <v>944774</v>
      </c>
      <c r="B663" s="6" t="s">
        <v>747</v>
      </c>
      <c r="F663" s="6" t="s">
        <v>9</v>
      </c>
      <c r="G663" s="6" t="s">
        <v>34</v>
      </c>
      <c r="H663" s="9" t="s">
        <v>35</v>
      </c>
      <c r="I663" s="7" t="str">
        <f t="shared" si="40"/>
        <v>61001002000</v>
      </c>
      <c r="J663" s="7" t="str">
        <f t="shared" si="41"/>
        <v>Материал по ЕГРН</v>
      </c>
      <c r="K663" s="7">
        <f>VLOOKUP(J663,Лист2!A$2:B$4,2,FALSE)</f>
        <v>792</v>
      </c>
      <c r="L663" s="7" t="str">
        <f t="shared" si="42"/>
        <v>ГОТОВ_ИЗМЕНЕН</v>
      </c>
      <c r="M663" s="7">
        <f t="shared" si="43"/>
        <v>0</v>
      </c>
    </row>
    <row r="664" spans="1:13" x14ac:dyDescent="0.25">
      <c r="A664" s="1">
        <v>944786</v>
      </c>
      <c r="B664" s="6" t="s">
        <v>748</v>
      </c>
      <c r="F664" s="6" t="s">
        <v>9</v>
      </c>
      <c r="G664" s="6" t="s">
        <v>38</v>
      </c>
      <c r="H664" s="9" t="s">
        <v>33</v>
      </c>
      <c r="I664" s="7" t="str">
        <f t="shared" si="40"/>
        <v>61001005000</v>
      </c>
      <c r="J664" s="7" t="str">
        <f t="shared" si="41"/>
        <v>Материал по ЕГРН</v>
      </c>
      <c r="K664" s="7">
        <f>VLOOKUP(J664,Лист2!A$2:B$4,2,FALSE)</f>
        <v>792</v>
      </c>
      <c r="L664" s="7" t="str">
        <f t="shared" si="42"/>
        <v>ГОТОВ_ИЗМЕНЕН</v>
      </c>
      <c r="M664" s="7">
        <f t="shared" si="43"/>
        <v>0</v>
      </c>
    </row>
    <row r="665" spans="1:13" x14ac:dyDescent="0.25">
      <c r="A665" s="1">
        <v>944798</v>
      </c>
      <c r="B665" s="6" t="s">
        <v>749</v>
      </c>
      <c r="F665" s="6" t="s">
        <v>9</v>
      </c>
      <c r="G665" s="6" t="s">
        <v>750</v>
      </c>
      <c r="H665" s="9" t="s">
        <v>751</v>
      </c>
      <c r="I665" s="7" t="str">
        <f t="shared" si="40"/>
        <v>61001004000</v>
      </c>
      <c r="J665" s="7" t="str">
        <f t="shared" si="41"/>
        <v>Материал по ЕГРН</v>
      </c>
      <c r="K665" s="7">
        <f>VLOOKUP(J665,Лист2!A$2:B$4,2,FALSE)</f>
        <v>792</v>
      </c>
      <c r="L665" s="7" t="str">
        <f t="shared" si="42"/>
        <v>ГОТОВ_ИЗМЕНЕН</v>
      </c>
      <c r="M665" s="7">
        <f t="shared" si="43"/>
        <v>0</v>
      </c>
    </row>
    <row r="666" spans="1:13" x14ac:dyDescent="0.25">
      <c r="A666" s="1">
        <v>944810</v>
      </c>
      <c r="B666" s="6" t="s">
        <v>752</v>
      </c>
      <c r="F666" s="6" t="s">
        <v>9</v>
      </c>
      <c r="G666" s="6" t="s">
        <v>10</v>
      </c>
      <c r="H666" s="9" t="s">
        <v>11</v>
      </c>
      <c r="I666" s="7" t="str">
        <f t="shared" si="40"/>
        <v>61001003000</v>
      </c>
      <c r="J666" s="7" t="str">
        <f t="shared" si="41"/>
        <v>Материал по ЕГРН</v>
      </c>
      <c r="K666" s="7">
        <f>VLOOKUP(J666,Лист2!A$2:B$4,2,FALSE)</f>
        <v>792</v>
      </c>
      <c r="L666" s="7" t="str">
        <f t="shared" si="42"/>
        <v>ГОТОВ_ИЗМЕНЕН</v>
      </c>
      <c r="M666" s="7">
        <f t="shared" si="43"/>
        <v>0</v>
      </c>
    </row>
    <row r="667" spans="1:13" x14ac:dyDescent="0.25">
      <c r="A667" s="1">
        <v>944822</v>
      </c>
      <c r="B667" s="6" t="s">
        <v>753</v>
      </c>
      <c r="F667" s="6" t="s">
        <v>9</v>
      </c>
      <c r="G667" s="6" t="s">
        <v>34</v>
      </c>
      <c r="H667" s="9" t="s">
        <v>35</v>
      </c>
      <c r="I667" s="7" t="str">
        <f t="shared" si="40"/>
        <v>61001002000</v>
      </c>
      <c r="J667" s="7" t="str">
        <f t="shared" si="41"/>
        <v>Материал по ЕГРН</v>
      </c>
      <c r="K667" s="7">
        <f>VLOOKUP(J667,Лист2!A$2:B$4,2,FALSE)</f>
        <v>792</v>
      </c>
      <c r="L667" s="7" t="str">
        <f t="shared" si="42"/>
        <v>ГОТОВ_ИЗМЕНЕН</v>
      </c>
      <c r="M667" s="7">
        <f t="shared" si="43"/>
        <v>0</v>
      </c>
    </row>
    <row r="668" spans="1:13" x14ac:dyDescent="0.25">
      <c r="A668" s="1">
        <v>944834</v>
      </c>
      <c r="B668" s="6" t="s">
        <v>754</v>
      </c>
      <c r="F668" s="6" t="s">
        <v>9</v>
      </c>
      <c r="G668" s="6" t="s">
        <v>38</v>
      </c>
      <c r="H668" s="9" t="s">
        <v>33</v>
      </c>
      <c r="I668" s="7" t="str">
        <f t="shared" si="40"/>
        <v>61001005000</v>
      </c>
      <c r="J668" s="7" t="str">
        <f t="shared" si="41"/>
        <v>Материал по ЕГРН</v>
      </c>
      <c r="K668" s="7">
        <f>VLOOKUP(J668,Лист2!A$2:B$4,2,FALSE)</f>
        <v>792</v>
      </c>
      <c r="L668" s="7" t="str">
        <f t="shared" si="42"/>
        <v>ГОТОВ_ИЗМЕНЕН</v>
      </c>
      <c r="M668" s="7">
        <f t="shared" si="43"/>
        <v>0</v>
      </c>
    </row>
    <row r="669" spans="1:13" x14ac:dyDescent="0.25">
      <c r="A669" s="1">
        <v>944846</v>
      </c>
      <c r="B669" s="6" t="s">
        <v>755</v>
      </c>
      <c r="F669" s="6" t="s">
        <v>9</v>
      </c>
      <c r="G669" s="6" t="s">
        <v>34</v>
      </c>
      <c r="H669" s="9" t="s">
        <v>35</v>
      </c>
      <c r="I669" s="7" t="str">
        <f t="shared" si="40"/>
        <v>61001002000</v>
      </c>
      <c r="J669" s="7" t="str">
        <f t="shared" si="41"/>
        <v>Материал по ЕГРН</v>
      </c>
      <c r="K669" s="7">
        <f>VLOOKUP(J669,Лист2!A$2:B$4,2,FALSE)</f>
        <v>792</v>
      </c>
      <c r="L669" s="7" t="str">
        <f t="shared" si="42"/>
        <v>ГОТОВ_ИЗМЕНЕН</v>
      </c>
      <c r="M669" s="7">
        <f t="shared" si="43"/>
        <v>0</v>
      </c>
    </row>
    <row r="670" spans="1:13" x14ac:dyDescent="0.25">
      <c r="A670" s="1">
        <v>944858</v>
      </c>
      <c r="B670" s="6" t="s">
        <v>756</v>
      </c>
      <c r="F670" s="6" t="s">
        <v>9</v>
      </c>
      <c r="G670" s="6" t="s">
        <v>10</v>
      </c>
      <c r="H670" s="9" t="s">
        <v>11</v>
      </c>
      <c r="I670" s="7" t="str">
        <f t="shared" si="40"/>
        <v>61001003000</v>
      </c>
      <c r="J670" s="7" t="str">
        <f t="shared" si="41"/>
        <v>Материал по ЕГРН</v>
      </c>
      <c r="K670" s="7">
        <f>VLOOKUP(J670,Лист2!A$2:B$4,2,FALSE)</f>
        <v>792</v>
      </c>
      <c r="L670" s="7" t="str">
        <f t="shared" si="42"/>
        <v>ГОТОВ_ИЗМЕНЕН</v>
      </c>
      <c r="M670" s="7">
        <f t="shared" si="43"/>
        <v>0</v>
      </c>
    </row>
    <row r="671" spans="1:13" x14ac:dyDescent="0.25">
      <c r="A671" s="1">
        <v>944870</v>
      </c>
      <c r="B671" s="6" t="s">
        <v>757</v>
      </c>
      <c r="F671" s="6" t="s">
        <v>9</v>
      </c>
      <c r="G671" s="6" t="s">
        <v>10</v>
      </c>
      <c r="H671" s="9" t="s">
        <v>11</v>
      </c>
      <c r="I671" s="7" t="str">
        <f t="shared" si="40"/>
        <v>61001003000</v>
      </c>
      <c r="J671" s="7" t="str">
        <f t="shared" si="41"/>
        <v>Материал по ЕГРН</v>
      </c>
      <c r="K671" s="7">
        <f>VLOOKUP(J671,Лист2!A$2:B$4,2,FALSE)</f>
        <v>792</v>
      </c>
      <c r="L671" s="7" t="str">
        <f t="shared" si="42"/>
        <v>ГОТОВ_ИЗМЕНЕН</v>
      </c>
      <c r="M671" s="7">
        <f t="shared" si="43"/>
        <v>0</v>
      </c>
    </row>
    <row r="672" spans="1:13" x14ac:dyDescent="0.25">
      <c r="A672" s="1">
        <v>944882</v>
      </c>
      <c r="B672" s="6" t="s">
        <v>758</v>
      </c>
      <c r="F672" s="6" t="s">
        <v>9</v>
      </c>
      <c r="G672" s="6" t="s">
        <v>38</v>
      </c>
      <c r="H672" s="9" t="s">
        <v>33</v>
      </c>
      <c r="I672" s="7" t="str">
        <f t="shared" si="40"/>
        <v>61001005000</v>
      </c>
      <c r="J672" s="7" t="str">
        <f t="shared" si="41"/>
        <v>Материал по ЕГРН</v>
      </c>
      <c r="K672" s="7">
        <f>VLOOKUP(J672,Лист2!A$2:B$4,2,FALSE)</f>
        <v>792</v>
      </c>
      <c r="L672" s="7" t="str">
        <f t="shared" si="42"/>
        <v>ГОТОВ_ИЗМЕНЕН</v>
      </c>
      <c r="M672" s="7">
        <f t="shared" si="43"/>
        <v>0</v>
      </c>
    </row>
    <row r="673" spans="1:13" x14ac:dyDescent="0.25">
      <c r="A673" s="1">
        <v>944894</v>
      </c>
      <c r="B673" s="6" t="s">
        <v>759</v>
      </c>
      <c r="F673" s="6" t="s">
        <v>9</v>
      </c>
      <c r="G673" s="6" t="s">
        <v>38</v>
      </c>
      <c r="H673" s="9" t="s">
        <v>33</v>
      </c>
      <c r="I673" s="7" t="str">
        <f t="shared" si="40"/>
        <v>61001005000</v>
      </c>
      <c r="J673" s="7" t="str">
        <f t="shared" si="41"/>
        <v>Материал по ЕГРН</v>
      </c>
      <c r="K673" s="7">
        <f>VLOOKUP(J673,Лист2!A$2:B$4,2,FALSE)</f>
        <v>792</v>
      </c>
      <c r="L673" s="7" t="str">
        <f t="shared" si="42"/>
        <v>ГОТОВ_ИЗМЕНЕН</v>
      </c>
      <c r="M673" s="7">
        <f t="shared" si="43"/>
        <v>0</v>
      </c>
    </row>
    <row r="674" spans="1:13" x14ac:dyDescent="0.25">
      <c r="A674" s="1">
        <v>944906</v>
      </c>
      <c r="B674" s="6" t="s">
        <v>760</v>
      </c>
      <c r="F674" s="6" t="s">
        <v>9</v>
      </c>
      <c r="G674" s="6" t="s">
        <v>62</v>
      </c>
      <c r="H674" s="9" t="s">
        <v>63</v>
      </c>
      <c r="I674" s="7" t="str">
        <f t="shared" si="40"/>
        <v>61001006002</v>
      </c>
      <c r="J674" s="7" t="str">
        <f t="shared" si="41"/>
        <v>Материал по ЕГРН</v>
      </c>
      <c r="K674" s="7">
        <f>VLOOKUP(J674,Лист2!A$2:B$4,2,FALSE)</f>
        <v>792</v>
      </c>
      <c r="L674" s="7" t="str">
        <f t="shared" si="42"/>
        <v>ГОТОВ_ИЗМЕНЕН</v>
      </c>
      <c r="M674" s="7">
        <f t="shared" si="43"/>
        <v>0</v>
      </c>
    </row>
    <row r="675" spans="1:13" x14ac:dyDescent="0.25">
      <c r="A675" s="1">
        <v>249086</v>
      </c>
      <c r="B675" s="6" t="s">
        <v>761</v>
      </c>
      <c r="C675" s="9" t="s">
        <v>33</v>
      </c>
      <c r="D675" s="6" t="s">
        <v>20</v>
      </c>
      <c r="E675" s="6" t="s">
        <v>37</v>
      </c>
      <c r="F675" s="6" t="s">
        <v>9</v>
      </c>
      <c r="G675" s="6" t="s">
        <v>38</v>
      </c>
      <c r="H675" s="9" t="s">
        <v>33</v>
      </c>
      <c r="I675" s="7" t="str">
        <f t="shared" si="40"/>
        <v>61001005000</v>
      </c>
      <c r="J675" s="7" t="str">
        <f t="shared" si="41"/>
        <v>Материал по ЕГРН</v>
      </c>
      <c r="K675" s="7">
        <f>VLOOKUP(J675,Лист2!A$2:B$4,2,FALSE)</f>
        <v>792</v>
      </c>
      <c r="L675" s="7" t="str">
        <f t="shared" si="42"/>
        <v>ГОТОВ</v>
      </c>
      <c r="M675" s="7" t="str">
        <f t="shared" si="43"/>
        <v>61001005000</v>
      </c>
    </row>
    <row r="676" spans="1:13" x14ac:dyDescent="0.25">
      <c r="A676" s="1">
        <v>378981</v>
      </c>
      <c r="B676" s="6" t="s">
        <v>762</v>
      </c>
      <c r="C676" s="9" t="s">
        <v>42</v>
      </c>
      <c r="D676" s="6" t="s">
        <v>20</v>
      </c>
      <c r="E676" s="6" t="s">
        <v>37</v>
      </c>
      <c r="F676" s="6" t="s">
        <v>9</v>
      </c>
      <c r="G676" s="6" t="s">
        <v>43</v>
      </c>
      <c r="H676" s="9" t="s">
        <v>42</v>
      </c>
      <c r="I676" s="7" t="str">
        <f t="shared" si="40"/>
        <v>61001002001</v>
      </c>
      <c r="J676" s="7" t="str">
        <f t="shared" si="41"/>
        <v>Материал по ЕГРН</v>
      </c>
      <c r="K676" s="7">
        <f>VLOOKUP(J676,Лист2!A$2:B$4,2,FALSE)</f>
        <v>792</v>
      </c>
      <c r="L676" s="7" t="str">
        <f t="shared" si="42"/>
        <v>ГОТОВ</v>
      </c>
      <c r="M676" s="7" t="str">
        <f t="shared" si="43"/>
        <v>61001002001</v>
      </c>
    </row>
    <row r="677" spans="1:13" x14ac:dyDescent="0.25">
      <c r="A677" s="1">
        <v>645049</v>
      </c>
      <c r="B677" s="6" t="s">
        <v>763</v>
      </c>
      <c r="C677" s="9" t="s">
        <v>42</v>
      </c>
      <c r="D677" s="6" t="s">
        <v>20</v>
      </c>
      <c r="E677" s="6" t="s">
        <v>37</v>
      </c>
      <c r="F677" s="6" t="s">
        <v>9</v>
      </c>
      <c r="G677" s="6" t="s">
        <v>43</v>
      </c>
      <c r="H677" s="9" t="s">
        <v>42</v>
      </c>
      <c r="I677" s="7" t="str">
        <f t="shared" si="40"/>
        <v>61001002001</v>
      </c>
      <c r="J677" s="7" t="str">
        <f t="shared" si="41"/>
        <v>Материал по ЕГРН</v>
      </c>
      <c r="K677" s="7">
        <f>VLOOKUP(J677,Лист2!A$2:B$4,2,FALSE)</f>
        <v>792</v>
      </c>
      <c r="L677" s="7" t="str">
        <f t="shared" si="42"/>
        <v>ГОТОВ</v>
      </c>
      <c r="M677" s="7" t="str">
        <f t="shared" si="43"/>
        <v>61001002001</v>
      </c>
    </row>
    <row r="678" spans="1:13" x14ac:dyDescent="0.25">
      <c r="A678" s="1">
        <v>850234</v>
      </c>
      <c r="B678" s="6" t="s">
        <v>764</v>
      </c>
      <c r="C678" s="9" t="s">
        <v>33</v>
      </c>
      <c r="D678" s="6" t="s">
        <v>20</v>
      </c>
      <c r="E678" s="6" t="s">
        <v>37</v>
      </c>
      <c r="F678" s="6" t="s">
        <v>9</v>
      </c>
      <c r="G678" s="6" t="s">
        <v>38</v>
      </c>
      <c r="H678" s="9" t="s">
        <v>33</v>
      </c>
      <c r="I678" s="7" t="str">
        <f t="shared" si="40"/>
        <v>61001005000</v>
      </c>
      <c r="J678" s="7" t="str">
        <f t="shared" si="41"/>
        <v>Материал по ЕГРН</v>
      </c>
      <c r="K678" s="7">
        <f>VLOOKUP(J678,Лист2!A$2:B$4,2,FALSE)</f>
        <v>792</v>
      </c>
      <c r="L678" s="7" t="str">
        <f t="shared" si="42"/>
        <v>ГОТОВ</v>
      </c>
      <c r="M678" s="7" t="str">
        <f t="shared" si="43"/>
        <v>61001005000</v>
      </c>
    </row>
    <row r="679" spans="1:13" x14ac:dyDescent="0.25">
      <c r="A679" s="1">
        <v>946170</v>
      </c>
      <c r="B679" s="6" t="s">
        <v>765</v>
      </c>
      <c r="F679" s="6" t="s">
        <v>9</v>
      </c>
      <c r="G679" s="6" t="s">
        <v>38</v>
      </c>
      <c r="H679" s="9" t="s">
        <v>33</v>
      </c>
      <c r="I679" s="7" t="str">
        <f t="shared" si="40"/>
        <v>61001005000</v>
      </c>
      <c r="J679" s="7" t="str">
        <f t="shared" si="41"/>
        <v>Материал по ЕГРН</v>
      </c>
      <c r="K679" s="7">
        <f>VLOOKUP(J679,Лист2!A$2:B$4,2,FALSE)</f>
        <v>792</v>
      </c>
      <c r="L679" s="7" t="str">
        <f t="shared" si="42"/>
        <v>ГОТОВ_ИЗМЕНЕН</v>
      </c>
      <c r="M679" s="7">
        <f t="shared" si="43"/>
        <v>0</v>
      </c>
    </row>
    <row r="680" spans="1:13" x14ac:dyDescent="0.25">
      <c r="A680" s="1">
        <v>946182</v>
      </c>
      <c r="B680" s="6" t="s">
        <v>766</v>
      </c>
      <c r="F680" s="6" t="s">
        <v>9</v>
      </c>
      <c r="G680" s="6" t="s">
        <v>59</v>
      </c>
      <c r="H680" s="9" t="s">
        <v>60</v>
      </c>
      <c r="I680" s="7" t="str">
        <f t="shared" si="40"/>
        <v>61001001001</v>
      </c>
      <c r="J680" s="7" t="str">
        <f t="shared" si="41"/>
        <v>Материал по ЕГРН</v>
      </c>
      <c r="K680" s="7">
        <f>VLOOKUP(J680,Лист2!A$2:B$4,2,FALSE)</f>
        <v>792</v>
      </c>
      <c r="L680" s="7" t="str">
        <f t="shared" si="42"/>
        <v>ГОТОВ_ИЗМЕНЕН</v>
      </c>
      <c r="M680" s="7">
        <f t="shared" si="43"/>
        <v>0</v>
      </c>
    </row>
    <row r="681" spans="1:13" x14ac:dyDescent="0.25">
      <c r="A681" s="1">
        <v>946194</v>
      </c>
      <c r="B681" s="6" t="s">
        <v>767</v>
      </c>
      <c r="F681" s="6" t="s">
        <v>9</v>
      </c>
      <c r="G681" s="6" t="s">
        <v>34</v>
      </c>
      <c r="H681" s="9" t="s">
        <v>35</v>
      </c>
      <c r="I681" s="7" t="str">
        <f t="shared" si="40"/>
        <v>61001002000</v>
      </c>
      <c r="J681" s="7" t="str">
        <f t="shared" si="41"/>
        <v>Материал по ЕГРН</v>
      </c>
      <c r="K681" s="7">
        <f>VLOOKUP(J681,Лист2!A$2:B$4,2,FALSE)</f>
        <v>792</v>
      </c>
      <c r="L681" s="7" t="str">
        <f t="shared" si="42"/>
        <v>ГОТОВ_ИЗМЕНЕН</v>
      </c>
      <c r="M681" s="7">
        <f t="shared" si="43"/>
        <v>0</v>
      </c>
    </row>
    <row r="682" spans="1:13" x14ac:dyDescent="0.25">
      <c r="A682" s="1">
        <v>946206</v>
      </c>
      <c r="B682" s="6" t="s">
        <v>768</v>
      </c>
      <c r="F682" s="6" t="s">
        <v>9</v>
      </c>
      <c r="G682" s="6" t="s">
        <v>34</v>
      </c>
      <c r="H682" s="9" t="s">
        <v>35</v>
      </c>
      <c r="I682" s="7" t="str">
        <f t="shared" si="40"/>
        <v>61001002000</v>
      </c>
      <c r="J682" s="7" t="str">
        <f t="shared" si="41"/>
        <v>Материал по ЕГРН</v>
      </c>
      <c r="K682" s="7">
        <f>VLOOKUP(J682,Лист2!A$2:B$4,2,FALSE)</f>
        <v>792</v>
      </c>
      <c r="L682" s="7" t="str">
        <f t="shared" si="42"/>
        <v>ГОТОВ_ИЗМЕНЕН</v>
      </c>
      <c r="M682" s="7">
        <f t="shared" si="43"/>
        <v>0</v>
      </c>
    </row>
    <row r="683" spans="1:13" x14ac:dyDescent="0.25">
      <c r="A683" s="1">
        <v>946218</v>
      </c>
      <c r="B683" s="6" t="s">
        <v>769</v>
      </c>
      <c r="F683" s="6" t="s">
        <v>9</v>
      </c>
      <c r="G683" s="6" t="s">
        <v>146</v>
      </c>
      <c r="H683" s="9" t="s">
        <v>147</v>
      </c>
      <c r="I683" s="7" t="str">
        <f t="shared" si="40"/>
        <v>61001000000</v>
      </c>
      <c r="J683" s="7" t="str">
        <f t="shared" si="41"/>
        <v>Материал по ЕГРН</v>
      </c>
      <c r="K683" s="7">
        <f>VLOOKUP(J683,Лист2!A$2:B$4,2,FALSE)</f>
        <v>792</v>
      </c>
      <c r="L683" s="7" t="str">
        <f t="shared" si="42"/>
        <v>ГОТОВ_ИЗМЕНЕН</v>
      </c>
      <c r="M683" s="7">
        <f t="shared" si="43"/>
        <v>0</v>
      </c>
    </row>
    <row r="684" spans="1:13" x14ac:dyDescent="0.25">
      <c r="A684" s="1">
        <v>946230</v>
      </c>
      <c r="B684" s="6" t="s">
        <v>770</v>
      </c>
      <c r="F684" s="6" t="s">
        <v>9</v>
      </c>
      <c r="G684" s="6" t="s">
        <v>38</v>
      </c>
      <c r="H684" s="9" t="s">
        <v>33</v>
      </c>
      <c r="I684" s="7" t="str">
        <f t="shared" si="40"/>
        <v>61001005000</v>
      </c>
      <c r="J684" s="7" t="str">
        <f t="shared" si="41"/>
        <v>Материал по ЕГРН</v>
      </c>
      <c r="K684" s="7">
        <f>VLOOKUP(J684,Лист2!A$2:B$4,2,FALSE)</f>
        <v>792</v>
      </c>
      <c r="L684" s="7" t="str">
        <f t="shared" si="42"/>
        <v>ГОТОВ_ИЗМЕНЕН</v>
      </c>
      <c r="M684" s="7">
        <f t="shared" si="43"/>
        <v>0</v>
      </c>
    </row>
    <row r="685" spans="1:13" x14ac:dyDescent="0.25">
      <c r="A685" s="1">
        <v>946242</v>
      </c>
      <c r="B685" s="6" t="s">
        <v>771</v>
      </c>
      <c r="F685" s="6" t="s">
        <v>9</v>
      </c>
      <c r="G685" s="6" t="s">
        <v>10</v>
      </c>
      <c r="H685" s="9" t="s">
        <v>11</v>
      </c>
      <c r="I685" s="7" t="str">
        <f t="shared" si="40"/>
        <v>61001003000</v>
      </c>
      <c r="J685" s="7" t="str">
        <f t="shared" si="41"/>
        <v>Материал по ЕГРН</v>
      </c>
      <c r="K685" s="7">
        <f>VLOOKUP(J685,Лист2!A$2:B$4,2,FALSE)</f>
        <v>792</v>
      </c>
      <c r="L685" s="7" t="str">
        <f t="shared" si="42"/>
        <v>ГОТОВ_ИЗМЕНЕН</v>
      </c>
      <c r="M685" s="7">
        <f t="shared" si="43"/>
        <v>0</v>
      </c>
    </row>
    <row r="686" spans="1:13" x14ac:dyDescent="0.25">
      <c r="A686" s="1">
        <v>946254</v>
      </c>
      <c r="B686" s="6" t="s">
        <v>772</v>
      </c>
      <c r="F686" s="6" t="s">
        <v>9</v>
      </c>
      <c r="G686" s="6" t="s">
        <v>38</v>
      </c>
      <c r="H686" s="9" t="s">
        <v>33</v>
      </c>
      <c r="I686" s="7" t="str">
        <f t="shared" si="40"/>
        <v>61001005000</v>
      </c>
      <c r="J686" s="7" t="str">
        <f t="shared" si="41"/>
        <v>Материал по ЕГРН</v>
      </c>
      <c r="K686" s="7">
        <f>VLOOKUP(J686,Лист2!A$2:B$4,2,FALSE)</f>
        <v>792</v>
      </c>
      <c r="L686" s="7" t="str">
        <f t="shared" si="42"/>
        <v>ГОТОВ_ИЗМЕНЕН</v>
      </c>
      <c r="M686" s="7">
        <f t="shared" si="43"/>
        <v>0</v>
      </c>
    </row>
    <row r="687" spans="1:13" x14ac:dyDescent="0.25">
      <c r="A687" s="1">
        <v>946266</v>
      </c>
      <c r="B687" s="6" t="s">
        <v>773</v>
      </c>
      <c r="F687" s="6" t="s">
        <v>9</v>
      </c>
      <c r="G687" s="6" t="s">
        <v>34</v>
      </c>
      <c r="H687" s="9" t="s">
        <v>35</v>
      </c>
      <c r="I687" s="7" t="str">
        <f t="shared" si="40"/>
        <v>61001002000</v>
      </c>
      <c r="J687" s="7" t="str">
        <f t="shared" si="41"/>
        <v>Материал по ЕГРН</v>
      </c>
      <c r="K687" s="7">
        <f>VLOOKUP(J687,Лист2!A$2:B$4,2,FALSE)</f>
        <v>792</v>
      </c>
      <c r="L687" s="7" t="str">
        <f t="shared" si="42"/>
        <v>ГОТОВ_ИЗМЕНЕН</v>
      </c>
      <c r="M687" s="7">
        <f t="shared" si="43"/>
        <v>0</v>
      </c>
    </row>
    <row r="688" spans="1:13" x14ac:dyDescent="0.25">
      <c r="A688" s="1">
        <v>946278</v>
      </c>
      <c r="B688" s="6" t="s">
        <v>774</v>
      </c>
      <c r="F688" s="6" t="s">
        <v>9</v>
      </c>
      <c r="G688" s="6" t="s">
        <v>73</v>
      </c>
      <c r="H688" s="9" t="s">
        <v>74</v>
      </c>
      <c r="I688" s="7" t="str">
        <f t="shared" si="40"/>
        <v>61001006000</v>
      </c>
      <c r="J688" s="7" t="str">
        <f t="shared" si="41"/>
        <v>Материал по ЕГРН</v>
      </c>
      <c r="K688" s="7">
        <f>VLOOKUP(J688,Лист2!A$2:B$4,2,FALSE)</f>
        <v>792</v>
      </c>
      <c r="L688" s="7" t="str">
        <f t="shared" si="42"/>
        <v>ГОТОВ_ИЗМЕНЕН</v>
      </c>
      <c r="M688" s="7">
        <f t="shared" si="43"/>
        <v>0</v>
      </c>
    </row>
    <row r="689" spans="1:13" x14ac:dyDescent="0.25">
      <c r="A689" s="1">
        <v>946290</v>
      </c>
      <c r="B689" s="6" t="s">
        <v>775</v>
      </c>
      <c r="F689" s="6" t="s">
        <v>9</v>
      </c>
      <c r="G689" s="6" t="s">
        <v>149</v>
      </c>
      <c r="H689" s="9" t="s">
        <v>150</v>
      </c>
      <c r="I689" s="7" t="str">
        <f t="shared" si="40"/>
        <v>61001007000</v>
      </c>
      <c r="J689" s="7" t="str">
        <f t="shared" si="41"/>
        <v>Материал по ЕГРН</v>
      </c>
      <c r="K689" s="7">
        <f>VLOOKUP(J689,Лист2!A$2:B$4,2,FALSE)</f>
        <v>792</v>
      </c>
      <c r="L689" s="7" t="str">
        <f t="shared" si="42"/>
        <v>ГОТОВ_ИЗМЕНЕН</v>
      </c>
      <c r="M689" s="7">
        <f t="shared" si="43"/>
        <v>0</v>
      </c>
    </row>
    <row r="690" spans="1:13" x14ac:dyDescent="0.25">
      <c r="A690" s="1">
        <v>946302</v>
      </c>
      <c r="B690" s="6" t="s">
        <v>776</v>
      </c>
      <c r="F690" s="6" t="s">
        <v>9</v>
      </c>
      <c r="G690" s="6" t="s">
        <v>34</v>
      </c>
      <c r="H690" s="9" t="s">
        <v>35</v>
      </c>
      <c r="I690" s="7" t="str">
        <f t="shared" si="40"/>
        <v>61001002000</v>
      </c>
      <c r="J690" s="7" t="str">
        <f t="shared" si="41"/>
        <v>Материал по ЕГРН</v>
      </c>
      <c r="K690" s="7">
        <f>VLOOKUP(J690,Лист2!A$2:B$4,2,FALSE)</f>
        <v>792</v>
      </c>
      <c r="L690" s="7" t="str">
        <f t="shared" si="42"/>
        <v>ГОТОВ_ИЗМЕНЕН</v>
      </c>
      <c r="M690" s="7">
        <f t="shared" si="43"/>
        <v>0</v>
      </c>
    </row>
    <row r="691" spans="1:13" x14ac:dyDescent="0.25">
      <c r="A691" s="1">
        <v>946314</v>
      </c>
      <c r="B691" s="6" t="s">
        <v>777</v>
      </c>
      <c r="F691" s="6" t="s">
        <v>9</v>
      </c>
      <c r="G691" s="6" t="s">
        <v>778</v>
      </c>
      <c r="H691" s="9" t="s">
        <v>779</v>
      </c>
      <c r="I691" s="7" t="str">
        <f t="shared" si="40"/>
        <v>61001003002</v>
      </c>
      <c r="J691" s="7" t="str">
        <f t="shared" si="41"/>
        <v>Материал по ЕГРН</v>
      </c>
      <c r="K691" s="7">
        <f>VLOOKUP(J691,Лист2!A$2:B$4,2,FALSE)</f>
        <v>792</v>
      </c>
      <c r="L691" s="7" t="str">
        <f t="shared" si="42"/>
        <v>ГОТОВ_ИЗМЕНЕН</v>
      </c>
      <c r="M691" s="7">
        <f t="shared" si="43"/>
        <v>0</v>
      </c>
    </row>
    <row r="692" spans="1:13" x14ac:dyDescent="0.25">
      <c r="A692" s="1">
        <v>946326</v>
      </c>
      <c r="B692" s="6" t="s">
        <v>780</v>
      </c>
      <c r="F692" s="6" t="s">
        <v>9</v>
      </c>
      <c r="G692" s="6" t="s">
        <v>90</v>
      </c>
      <c r="H692" s="9" t="s">
        <v>12</v>
      </c>
      <c r="I692" s="7" t="str">
        <f t="shared" si="40"/>
        <v>61001008000</v>
      </c>
      <c r="J692" s="7" t="str">
        <f t="shared" si="41"/>
        <v>Материал по ЕГРН</v>
      </c>
      <c r="K692" s="7">
        <f>VLOOKUP(J692,Лист2!A$2:B$4,2,FALSE)</f>
        <v>792</v>
      </c>
      <c r="L692" s="7" t="str">
        <f t="shared" si="42"/>
        <v>ГОТОВ_ИЗМЕНЕН</v>
      </c>
      <c r="M692" s="7">
        <f t="shared" si="43"/>
        <v>0</v>
      </c>
    </row>
    <row r="693" spans="1:13" x14ac:dyDescent="0.25">
      <c r="A693" s="1">
        <v>946338</v>
      </c>
      <c r="B693" s="6" t="s">
        <v>781</v>
      </c>
      <c r="F693" s="6" t="s">
        <v>9</v>
      </c>
      <c r="G693" s="6" t="s">
        <v>38</v>
      </c>
      <c r="H693" s="9" t="s">
        <v>33</v>
      </c>
      <c r="I693" s="7" t="str">
        <f t="shared" si="40"/>
        <v>61001005000</v>
      </c>
      <c r="J693" s="7" t="str">
        <f t="shared" si="41"/>
        <v>Материал по ЕГРН</v>
      </c>
      <c r="K693" s="7">
        <f>VLOOKUP(J693,Лист2!A$2:B$4,2,FALSE)</f>
        <v>792</v>
      </c>
      <c r="L693" s="7" t="str">
        <f t="shared" si="42"/>
        <v>ГОТОВ_ИЗМЕНЕН</v>
      </c>
      <c r="M693" s="7">
        <f t="shared" si="43"/>
        <v>0</v>
      </c>
    </row>
    <row r="694" spans="1:13" x14ac:dyDescent="0.25">
      <c r="A694" s="1">
        <v>946350</v>
      </c>
      <c r="B694" s="6" t="s">
        <v>782</v>
      </c>
      <c r="F694" s="6" t="s">
        <v>9</v>
      </c>
      <c r="G694" s="6" t="s">
        <v>34</v>
      </c>
      <c r="H694" s="9" t="s">
        <v>35</v>
      </c>
      <c r="I694" s="7" t="str">
        <f t="shared" si="40"/>
        <v>61001002000</v>
      </c>
      <c r="J694" s="7" t="str">
        <f t="shared" si="41"/>
        <v>Материал по ЕГРН</v>
      </c>
      <c r="K694" s="7">
        <f>VLOOKUP(J694,Лист2!A$2:B$4,2,FALSE)</f>
        <v>792</v>
      </c>
      <c r="L694" s="7" t="str">
        <f t="shared" si="42"/>
        <v>ГОТОВ_ИЗМЕНЕН</v>
      </c>
      <c r="M694" s="7">
        <f t="shared" si="43"/>
        <v>0</v>
      </c>
    </row>
    <row r="695" spans="1:13" x14ac:dyDescent="0.25">
      <c r="A695" s="1">
        <v>946362</v>
      </c>
      <c r="B695" s="6" t="s">
        <v>783</v>
      </c>
      <c r="F695" s="6" t="s">
        <v>9</v>
      </c>
      <c r="G695" s="6" t="s">
        <v>59</v>
      </c>
      <c r="H695" s="9" t="s">
        <v>60</v>
      </c>
      <c r="I695" s="7" t="str">
        <f t="shared" si="40"/>
        <v>61001001001</v>
      </c>
      <c r="J695" s="7" t="str">
        <f t="shared" si="41"/>
        <v>Материал по ЕГРН</v>
      </c>
      <c r="K695" s="7">
        <f>VLOOKUP(J695,Лист2!A$2:B$4,2,FALSE)</f>
        <v>792</v>
      </c>
      <c r="L695" s="7" t="str">
        <f t="shared" si="42"/>
        <v>ГОТОВ_ИЗМЕНЕН</v>
      </c>
      <c r="M695" s="7">
        <f t="shared" si="43"/>
        <v>0</v>
      </c>
    </row>
    <row r="696" spans="1:13" x14ac:dyDescent="0.25">
      <c r="A696" s="1">
        <v>946374</v>
      </c>
      <c r="B696" s="6" t="s">
        <v>784</v>
      </c>
      <c r="F696" s="6" t="s">
        <v>9</v>
      </c>
      <c r="G696" s="6" t="s">
        <v>38</v>
      </c>
      <c r="H696" s="9" t="s">
        <v>33</v>
      </c>
      <c r="I696" s="7" t="str">
        <f t="shared" si="40"/>
        <v>61001005000</v>
      </c>
      <c r="J696" s="7" t="str">
        <f t="shared" si="41"/>
        <v>Материал по ЕГРН</v>
      </c>
      <c r="K696" s="7">
        <f>VLOOKUP(J696,Лист2!A$2:B$4,2,FALSE)</f>
        <v>792</v>
      </c>
      <c r="L696" s="7" t="str">
        <f t="shared" si="42"/>
        <v>ГОТОВ_ИЗМЕНЕН</v>
      </c>
      <c r="M696" s="7">
        <f t="shared" si="43"/>
        <v>0</v>
      </c>
    </row>
    <row r="697" spans="1:13" x14ac:dyDescent="0.25">
      <c r="A697" s="1">
        <v>946386</v>
      </c>
      <c r="B697" s="6" t="s">
        <v>785</v>
      </c>
      <c r="F697" s="6" t="s">
        <v>9</v>
      </c>
      <c r="G697" s="6" t="s">
        <v>34</v>
      </c>
      <c r="H697" s="9" t="s">
        <v>35</v>
      </c>
      <c r="I697" s="7" t="str">
        <f t="shared" si="40"/>
        <v>61001002000</v>
      </c>
      <c r="J697" s="7" t="str">
        <f t="shared" si="41"/>
        <v>Материал по ЕГРН</v>
      </c>
      <c r="K697" s="7">
        <f>VLOOKUP(J697,Лист2!A$2:B$4,2,FALSE)</f>
        <v>792</v>
      </c>
      <c r="L697" s="7" t="str">
        <f t="shared" si="42"/>
        <v>ГОТОВ_ИЗМЕНЕН</v>
      </c>
      <c r="M697" s="7">
        <f t="shared" si="43"/>
        <v>0</v>
      </c>
    </row>
    <row r="698" spans="1:13" x14ac:dyDescent="0.25">
      <c r="A698" s="1">
        <v>946398</v>
      </c>
      <c r="B698" s="6" t="s">
        <v>786</v>
      </c>
      <c r="F698" s="6" t="s">
        <v>9</v>
      </c>
      <c r="G698" s="6" t="s">
        <v>34</v>
      </c>
      <c r="H698" s="9" t="s">
        <v>35</v>
      </c>
      <c r="I698" s="7" t="str">
        <f t="shared" si="40"/>
        <v>61001002000</v>
      </c>
      <c r="J698" s="7" t="str">
        <f t="shared" si="41"/>
        <v>Материал по ЕГРН</v>
      </c>
      <c r="K698" s="7">
        <f>VLOOKUP(J698,Лист2!A$2:B$4,2,FALSE)</f>
        <v>792</v>
      </c>
      <c r="L698" s="7" t="str">
        <f t="shared" si="42"/>
        <v>ГОТОВ_ИЗМЕНЕН</v>
      </c>
      <c r="M698" s="7">
        <f t="shared" si="43"/>
        <v>0</v>
      </c>
    </row>
    <row r="699" spans="1:13" x14ac:dyDescent="0.25">
      <c r="A699" s="1">
        <v>87528</v>
      </c>
      <c r="B699" s="6" t="s">
        <v>787</v>
      </c>
      <c r="C699" s="9" t="s">
        <v>12</v>
      </c>
      <c r="D699" s="6" t="s">
        <v>20</v>
      </c>
      <c r="E699" s="6" t="s">
        <v>37</v>
      </c>
      <c r="F699" s="6" t="s">
        <v>9</v>
      </c>
      <c r="G699" s="6" t="s">
        <v>90</v>
      </c>
      <c r="H699" s="9" t="s">
        <v>12</v>
      </c>
      <c r="I699" s="7" t="str">
        <f t="shared" si="40"/>
        <v>61001008000</v>
      </c>
      <c r="J699" s="7" t="str">
        <f t="shared" si="41"/>
        <v>Материал по ЕГРН</v>
      </c>
      <c r="K699" s="7">
        <f>VLOOKUP(J699,Лист2!A$2:B$4,2,FALSE)</f>
        <v>792</v>
      </c>
      <c r="L699" s="7" t="str">
        <f t="shared" si="42"/>
        <v>ГОТОВ</v>
      </c>
      <c r="M699" s="7" t="str">
        <f t="shared" si="43"/>
        <v>61001008000</v>
      </c>
    </row>
    <row r="700" spans="1:13" x14ac:dyDescent="0.25">
      <c r="A700" s="1">
        <v>414423</v>
      </c>
      <c r="B700" s="6" t="s">
        <v>788</v>
      </c>
      <c r="C700" s="9" t="s">
        <v>33</v>
      </c>
      <c r="D700" s="6" t="s">
        <v>20</v>
      </c>
      <c r="E700" s="6" t="s">
        <v>8</v>
      </c>
      <c r="F700" s="6" t="s">
        <v>9</v>
      </c>
      <c r="G700" s="6" t="s">
        <v>34</v>
      </c>
      <c r="H700" s="9" t="s">
        <v>35</v>
      </c>
      <c r="I700" s="7" t="str">
        <f t="shared" si="40"/>
        <v>61001002000</v>
      </c>
      <c r="J700" s="7" t="str">
        <f t="shared" si="41"/>
        <v>Материал по ЕГРН</v>
      </c>
      <c r="K700" s="7">
        <f>VLOOKUP(J700,Лист2!A$2:B$4,2,FALSE)</f>
        <v>792</v>
      </c>
      <c r="L700" s="7" t="str">
        <f t="shared" si="42"/>
        <v>ГОТОВ_ИЗМЕНЕН</v>
      </c>
      <c r="M700" s="7" t="str">
        <f t="shared" si="43"/>
        <v>61001005000</v>
      </c>
    </row>
    <row r="701" spans="1:13" x14ac:dyDescent="0.25">
      <c r="A701" s="1">
        <v>643846</v>
      </c>
      <c r="B701" s="6" t="s">
        <v>789</v>
      </c>
      <c r="C701" s="9" t="s">
        <v>42</v>
      </c>
      <c r="D701" s="6" t="s">
        <v>20</v>
      </c>
      <c r="E701" s="6" t="s">
        <v>37</v>
      </c>
      <c r="F701" s="6" t="s">
        <v>9</v>
      </c>
      <c r="G701" s="6" t="s">
        <v>43</v>
      </c>
      <c r="H701" s="9" t="s">
        <v>42</v>
      </c>
      <c r="I701" s="7" t="str">
        <f t="shared" si="40"/>
        <v>61001002001</v>
      </c>
      <c r="J701" s="7" t="str">
        <f t="shared" si="41"/>
        <v>Материал по ЕГРН</v>
      </c>
      <c r="K701" s="7">
        <f>VLOOKUP(J701,Лист2!A$2:B$4,2,FALSE)</f>
        <v>792</v>
      </c>
      <c r="L701" s="7" t="str">
        <f t="shared" si="42"/>
        <v>ГОТОВ</v>
      </c>
      <c r="M701" s="7" t="str">
        <f t="shared" si="43"/>
        <v>61001002001</v>
      </c>
    </row>
    <row r="702" spans="1:13" x14ac:dyDescent="0.25">
      <c r="A702" s="1">
        <v>944910</v>
      </c>
      <c r="B702" s="6" t="s">
        <v>790</v>
      </c>
      <c r="F702" s="6" t="s">
        <v>9</v>
      </c>
      <c r="G702" s="6" t="s">
        <v>10</v>
      </c>
      <c r="H702" s="9" t="s">
        <v>11</v>
      </c>
      <c r="I702" s="7" t="str">
        <f t="shared" si="40"/>
        <v>61001003000</v>
      </c>
      <c r="J702" s="7" t="str">
        <f t="shared" si="41"/>
        <v>Материал по ЕГРН</v>
      </c>
      <c r="K702" s="7">
        <f>VLOOKUP(J702,Лист2!A$2:B$4,2,FALSE)</f>
        <v>792</v>
      </c>
      <c r="L702" s="7" t="str">
        <f t="shared" si="42"/>
        <v>ГОТОВ_ИЗМЕНЕН</v>
      </c>
      <c r="M702" s="7">
        <f t="shared" si="43"/>
        <v>0</v>
      </c>
    </row>
    <row r="703" spans="1:13" x14ac:dyDescent="0.25">
      <c r="A703" s="1">
        <v>944922</v>
      </c>
      <c r="B703" s="6" t="s">
        <v>791</v>
      </c>
      <c r="F703" s="6" t="s">
        <v>9</v>
      </c>
      <c r="G703" s="6" t="s">
        <v>38</v>
      </c>
      <c r="H703" s="9" t="s">
        <v>33</v>
      </c>
      <c r="I703" s="7" t="str">
        <f t="shared" si="40"/>
        <v>61001005000</v>
      </c>
      <c r="J703" s="7" t="str">
        <f t="shared" si="41"/>
        <v>Материал по ЕГРН</v>
      </c>
      <c r="K703" s="7">
        <f>VLOOKUP(J703,Лист2!A$2:B$4,2,FALSE)</f>
        <v>792</v>
      </c>
      <c r="L703" s="7" t="str">
        <f t="shared" si="42"/>
        <v>ГОТОВ_ИЗМЕНЕН</v>
      </c>
      <c r="M703" s="7">
        <f t="shared" si="43"/>
        <v>0</v>
      </c>
    </row>
    <row r="704" spans="1:13" x14ac:dyDescent="0.25">
      <c r="A704" s="1">
        <v>944934</v>
      </c>
      <c r="B704" s="6" t="s">
        <v>792</v>
      </c>
      <c r="F704" s="6" t="s">
        <v>9</v>
      </c>
      <c r="G704" s="6" t="s">
        <v>34</v>
      </c>
      <c r="H704" s="9" t="s">
        <v>35</v>
      </c>
      <c r="I704" s="7" t="str">
        <f t="shared" si="40"/>
        <v>61001002000</v>
      </c>
      <c r="J704" s="7" t="str">
        <f t="shared" si="41"/>
        <v>Материал по ЕГРН</v>
      </c>
      <c r="K704" s="7">
        <f>VLOOKUP(J704,Лист2!A$2:B$4,2,FALSE)</f>
        <v>792</v>
      </c>
      <c r="L704" s="7" t="str">
        <f t="shared" si="42"/>
        <v>ГОТОВ_ИЗМЕНЕН</v>
      </c>
      <c r="M704" s="7">
        <f t="shared" si="43"/>
        <v>0</v>
      </c>
    </row>
    <row r="705" spans="1:13" x14ac:dyDescent="0.25">
      <c r="A705" s="1">
        <v>944946</v>
      </c>
      <c r="B705" s="6" t="s">
        <v>793</v>
      </c>
      <c r="F705" s="6" t="s">
        <v>9</v>
      </c>
      <c r="G705" s="6" t="s">
        <v>794</v>
      </c>
      <c r="H705" s="9" t="s">
        <v>795</v>
      </c>
      <c r="I705" s="7" t="str">
        <f t="shared" si="40"/>
        <v>61001003000</v>
      </c>
      <c r="J705" s="7" t="str">
        <f t="shared" si="41"/>
        <v>Смешанные по допущению</v>
      </c>
      <c r="K705" s="7">
        <f>VLOOKUP(J705,Лист2!A$2:B$4,2,FALSE)</f>
        <v>793</v>
      </c>
      <c r="L705" s="7" t="str">
        <f t="shared" si="42"/>
        <v>ГОТОВ_ИЗМЕНЕН</v>
      </c>
      <c r="M705" s="7">
        <f t="shared" si="43"/>
        <v>0</v>
      </c>
    </row>
    <row r="706" spans="1:13" x14ac:dyDescent="0.25">
      <c r="A706" s="1">
        <v>944958</v>
      </c>
      <c r="B706" s="6" t="s">
        <v>796</v>
      </c>
      <c r="F706" s="6" t="s">
        <v>9</v>
      </c>
      <c r="G706" s="6" t="s">
        <v>38</v>
      </c>
      <c r="H706" s="9" t="s">
        <v>33</v>
      </c>
      <c r="I706" s="7" t="str">
        <f t="shared" si="40"/>
        <v>61001005000</v>
      </c>
      <c r="J706" s="7" t="str">
        <f t="shared" si="41"/>
        <v>Материал по ЕГРН</v>
      </c>
      <c r="K706" s="7">
        <f>VLOOKUP(J706,Лист2!A$2:B$4,2,FALSE)</f>
        <v>792</v>
      </c>
      <c r="L706" s="7" t="str">
        <f t="shared" si="42"/>
        <v>ГОТОВ_ИЗМЕНЕН</v>
      </c>
      <c r="M706" s="7">
        <f t="shared" si="43"/>
        <v>0</v>
      </c>
    </row>
    <row r="707" spans="1:13" x14ac:dyDescent="0.25">
      <c r="A707" s="1">
        <v>944970</v>
      </c>
      <c r="B707" s="6" t="s">
        <v>797</v>
      </c>
      <c r="F707" s="6" t="s">
        <v>9</v>
      </c>
      <c r="G707" s="6" t="s">
        <v>59</v>
      </c>
      <c r="H707" s="9" t="s">
        <v>60</v>
      </c>
      <c r="I707" s="7" t="str">
        <f t="shared" si="40"/>
        <v>61001001001</v>
      </c>
      <c r="J707" s="7" t="str">
        <f t="shared" si="41"/>
        <v>Материал по ЕГРН</v>
      </c>
      <c r="K707" s="7">
        <f>VLOOKUP(J707,Лист2!A$2:B$4,2,FALSE)</f>
        <v>792</v>
      </c>
      <c r="L707" s="7" t="str">
        <f t="shared" si="42"/>
        <v>ГОТОВ_ИЗМЕНЕН</v>
      </c>
      <c r="M707" s="7">
        <f t="shared" si="43"/>
        <v>0</v>
      </c>
    </row>
    <row r="708" spans="1:13" x14ac:dyDescent="0.25">
      <c r="A708" s="1">
        <v>944982</v>
      </c>
      <c r="B708" s="6" t="s">
        <v>798</v>
      </c>
      <c r="F708" s="6" t="s">
        <v>9</v>
      </c>
      <c r="G708" s="6" t="s">
        <v>59</v>
      </c>
      <c r="H708" s="9" t="s">
        <v>60</v>
      </c>
      <c r="I708" s="7" t="str">
        <f t="shared" si="40"/>
        <v>61001001001</v>
      </c>
      <c r="J708" s="7" t="str">
        <f t="shared" si="41"/>
        <v>Материал по ЕГРН</v>
      </c>
      <c r="K708" s="7">
        <f>VLOOKUP(J708,Лист2!A$2:B$4,2,FALSE)</f>
        <v>792</v>
      </c>
      <c r="L708" s="7" t="str">
        <f t="shared" si="42"/>
        <v>ГОТОВ_ИЗМЕНЕН</v>
      </c>
      <c r="M708" s="7">
        <f t="shared" si="43"/>
        <v>0</v>
      </c>
    </row>
    <row r="709" spans="1:13" x14ac:dyDescent="0.25">
      <c r="A709" s="1">
        <v>944994</v>
      </c>
      <c r="B709" s="6" t="s">
        <v>799</v>
      </c>
      <c r="F709" s="6" t="s">
        <v>9</v>
      </c>
      <c r="G709" s="6" t="s">
        <v>38</v>
      </c>
      <c r="H709" s="9" t="s">
        <v>33</v>
      </c>
      <c r="I709" s="7" t="str">
        <f t="shared" ref="I709:I772" si="44">IF(LEN(H709)=11,H709,IF(LEN(H709)=0,"61001005000","61001003000"))</f>
        <v>61001005000</v>
      </c>
      <c r="J709" s="7" t="str">
        <f t="shared" ref="J709:J772" si="45">IF(LEN(H709)=11,"Материал по ЕГРН",IF(LEN(H709)=0,"Прочие по допущению","Смешанные по допущению"))</f>
        <v>Материал по ЕГРН</v>
      </c>
      <c r="K709" s="7">
        <f>VLOOKUP(J709,Лист2!A$2:B$4,2,FALSE)</f>
        <v>792</v>
      </c>
      <c r="L709" s="7" t="str">
        <f t="shared" ref="L709:L772" si="46">IF(I709=C709,"ГОТОВ","ГОТОВ_ИЗМЕНЕН")</f>
        <v>ГОТОВ_ИЗМЕНЕН</v>
      </c>
      <c r="M709" s="7">
        <f t="shared" ref="M709:M772" si="47">C709</f>
        <v>0</v>
      </c>
    </row>
    <row r="710" spans="1:13" x14ac:dyDescent="0.25">
      <c r="A710" s="1">
        <v>945006</v>
      </c>
      <c r="B710" s="6" t="s">
        <v>800</v>
      </c>
      <c r="F710" s="6" t="s">
        <v>9</v>
      </c>
      <c r="G710" s="6" t="s">
        <v>38</v>
      </c>
      <c r="H710" s="9" t="s">
        <v>33</v>
      </c>
      <c r="I710" s="7" t="str">
        <f t="shared" si="44"/>
        <v>61001005000</v>
      </c>
      <c r="J710" s="7" t="str">
        <f t="shared" si="45"/>
        <v>Материал по ЕГРН</v>
      </c>
      <c r="K710" s="7">
        <f>VLOOKUP(J710,Лист2!A$2:B$4,2,FALSE)</f>
        <v>792</v>
      </c>
      <c r="L710" s="7" t="str">
        <f t="shared" si="46"/>
        <v>ГОТОВ_ИЗМЕНЕН</v>
      </c>
      <c r="M710" s="7">
        <f t="shared" si="47"/>
        <v>0</v>
      </c>
    </row>
    <row r="711" spans="1:13" x14ac:dyDescent="0.25">
      <c r="A711" s="1">
        <v>945018</v>
      </c>
      <c r="B711" s="6" t="s">
        <v>801</v>
      </c>
      <c r="F711" s="6" t="s">
        <v>9</v>
      </c>
      <c r="G711" s="6" t="s">
        <v>59</v>
      </c>
      <c r="H711" s="9" t="s">
        <v>60</v>
      </c>
      <c r="I711" s="7" t="str">
        <f t="shared" si="44"/>
        <v>61001001001</v>
      </c>
      <c r="J711" s="7" t="str">
        <f t="shared" si="45"/>
        <v>Материал по ЕГРН</v>
      </c>
      <c r="K711" s="7">
        <f>VLOOKUP(J711,Лист2!A$2:B$4,2,FALSE)</f>
        <v>792</v>
      </c>
      <c r="L711" s="7" t="str">
        <f t="shared" si="46"/>
        <v>ГОТОВ_ИЗМЕНЕН</v>
      </c>
      <c r="M711" s="7">
        <f t="shared" si="47"/>
        <v>0</v>
      </c>
    </row>
    <row r="712" spans="1:13" x14ac:dyDescent="0.25">
      <c r="A712" s="1">
        <v>945030</v>
      </c>
      <c r="B712" s="6" t="s">
        <v>802</v>
      </c>
      <c r="F712" s="6" t="s">
        <v>9</v>
      </c>
      <c r="G712" s="6" t="s">
        <v>38</v>
      </c>
      <c r="H712" s="9" t="s">
        <v>33</v>
      </c>
      <c r="I712" s="7" t="str">
        <f t="shared" si="44"/>
        <v>61001005000</v>
      </c>
      <c r="J712" s="7" t="str">
        <f t="shared" si="45"/>
        <v>Материал по ЕГРН</v>
      </c>
      <c r="K712" s="7">
        <f>VLOOKUP(J712,Лист2!A$2:B$4,2,FALSE)</f>
        <v>792</v>
      </c>
      <c r="L712" s="7" t="str">
        <f t="shared" si="46"/>
        <v>ГОТОВ_ИЗМЕНЕН</v>
      </c>
      <c r="M712" s="7">
        <f t="shared" si="47"/>
        <v>0</v>
      </c>
    </row>
    <row r="713" spans="1:13" x14ac:dyDescent="0.25">
      <c r="A713" s="1">
        <v>945042</v>
      </c>
      <c r="B713" s="6" t="s">
        <v>803</v>
      </c>
      <c r="F713" s="6" t="s">
        <v>9</v>
      </c>
      <c r="G713" s="6" t="s">
        <v>804</v>
      </c>
      <c r="H713" s="9" t="s">
        <v>805</v>
      </c>
      <c r="I713" s="7" t="str">
        <f t="shared" si="44"/>
        <v>61001003000</v>
      </c>
      <c r="J713" s="7" t="str">
        <f t="shared" si="45"/>
        <v>Смешанные по допущению</v>
      </c>
      <c r="K713" s="7">
        <f>VLOOKUP(J713,Лист2!A$2:B$4,2,FALSE)</f>
        <v>793</v>
      </c>
      <c r="L713" s="7" t="str">
        <f t="shared" si="46"/>
        <v>ГОТОВ_ИЗМЕНЕН</v>
      </c>
      <c r="M713" s="7">
        <f t="shared" si="47"/>
        <v>0</v>
      </c>
    </row>
    <row r="714" spans="1:13" x14ac:dyDescent="0.25">
      <c r="A714" s="1">
        <v>945054</v>
      </c>
      <c r="B714" s="6" t="s">
        <v>806</v>
      </c>
      <c r="F714" s="6" t="s">
        <v>9</v>
      </c>
      <c r="G714" s="6" t="s">
        <v>62</v>
      </c>
      <c r="H714" s="9" t="s">
        <v>63</v>
      </c>
      <c r="I714" s="7" t="str">
        <f t="shared" si="44"/>
        <v>61001006002</v>
      </c>
      <c r="J714" s="7" t="str">
        <f t="shared" si="45"/>
        <v>Материал по ЕГРН</v>
      </c>
      <c r="K714" s="7">
        <f>VLOOKUP(J714,Лист2!A$2:B$4,2,FALSE)</f>
        <v>792</v>
      </c>
      <c r="L714" s="7" t="str">
        <f t="shared" si="46"/>
        <v>ГОТОВ_ИЗМЕНЕН</v>
      </c>
      <c r="M714" s="7">
        <f t="shared" si="47"/>
        <v>0</v>
      </c>
    </row>
    <row r="715" spans="1:13" x14ac:dyDescent="0.25">
      <c r="A715" s="1">
        <v>945066</v>
      </c>
      <c r="B715" s="6" t="s">
        <v>807</v>
      </c>
      <c r="F715" s="6" t="s">
        <v>9</v>
      </c>
      <c r="G715" s="6" t="s">
        <v>10</v>
      </c>
      <c r="H715" s="9" t="s">
        <v>11</v>
      </c>
      <c r="I715" s="7" t="str">
        <f t="shared" si="44"/>
        <v>61001003000</v>
      </c>
      <c r="J715" s="7" t="str">
        <f t="shared" si="45"/>
        <v>Материал по ЕГРН</v>
      </c>
      <c r="K715" s="7">
        <f>VLOOKUP(J715,Лист2!A$2:B$4,2,FALSE)</f>
        <v>792</v>
      </c>
      <c r="L715" s="7" t="str">
        <f t="shared" si="46"/>
        <v>ГОТОВ_ИЗМЕНЕН</v>
      </c>
      <c r="M715" s="7">
        <f t="shared" si="47"/>
        <v>0</v>
      </c>
    </row>
    <row r="716" spans="1:13" x14ac:dyDescent="0.25">
      <c r="A716" s="1">
        <v>945078</v>
      </c>
      <c r="B716" s="6" t="s">
        <v>808</v>
      </c>
      <c r="F716" s="6" t="s">
        <v>9</v>
      </c>
      <c r="G716" s="6" t="s">
        <v>34</v>
      </c>
      <c r="H716" s="9" t="s">
        <v>35</v>
      </c>
      <c r="I716" s="7" t="str">
        <f t="shared" si="44"/>
        <v>61001002000</v>
      </c>
      <c r="J716" s="7" t="str">
        <f t="shared" si="45"/>
        <v>Материал по ЕГРН</v>
      </c>
      <c r="K716" s="7">
        <f>VLOOKUP(J716,Лист2!A$2:B$4,2,FALSE)</f>
        <v>792</v>
      </c>
      <c r="L716" s="7" t="str">
        <f t="shared" si="46"/>
        <v>ГОТОВ_ИЗМЕНЕН</v>
      </c>
      <c r="M716" s="7">
        <f t="shared" si="47"/>
        <v>0</v>
      </c>
    </row>
    <row r="717" spans="1:13" x14ac:dyDescent="0.25">
      <c r="A717" s="1">
        <v>945090</v>
      </c>
      <c r="B717" s="6" t="s">
        <v>809</v>
      </c>
      <c r="F717" s="6" t="s">
        <v>9</v>
      </c>
      <c r="G717" s="6" t="s">
        <v>34</v>
      </c>
      <c r="H717" s="9" t="s">
        <v>35</v>
      </c>
      <c r="I717" s="7" t="str">
        <f t="shared" si="44"/>
        <v>61001002000</v>
      </c>
      <c r="J717" s="7" t="str">
        <f t="shared" si="45"/>
        <v>Материал по ЕГРН</v>
      </c>
      <c r="K717" s="7">
        <f>VLOOKUP(J717,Лист2!A$2:B$4,2,FALSE)</f>
        <v>792</v>
      </c>
      <c r="L717" s="7" t="str">
        <f t="shared" si="46"/>
        <v>ГОТОВ_ИЗМЕНЕН</v>
      </c>
      <c r="M717" s="7">
        <f t="shared" si="47"/>
        <v>0</v>
      </c>
    </row>
    <row r="718" spans="1:13" x14ac:dyDescent="0.25">
      <c r="A718" s="1">
        <v>945102</v>
      </c>
      <c r="B718" s="6" t="s">
        <v>810</v>
      </c>
      <c r="F718" s="6" t="s">
        <v>9</v>
      </c>
      <c r="G718" s="6" t="s">
        <v>38</v>
      </c>
      <c r="H718" s="9" t="s">
        <v>33</v>
      </c>
      <c r="I718" s="7" t="str">
        <f t="shared" si="44"/>
        <v>61001005000</v>
      </c>
      <c r="J718" s="7" t="str">
        <f t="shared" si="45"/>
        <v>Материал по ЕГРН</v>
      </c>
      <c r="K718" s="7">
        <f>VLOOKUP(J718,Лист2!A$2:B$4,2,FALSE)</f>
        <v>792</v>
      </c>
      <c r="L718" s="7" t="str">
        <f t="shared" si="46"/>
        <v>ГОТОВ_ИЗМЕНЕН</v>
      </c>
      <c r="M718" s="7">
        <f t="shared" si="47"/>
        <v>0</v>
      </c>
    </row>
    <row r="719" spans="1:13" x14ac:dyDescent="0.25">
      <c r="A719" s="1">
        <v>945114</v>
      </c>
      <c r="B719" s="6" t="s">
        <v>811</v>
      </c>
      <c r="F719" s="6" t="s">
        <v>9</v>
      </c>
      <c r="G719" s="6" t="s">
        <v>43</v>
      </c>
      <c r="H719" s="9" t="s">
        <v>42</v>
      </c>
      <c r="I719" s="7" t="str">
        <f t="shared" si="44"/>
        <v>61001002001</v>
      </c>
      <c r="J719" s="7" t="str">
        <f t="shared" si="45"/>
        <v>Материал по ЕГРН</v>
      </c>
      <c r="K719" s="7">
        <f>VLOOKUP(J719,Лист2!A$2:B$4,2,FALSE)</f>
        <v>792</v>
      </c>
      <c r="L719" s="7" t="str">
        <f t="shared" si="46"/>
        <v>ГОТОВ_ИЗМЕНЕН</v>
      </c>
      <c r="M719" s="7">
        <f t="shared" si="47"/>
        <v>0</v>
      </c>
    </row>
    <row r="720" spans="1:13" x14ac:dyDescent="0.25">
      <c r="A720" s="1">
        <v>945126</v>
      </c>
      <c r="B720" s="6" t="s">
        <v>812</v>
      </c>
      <c r="F720" s="6" t="s">
        <v>9</v>
      </c>
      <c r="G720" s="6" t="s">
        <v>38</v>
      </c>
      <c r="H720" s="9" t="s">
        <v>33</v>
      </c>
      <c r="I720" s="7" t="str">
        <f t="shared" si="44"/>
        <v>61001005000</v>
      </c>
      <c r="J720" s="7" t="str">
        <f t="shared" si="45"/>
        <v>Материал по ЕГРН</v>
      </c>
      <c r="K720" s="7">
        <f>VLOOKUP(J720,Лист2!A$2:B$4,2,FALSE)</f>
        <v>792</v>
      </c>
      <c r="L720" s="7" t="str">
        <f t="shared" si="46"/>
        <v>ГОТОВ_ИЗМЕНЕН</v>
      </c>
      <c r="M720" s="7">
        <f t="shared" si="47"/>
        <v>0</v>
      </c>
    </row>
    <row r="721" spans="1:13" x14ac:dyDescent="0.25">
      <c r="A721" s="1">
        <v>945138</v>
      </c>
      <c r="B721" s="6" t="s">
        <v>813</v>
      </c>
      <c r="F721" s="6" t="s">
        <v>9</v>
      </c>
      <c r="G721" s="6" t="s">
        <v>814</v>
      </c>
      <c r="H721" s="9" t="s">
        <v>815</v>
      </c>
      <c r="I721" s="7" t="str">
        <f t="shared" si="44"/>
        <v>61001003000</v>
      </c>
      <c r="J721" s="7" t="str">
        <f t="shared" si="45"/>
        <v>Смешанные по допущению</v>
      </c>
      <c r="K721" s="7">
        <f>VLOOKUP(J721,Лист2!A$2:B$4,2,FALSE)</f>
        <v>793</v>
      </c>
      <c r="L721" s="7" t="str">
        <f t="shared" si="46"/>
        <v>ГОТОВ_ИЗМЕНЕН</v>
      </c>
      <c r="M721" s="7">
        <f t="shared" si="47"/>
        <v>0</v>
      </c>
    </row>
    <row r="722" spans="1:13" x14ac:dyDescent="0.25">
      <c r="A722" s="1">
        <v>945150</v>
      </c>
      <c r="B722" s="6" t="s">
        <v>816</v>
      </c>
      <c r="F722" s="6" t="s">
        <v>9</v>
      </c>
      <c r="G722" s="6" t="s">
        <v>38</v>
      </c>
      <c r="H722" s="9" t="s">
        <v>33</v>
      </c>
      <c r="I722" s="7" t="str">
        <f t="shared" si="44"/>
        <v>61001005000</v>
      </c>
      <c r="J722" s="7" t="str">
        <f t="shared" si="45"/>
        <v>Материал по ЕГРН</v>
      </c>
      <c r="K722" s="7">
        <f>VLOOKUP(J722,Лист2!A$2:B$4,2,FALSE)</f>
        <v>792</v>
      </c>
      <c r="L722" s="7" t="str">
        <f t="shared" si="46"/>
        <v>ГОТОВ_ИЗМЕНЕН</v>
      </c>
      <c r="M722" s="7">
        <f t="shared" si="47"/>
        <v>0</v>
      </c>
    </row>
    <row r="723" spans="1:13" x14ac:dyDescent="0.25">
      <c r="A723" s="1">
        <v>945162</v>
      </c>
      <c r="B723" s="6" t="s">
        <v>817</v>
      </c>
      <c r="F723" s="6" t="s">
        <v>9</v>
      </c>
      <c r="G723" s="6" t="s">
        <v>34</v>
      </c>
      <c r="H723" s="9" t="s">
        <v>35</v>
      </c>
      <c r="I723" s="7" t="str">
        <f t="shared" si="44"/>
        <v>61001002000</v>
      </c>
      <c r="J723" s="7" t="str">
        <f t="shared" si="45"/>
        <v>Материал по ЕГРН</v>
      </c>
      <c r="K723" s="7">
        <f>VLOOKUP(J723,Лист2!A$2:B$4,2,FALSE)</f>
        <v>792</v>
      </c>
      <c r="L723" s="7" t="str">
        <f t="shared" si="46"/>
        <v>ГОТОВ_ИЗМЕНЕН</v>
      </c>
      <c r="M723" s="7">
        <f t="shared" si="47"/>
        <v>0</v>
      </c>
    </row>
    <row r="724" spans="1:13" x14ac:dyDescent="0.25">
      <c r="A724" s="1">
        <v>945174</v>
      </c>
      <c r="B724" s="6" t="s">
        <v>818</v>
      </c>
      <c r="F724" s="6" t="s">
        <v>9</v>
      </c>
      <c r="G724" s="6" t="s">
        <v>170</v>
      </c>
      <c r="H724" s="9" t="s">
        <v>171</v>
      </c>
      <c r="I724" s="7" t="str">
        <f t="shared" si="44"/>
        <v>61001001000</v>
      </c>
      <c r="J724" s="7" t="str">
        <f t="shared" si="45"/>
        <v>Материал по ЕГРН</v>
      </c>
      <c r="K724" s="7">
        <f>VLOOKUP(J724,Лист2!A$2:B$4,2,FALSE)</f>
        <v>792</v>
      </c>
      <c r="L724" s="7" t="str">
        <f t="shared" si="46"/>
        <v>ГОТОВ_ИЗМЕНЕН</v>
      </c>
      <c r="M724" s="7">
        <f t="shared" si="47"/>
        <v>0</v>
      </c>
    </row>
    <row r="725" spans="1:13" x14ac:dyDescent="0.25">
      <c r="A725" s="1">
        <v>945186</v>
      </c>
      <c r="B725" s="6" t="s">
        <v>819</v>
      </c>
      <c r="F725" s="6" t="s">
        <v>9</v>
      </c>
      <c r="G725" s="6" t="s">
        <v>38</v>
      </c>
      <c r="H725" s="9" t="s">
        <v>33</v>
      </c>
      <c r="I725" s="7" t="str">
        <f t="shared" si="44"/>
        <v>61001005000</v>
      </c>
      <c r="J725" s="7" t="str">
        <f t="shared" si="45"/>
        <v>Материал по ЕГРН</v>
      </c>
      <c r="K725" s="7">
        <f>VLOOKUP(J725,Лист2!A$2:B$4,2,FALSE)</f>
        <v>792</v>
      </c>
      <c r="L725" s="7" t="str">
        <f t="shared" si="46"/>
        <v>ГОТОВ_ИЗМЕНЕН</v>
      </c>
      <c r="M725" s="7">
        <f t="shared" si="47"/>
        <v>0</v>
      </c>
    </row>
    <row r="726" spans="1:13" x14ac:dyDescent="0.25">
      <c r="A726" s="1">
        <v>225836</v>
      </c>
      <c r="B726" s="6" t="s">
        <v>820</v>
      </c>
      <c r="C726" s="9" t="s">
        <v>42</v>
      </c>
      <c r="D726" s="6" t="s">
        <v>20</v>
      </c>
      <c r="E726" s="6" t="s">
        <v>37</v>
      </c>
      <c r="F726" s="6" t="s">
        <v>9</v>
      </c>
      <c r="G726" s="6" t="s">
        <v>43</v>
      </c>
      <c r="H726" s="9" t="s">
        <v>42</v>
      </c>
      <c r="I726" s="7" t="str">
        <f t="shared" si="44"/>
        <v>61001002001</v>
      </c>
      <c r="J726" s="7" t="str">
        <f t="shared" si="45"/>
        <v>Материал по ЕГРН</v>
      </c>
      <c r="K726" s="7">
        <f>VLOOKUP(J726,Лист2!A$2:B$4,2,FALSE)</f>
        <v>792</v>
      </c>
      <c r="L726" s="7" t="str">
        <f t="shared" si="46"/>
        <v>ГОТОВ</v>
      </c>
      <c r="M726" s="7" t="str">
        <f t="shared" si="47"/>
        <v>61001002001</v>
      </c>
    </row>
    <row r="727" spans="1:13" x14ac:dyDescent="0.25">
      <c r="A727" s="1">
        <v>414597</v>
      </c>
      <c r="B727" s="6" t="s">
        <v>821</v>
      </c>
      <c r="C727" s="9" t="s">
        <v>42</v>
      </c>
      <c r="D727" s="6" t="s">
        <v>20</v>
      </c>
      <c r="E727" s="6" t="s">
        <v>37</v>
      </c>
      <c r="F727" s="6" t="s">
        <v>9</v>
      </c>
      <c r="G727" s="6" t="s">
        <v>43</v>
      </c>
      <c r="H727" s="9" t="s">
        <v>42</v>
      </c>
      <c r="I727" s="7" t="str">
        <f t="shared" si="44"/>
        <v>61001002001</v>
      </c>
      <c r="J727" s="7" t="str">
        <f t="shared" si="45"/>
        <v>Материал по ЕГРН</v>
      </c>
      <c r="K727" s="7">
        <f>VLOOKUP(J727,Лист2!A$2:B$4,2,FALSE)</f>
        <v>792</v>
      </c>
      <c r="L727" s="7" t="str">
        <f t="shared" si="46"/>
        <v>ГОТОВ</v>
      </c>
      <c r="M727" s="7" t="str">
        <f t="shared" si="47"/>
        <v>61001002001</v>
      </c>
    </row>
    <row r="728" spans="1:13" x14ac:dyDescent="0.25">
      <c r="A728" s="1">
        <v>797112</v>
      </c>
      <c r="B728" s="6" t="s">
        <v>822</v>
      </c>
      <c r="C728" s="9" t="s">
        <v>33</v>
      </c>
      <c r="D728" s="6" t="s">
        <v>20</v>
      </c>
      <c r="E728" s="6" t="s">
        <v>37</v>
      </c>
      <c r="F728" s="6" t="s">
        <v>9</v>
      </c>
      <c r="G728" s="6" t="s">
        <v>38</v>
      </c>
      <c r="H728" s="9" t="s">
        <v>33</v>
      </c>
      <c r="I728" s="7" t="str">
        <f t="shared" si="44"/>
        <v>61001005000</v>
      </c>
      <c r="J728" s="7" t="str">
        <f t="shared" si="45"/>
        <v>Материал по ЕГРН</v>
      </c>
      <c r="K728" s="7">
        <f>VLOOKUP(J728,Лист2!A$2:B$4,2,FALSE)</f>
        <v>792</v>
      </c>
      <c r="L728" s="7" t="str">
        <f t="shared" si="46"/>
        <v>ГОТОВ</v>
      </c>
      <c r="M728" s="7" t="str">
        <f t="shared" si="47"/>
        <v>61001005000</v>
      </c>
    </row>
    <row r="729" spans="1:13" x14ac:dyDescent="0.25">
      <c r="A729" s="1">
        <v>945201</v>
      </c>
      <c r="B729" s="6" t="s">
        <v>823</v>
      </c>
      <c r="F729" s="6" t="s">
        <v>9</v>
      </c>
      <c r="G729" s="6" t="s">
        <v>62</v>
      </c>
      <c r="H729" s="9" t="s">
        <v>63</v>
      </c>
      <c r="I729" s="7" t="str">
        <f t="shared" si="44"/>
        <v>61001006002</v>
      </c>
      <c r="J729" s="7" t="str">
        <f t="shared" si="45"/>
        <v>Материал по ЕГРН</v>
      </c>
      <c r="K729" s="7">
        <f>VLOOKUP(J729,Лист2!A$2:B$4,2,FALSE)</f>
        <v>792</v>
      </c>
      <c r="L729" s="7" t="str">
        <f t="shared" si="46"/>
        <v>ГОТОВ_ИЗМЕНЕН</v>
      </c>
      <c r="M729" s="7">
        <f t="shared" si="47"/>
        <v>0</v>
      </c>
    </row>
    <row r="730" spans="1:13" x14ac:dyDescent="0.25">
      <c r="A730" s="1">
        <v>945213</v>
      </c>
      <c r="B730" s="6" t="s">
        <v>824</v>
      </c>
      <c r="F730" s="6" t="s">
        <v>9</v>
      </c>
      <c r="G730" s="6" t="s">
        <v>38</v>
      </c>
      <c r="H730" s="9" t="s">
        <v>33</v>
      </c>
      <c r="I730" s="7" t="str">
        <f t="shared" si="44"/>
        <v>61001005000</v>
      </c>
      <c r="J730" s="7" t="str">
        <f t="shared" si="45"/>
        <v>Материал по ЕГРН</v>
      </c>
      <c r="K730" s="7">
        <f>VLOOKUP(J730,Лист2!A$2:B$4,2,FALSE)</f>
        <v>792</v>
      </c>
      <c r="L730" s="7" t="str">
        <f t="shared" si="46"/>
        <v>ГОТОВ_ИЗМЕНЕН</v>
      </c>
      <c r="M730" s="7">
        <f t="shared" si="47"/>
        <v>0</v>
      </c>
    </row>
    <row r="731" spans="1:13" x14ac:dyDescent="0.25">
      <c r="A731" s="1">
        <v>945225</v>
      </c>
      <c r="B731" s="6" t="s">
        <v>825</v>
      </c>
      <c r="F731" s="6" t="s">
        <v>9</v>
      </c>
      <c r="G731" s="6" t="s">
        <v>73</v>
      </c>
      <c r="H731" s="9" t="s">
        <v>74</v>
      </c>
      <c r="I731" s="7" t="str">
        <f t="shared" si="44"/>
        <v>61001006000</v>
      </c>
      <c r="J731" s="7" t="str">
        <f t="shared" si="45"/>
        <v>Материал по ЕГРН</v>
      </c>
      <c r="K731" s="7">
        <f>VLOOKUP(J731,Лист2!A$2:B$4,2,FALSE)</f>
        <v>792</v>
      </c>
      <c r="L731" s="7" t="str">
        <f t="shared" si="46"/>
        <v>ГОТОВ_ИЗМЕНЕН</v>
      </c>
      <c r="M731" s="7">
        <f t="shared" si="47"/>
        <v>0</v>
      </c>
    </row>
    <row r="732" spans="1:13" x14ac:dyDescent="0.25">
      <c r="A732" s="1">
        <v>945237</v>
      </c>
      <c r="B732" s="6" t="s">
        <v>826</v>
      </c>
      <c r="F732" s="6" t="s">
        <v>9</v>
      </c>
      <c r="G732" s="6" t="s">
        <v>73</v>
      </c>
      <c r="H732" s="9" t="s">
        <v>74</v>
      </c>
      <c r="I732" s="7" t="str">
        <f t="shared" si="44"/>
        <v>61001006000</v>
      </c>
      <c r="J732" s="7" t="str">
        <f t="shared" si="45"/>
        <v>Материал по ЕГРН</v>
      </c>
      <c r="K732" s="7">
        <f>VLOOKUP(J732,Лист2!A$2:B$4,2,FALSE)</f>
        <v>792</v>
      </c>
      <c r="L732" s="7" t="str">
        <f t="shared" si="46"/>
        <v>ГОТОВ_ИЗМЕНЕН</v>
      </c>
      <c r="M732" s="7">
        <f t="shared" si="47"/>
        <v>0</v>
      </c>
    </row>
    <row r="733" spans="1:13" x14ac:dyDescent="0.25">
      <c r="A733" s="1">
        <v>945249</v>
      </c>
      <c r="B733" s="6" t="s">
        <v>827</v>
      </c>
      <c r="F733" s="6" t="s">
        <v>9</v>
      </c>
      <c r="G733" s="6" t="s">
        <v>34</v>
      </c>
      <c r="H733" s="9" t="s">
        <v>35</v>
      </c>
      <c r="I733" s="7" t="str">
        <f t="shared" si="44"/>
        <v>61001002000</v>
      </c>
      <c r="J733" s="7" t="str">
        <f t="shared" si="45"/>
        <v>Материал по ЕГРН</v>
      </c>
      <c r="K733" s="7">
        <f>VLOOKUP(J733,Лист2!A$2:B$4,2,FALSE)</f>
        <v>792</v>
      </c>
      <c r="L733" s="7" t="str">
        <f t="shared" si="46"/>
        <v>ГОТОВ_ИЗМЕНЕН</v>
      </c>
      <c r="M733" s="7">
        <f t="shared" si="47"/>
        <v>0</v>
      </c>
    </row>
    <row r="734" spans="1:13" x14ac:dyDescent="0.25">
      <c r="A734" s="1">
        <v>945261</v>
      </c>
      <c r="B734" s="6" t="s">
        <v>828</v>
      </c>
      <c r="F734" s="6" t="s">
        <v>9</v>
      </c>
      <c r="G734" s="6" t="s">
        <v>62</v>
      </c>
      <c r="H734" s="9" t="s">
        <v>63</v>
      </c>
      <c r="I734" s="7" t="str">
        <f t="shared" si="44"/>
        <v>61001006002</v>
      </c>
      <c r="J734" s="7" t="str">
        <f t="shared" si="45"/>
        <v>Материал по ЕГРН</v>
      </c>
      <c r="K734" s="7">
        <f>VLOOKUP(J734,Лист2!A$2:B$4,2,FALSE)</f>
        <v>792</v>
      </c>
      <c r="L734" s="7" t="str">
        <f t="shared" si="46"/>
        <v>ГОТОВ_ИЗМЕНЕН</v>
      </c>
      <c r="M734" s="7">
        <f t="shared" si="47"/>
        <v>0</v>
      </c>
    </row>
    <row r="735" spans="1:13" x14ac:dyDescent="0.25">
      <c r="A735" s="1">
        <v>945273</v>
      </c>
      <c r="B735" s="6" t="s">
        <v>829</v>
      </c>
      <c r="F735" s="6" t="s">
        <v>9</v>
      </c>
      <c r="G735" s="6" t="s">
        <v>34</v>
      </c>
      <c r="H735" s="9" t="s">
        <v>35</v>
      </c>
      <c r="I735" s="7" t="str">
        <f t="shared" si="44"/>
        <v>61001002000</v>
      </c>
      <c r="J735" s="7" t="str">
        <f t="shared" si="45"/>
        <v>Материал по ЕГРН</v>
      </c>
      <c r="K735" s="7">
        <f>VLOOKUP(J735,Лист2!A$2:B$4,2,FALSE)</f>
        <v>792</v>
      </c>
      <c r="L735" s="7" t="str">
        <f t="shared" si="46"/>
        <v>ГОТОВ_ИЗМЕНЕН</v>
      </c>
      <c r="M735" s="7">
        <f t="shared" si="47"/>
        <v>0</v>
      </c>
    </row>
    <row r="736" spans="1:13" x14ac:dyDescent="0.25">
      <c r="A736" s="1">
        <v>945285</v>
      </c>
      <c r="B736" s="6" t="s">
        <v>830</v>
      </c>
      <c r="F736" s="6" t="s">
        <v>9</v>
      </c>
      <c r="G736" s="6" t="s">
        <v>73</v>
      </c>
      <c r="H736" s="9" t="s">
        <v>74</v>
      </c>
      <c r="I736" s="7" t="str">
        <f t="shared" si="44"/>
        <v>61001006000</v>
      </c>
      <c r="J736" s="7" t="str">
        <f t="shared" si="45"/>
        <v>Материал по ЕГРН</v>
      </c>
      <c r="K736" s="7">
        <f>VLOOKUP(J736,Лист2!A$2:B$4,2,FALSE)</f>
        <v>792</v>
      </c>
      <c r="L736" s="7" t="str">
        <f t="shared" si="46"/>
        <v>ГОТОВ_ИЗМЕНЕН</v>
      </c>
      <c r="M736" s="7">
        <f t="shared" si="47"/>
        <v>0</v>
      </c>
    </row>
    <row r="737" spans="1:13" x14ac:dyDescent="0.25">
      <c r="A737" s="1">
        <v>945297</v>
      </c>
      <c r="B737" s="6" t="s">
        <v>831</v>
      </c>
      <c r="F737" s="6" t="s">
        <v>9</v>
      </c>
      <c r="G737" s="6" t="s">
        <v>62</v>
      </c>
      <c r="H737" s="9" t="s">
        <v>63</v>
      </c>
      <c r="I737" s="7" t="str">
        <f t="shared" si="44"/>
        <v>61001006002</v>
      </c>
      <c r="J737" s="7" t="str">
        <f t="shared" si="45"/>
        <v>Материал по ЕГРН</v>
      </c>
      <c r="K737" s="7">
        <f>VLOOKUP(J737,Лист2!A$2:B$4,2,FALSE)</f>
        <v>792</v>
      </c>
      <c r="L737" s="7" t="str">
        <f t="shared" si="46"/>
        <v>ГОТОВ_ИЗМЕНЕН</v>
      </c>
      <c r="M737" s="7">
        <f t="shared" si="47"/>
        <v>0</v>
      </c>
    </row>
    <row r="738" spans="1:13" x14ac:dyDescent="0.25">
      <c r="A738" s="1">
        <v>945309</v>
      </c>
      <c r="B738" s="6" t="s">
        <v>832</v>
      </c>
      <c r="F738" s="6" t="s">
        <v>9</v>
      </c>
      <c r="G738" s="6" t="s">
        <v>34</v>
      </c>
      <c r="H738" s="9" t="s">
        <v>35</v>
      </c>
      <c r="I738" s="7" t="str">
        <f t="shared" si="44"/>
        <v>61001002000</v>
      </c>
      <c r="J738" s="7" t="str">
        <f t="shared" si="45"/>
        <v>Материал по ЕГРН</v>
      </c>
      <c r="K738" s="7">
        <f>VLOOKUP(J738,Лист2!A$2:B$4,2,FALSE)</f>
        <v>792</v>
      </c>
      <c r="L738" s="7" t="str">
        <f t="shared" si="46"/>
        <v>ГОТОВ_ИЗМЕНЕН</v>
      </c>
      <c r="M738" s="7">
        <f t="shared" si="47"/>
        <v>0</v>
      </c>
    </row>
    <row r="739" spans="1:13" x14ac:dyDescent="0.25">
      <c r="A739" s="1">
        <v>945321</v>
      </c>
      <c r="B739" s="6" t="s">
        <v>833</v>
      </c>
      <c r="F739" s="6" t="s">
        <v>9</v>
      </c>
      <c r="G739" s="6" t="s">
        <v>38</v>
      </c>
      <c r="H739" s="9" t="s">
        <v>33</v>
      </c>
      <c r="I739" s="7" t="str">
        <f t="shared" si="44"/>
        <v>61001005000</v>
      </c>
      <c r="J739" s="7" t="str">
        <f t="shared" si="45"/>
        <v>Материал по ЕГРН</v>
      </c>
      <c r="K739" s="7">
        <f>VLOOKUP(J739,Лист2!A$2:B$4,2,FALSE)</f>
        <v>792</v>
      </c>
      <c r="L739" s="7" t="str">
        <f t="shared" si="46"/>
        <v>ГОТОВ_ИЗМЕНЕН</v>
      </c>
      <c r="M739" s="7">
        <f t="shared" si="47"/>
        <v>0</v>
      </c>
    </row>
    <row r="740" spans="1:13" x14ac:dyDescent="0.25">
      <c r="A740" s="1">
        <v>945333</v>
      </c>
      <c r="B740" s="6" t="s">
        <v>834</v>
      </c>
      <c r="F740" s="6" t="s">
        <v>9</v>
      </c>
      <c r="G740" s="6" t="s">
        <v>59</v>
      </c>
      <c r="H740" s="9" t="s">
        <v>60</v>
      </c>
      <c r="I740" s="7" t="str">
        <f t="shared" si="44"/>
        <v>61001001001</v>
      </c>
      <c r="J740" s="7" t="str">
        <f t="shared" si="45"/>
        <v>Материал по ЕГРН</v>
      </c>
      <c r="K740" s="7">
        <f>VLOOKUP(J740,Лист2!A$2:B$4,2,FALSE)</f>
        <v>792</v>
      </c>
      <c r="L740" s="7" t="str">
        <f t="shared" si="46"/>
        <v>ГОТОВ_ИЗМЕНЕН</v>
      </c>
      <c r="M740" s="7">
        <f t="shared" si="47"/>
        <v>0</v>
      </c>
    </row>
    <row r="741" spans="1:13" x14ac:dyDescent="0.25">
      <c r="A741" s="1">
        <v>945345</v>
      </c>
      <c r="B741" s="6" t="s">
        <v>835</v>
      </c>
      <c r="F741" s="6" t="s">
        <v>9</v>
      </c>
      <c r="G741" s="6" t="s">
        <v>34</v>
      </c>
      <c r="H741" s="9" t="s">
        <v>35</v>
      </c>
      <c r="I741" s="7" t="str">
        <f t="shared" si="44"/>
        <v>61001002000</v>
      </c>
      <c r="J741" s="7" t="str">
        <f t="shared" si="45"/>
        <v>Материал по ЕГРН</v>
      </c>
      <c r="K741" s="7">
        <f>VLOOKUP(J741,Лист2!A$2:B$4,2,FALSE)</f>
        <v>792</v>
      </c>
      <c r="L741" s="7" t="str">
        <f t="shared" si="46"/>
        <v>ГОТОВ_ИЗМЕНЕН</v>
      </c>
      <c r="M741" s="7">
        <f t="shared" si="47"/>
        <v>0</v>
      </c>
    </row>
    <row r="742" spans="1:13" x14ac:dyDescent="0.25">
      <c r="A742" s="1">
        <v>945357</v>
      </c>
      <c r="B742" s="6" t="s">
        <v>836</v>
      </c>
      <c r="F742" s="6" t="s">
        <v>9</v>
      </c>
      <c r="G742" s="6" t="s">
        <v>65</v>
      </c>
      <c r="H742" s="9" t="s">
        <v>66</v>
      </c>
      <c r="I742" s="7" t="str">
        <f t="shared" si="44"/>
        <v>61001002003</v>
      </c>
      <c r="J742" s="7" t="str">
        <f t="shared" si="45"/>
        <v>Материал по ЕГРН</v>
      </c>
      <c r="K742" s="7">
        <f>VLOOKUP(J742,Лист2!A$2:B$4,2,FALSE)</f>
        <v>792</v>
      </c>
      <c r="L742" s="7" t="str">
        <f t="shared" si="46"/>
        <v>ГОТОВ_ИЗМЕНЕН</v>
      </c>
      <c r="M742" s="7">
        <f t="shared" si="47"/>
        <v>0</v>
      </c>
    </row>
    <row r="743" spans="1:13" x14ac:dyDescent="0.25">
      <c r="A743" s="1">
        <v>945369</v>
      </c>
      <c r="B743" s="6" t="s">
        <v>837</v>
      </c>
      <c r="F743" s="6" t="s">
        <v>9</v>
      </c>
      <c r="G743" s="6" t="s">
        <v>73</v>
      </c>
      <c r="H743" s="9" t="s">
        <v>74</v>
      </c>
      <c r="I743" s="7" t="str">
        <f t="shared" si="44"/>
        <v>61001006000</v>
      </c>
      <c r="J743" s="7" t="str">
        <f t="shared" si="45"/>
        <v>Материал по ЕГРН</v>
      </c>
      <c r="K743" s="7">
        <f>VLOOKUP(J743,Лист2!A$2:B$4,2,FALSE)</f>
        <v>792</v>
      </c>
      <c r="L743" s="7" t="str">
        <f t="shared" si="46"/>
        <v>ГОТОВ_ИЗМЕНЕН</v>
      </c>
      <c r="M743" s="7">
        <f t="shared" si="47"/>
        <v>0</v>
      </c>
    </row>
    <row r="744" spans="1:13" x14ac:dyDescent="0.25">
      <c r="A744" s="1">
        <v>945381</v>
      </c>
      <c r="B744" s="6" t="s">
        <v>838</v>
      </c>
      <c r="F744" s="6" t="s">
        <v>9</v>
      </c>
      <c r="G744" s="6" t="s">
        <v>10</v>
      </c>
      <c r="H744" s="9" t="s">
        <v>11</v>
      </c>
      <c r="I744" s="7" t="str">
        <f t="shared" si="44"/>
        <v>61001003000</v>
      </c>
      <c r="J744" s="7" t="str">
        <f t="shared" si="45"/>
        <v>Материал по ЕГРН</v>
      </c>
      <c r="K744" s="7">
        <f>VLOOKUP(J744,Лист2!A$2:B$4,2,FALSE)</f>
        <v>792</v>
      </c>
      <c r="L744" s="7" t="str">
        <f t="shared" si="46"/>
        <v>ГОТОВ_ИЗМЕНЕН</v>
      </c>
      <c r="M744" s="7">
        <f t="shared" si="47"/>
        <v>0</v>
      </c>
    </row>
    <row r="745" spans="1:13" x14ac:dyDescent="0.25">
      <c r="A745" s="1">
        <v>945393</v>
      </c>
      <c r="B745" s="6" t="s">
        <v>839</v>
      </c>
      <c r="F745" s="6" t="s">
        <v>9</v>
      </c>
      <c r="G745" s="6" t="s">
        <v>59</v>
      </c>
      <c r="H745" s="9" t="s">
        <v>60</v>
      </c>
      <c r="I745" s="7" t="str">
        <f t="shared" si="44"/>
        <v>61001001001</v>
      </c>
      <c r="J745" s="7" t="str">
        <f t="shared" si="45"/>
        <v>Материал по ЕГРН</v>
      </c>
      <c r="K745" s="7">
        <f>VLOOKUP(J745,Лист2!A$2:B$4,2,FALSE)</f>
        <v>792</v>
      </c>
      <c r="L745" s="7" t="str">
        <f t="shared" si="46"/>
        <v>ГОТОВ_ИЗМЕНЕН</v>
      </c>
      <c r="M745" s="7">
        <f t="shared" si="47"/>
        <v>0</v>
      </c>
    </row>
    <row r="746" spans="1:13" x14ac:dyDescent="0.25">
      <c r="A746" s="1">
        <v>945405</v>
      </c>
      <c r="B746" s="6" t="s">
        <v>840</v>
      </c>
      <c r="F746" s="6" t="s">
        <v>9</v>
      </c>
      <c r="G746" s="6" t="s">
        <v>38</v>
      </c>
      <c r="H746" s="9" t="s">
        <v>33</v>
      </c>
      <c r="I746" s="7" t="str">
        <f t="shared" si="44"/>
        <v>61001005000</v>
      </c>
      <c r="J746" s="7" t="str">
        <f t="shared" si="45"/>
        <v>Материал по ЕГРН</v>
      </c>
      <c r="K746" s="7">
        <f>VLOOKUP(J746,Лист2!A$2:B$4,2,FALSE)</f>
        <v>792</v>
      </c>
      <c r="L746" s="7" t="str">
        <f t="shared" si="46"/>
        <v>ГОТОВ_ИЗМЕНЕН</v>
      </c>
      <c r="M746" s="7">
        <f t="shared" si="47"/>
        <v>0</v>
      </c>
    </row>
    <row r="747" spans="1:13" x14ac:dyDescent="0.25">
      <c r="A747" s="1">
        <v>945417</v>
      </c>
      <c r="B747" s="6" t="s">
        <v>841</v>
      </c>
      <c r="F747" s="6" t="s">
        <v>9</v>
      </c>
      <c r="G747" s="6" t="s">
        <v>34</v>
      </c>
      <c r="H747" s="9" t="s">
        <v>35</v>
      </c>
      <c r="I747" s="7" t="str">
        <f t="shared" si="44"/>
        <v>61001002000</v>
      </c>
      <c r="J747" s="7" t="str">
        <f t="shared" si="45"/>
        <v>Материал по ЕГРН</v>
      </c>
      <c r="K747" s="7">
        <f>VLOOKUP(J747,Лист2!A$2:B$4,2,FALSE)</f>
        <v>792</v>
      </c>
      <c r="L747" s="7" t="str">
        <f t="shared" si="46"/>
        <v>ГОТОВ_ИЗМЕНЕН</v>
      </c>
      <c r="M747" s="7">
        <f t="shared" si="47"/>
        <v>0</v>
      </c>
    </row>
    <row r="748" spans="1:13" x14ac:dyDescent="0.25">
      <c r="A748" s="1">
        <v>945429</v>
      </c>
      <c r="B748" s="6" t="s">
        <v>842</v>
      </c>
      <c r="F748" s="6" t="s">
        <v>9</v>
      </c>
      <c r="G748" s="6" t="s">
        <v>843</v>
      </c>
      <c r="H748" s="9" t="s">
        <v>844</v>
      </c>
      <c r="I748" s="7" t="str">
        <f t="shared" si="44"/>
        <v>61001003001</v>
      </c>
      <c r="J748" s="7" t="str">
        <f t="shared" si="45"/>
        <v>Материал по ЕГРН</v>
      </c>
      <c r="K748" s="7">
        <f>VLOOKUP(J748,Лист2!A$2:B$4,2,FALSE)</f>
        <v>792</v>
      </c>
      <c r="L748" s="7" t="str">
        <f t="shared" si="46"/>
        <v>ГОТОВ_ИЗМЕНЕН</v>
      </c>
      <c r="M748" s="7">
        <f t="shared" si="47"/>
        <v>0</v>
      </c>
    </row>
    <row r="749" spans="1:13" x14ac:dyDescent="0.25">
      <c r="A749" s="1">
        <v>945441</v>
      </c>
      <c r="B749" s="6" t="s">
        <v>845</v>
      </c>
      <c r="F749" s="6" t="s">
        <v>9</v>
      </c>
      <c r="G749" s="6" t="s">
        <v>34</v>
      </c>
      <c r="H749" s="9" t="s">
        <v>35</v>
      </c>
      <c r="I749" s="7" t="str">
        <f t="shared" si="44"/>
        <v>61001002000</v>
      </c>
      <c r="J749" s="7" t="str">
        <f t="shared" si="45"/>
        <v>Материал по ЕГРН</v>
      </c>
      <c r="K749" s="7">
        <f>VLOOKUP(J749,Лист2!A$2:B$4,2,FALSE)</f>
        <v>792</v>
      </c>
      <c r="L749" s="7" t="str">
        <f t="shared" si="46"/>
        <v>ГОТОВ_ИЗМЕНЕН</v>
      </c>
      <c r="M749" s="7">
        <f t="shared" si="47"/>
        <v>0</v>
      </c>
    </row>
    <row r="750" spans="1:13" x14ac:dyDescent="0.25">
      <c r="A750" s="1">
        <v>945453</v>
      </c>
      <c r="B750" s="6" t="s">
        <v>846</v>
      </c>
      <c r="F750" s="6" t="s">
        <v>9</v>
      </c>
      <c r="G750" s="6" t="s">
        <v>59</v>
      </c>
      <c r="H750" s="9" t="s">
        <v>60</v>
      </c>
      <c r="I750" s="7" t="str">
        <f t="shared" si="44"/>
        <v>61001001001</v>
      </c>
      <c r="J750" s="7" t="str">
        <f t="shared" si="45"/>
        <v>Материал по ЕГРН</v>
      </c>
      <c r="K750" s="7">
        <f>VLOOKUP(J750,Лист2!A$2:B$4,2,FALSE)</f>
        <v>792</v>
      </c>
      <c r="L750" s="7" t="str">
        <f t="shared" si="46"/>
        <v>ГОТОВ_ИЗМЕНЕН</v>
      </c>
      <c r="M750" s="7">
        <f t="shared" si="47"/>
        <v>0</v>
      </c>
    </row>
    <row r="751" spans="1:13" x14ac:dyDescent="0.25">
      <c r="A751" s="1">
        <v>945465</v>
      </c>
      <c r="B751" s="6" t="s">
        <v>847</v>
      </c>
      <c r="F751" s="6" t="s">
        <v>9</v>
      </c>
      <c r="G751" s="6" t="s">
        <v>90</v>
      </c>
      <c r="H751" s="9" t="s">
        <v>12</v>
      </c>
      <c r="I751" s="7" t="str">
        <f t="shared" si="44"/>
        <v>61001008000</v>
      </c>
      <c r="J751" s="7" t="str">
        <f t="shared" si="45"/>
        <v>Материал по ЕГРН</v>
      </c>
      <c r="K751" s="7">
        <f>VLOOKUP(J751,Лист2!A$2:B$4,2,FALSE)</f>
        <v>792</v>
      </c>
      <c r="L751" s="7" t="str">
        <f t="shared" si="46"/>
        <v>ГОТОВ_ИЗМЕНЕН</v>
      </c>
      <c r="M751" s="7">
        <f t="shared" si="47"/>
        <v>0</v>
      </c>
    </row>
    <row r="752" spans="1:13" x14ac:dyDescent="0.25">
      <c r="A752" s="1">
        <v>945477</v>
      </c>
      <c r="B752" s="6" t="s">
        <v>848</v>
      </c>
      <c r="F752" s="6" t="s">
        <v>9</v>
      </c>
      <c r="G752" s="6" t="s">
        <v>38</v>
      </c>
      <c r="H752" s="9" t="s">
        <v>33</v>
      </c>
      <c r="I752" s="7" t="str">
        <f t="shared" si="44"/>
        <v>61001005000</v>
      </c>
      <c r="J752" s="7" t="str">
        <f t="shared" si="45"/>
        <v>Материал по ЕГРН</v>
      </c>
      <c r="K752" s="7">
        <f>VLOOKUP(J752,Лист2!A$2:B$4,2,FALSE)</f>
        <v>792</v>
      </c>
      <c r="L752" s="7" t="str">
        <f t="shared" si="46"/>
        <v>ГОТОВ_ИЗМЕНЕН</v>
      </c>
      <c r="M752" s="7">
        <f t="shared" si="47"/>
        <v>0</v>
      </c>
    </row>
    <row r="753" spans="1:13" x14ac:dyDescent="0.25">
      <c r="A753" s="1">
        <v>945489</v>
      </c>
      <c r="B753" s="6" t="s">
        <v>849</v>
      </c>
      <c r="F753" s="6" t="s">
        <v>9</v>
      </c>
      <c r="G753" s="6" t="s">
        <v>146</v>
      </c>
      <c r="H753" s="9" t="s">
        <v>147</v>
      </c>
      <c r="I753" s="7" t="str">
        <f t="shared" si="44"/>
        <v>61001000000</v>
      </c>
      <c r="J753" s="7" t="str">
        <f t="shared" si="45"/>
        <v>Материал по ЕГРН</v>
      </c>
      <c r="K753" s="7">
        <f>VLOOKUP(J753,Лист2!A$2:B$4,2,FALSE)</f>
        <v>792</v>
      </c>
      <c r="L753" s="7" t="str">
        <f t="shared" si="46"/>
        <v>ГОТОВ_ИЗМЕНЕН</v>
      </c>
      <c r="M753" s="7">
        <f t="shared" si="47"/>
        <v>0</v>
      </c>
    </row>
    <row r="754" spans="1:13" x14ac:dyDescent="0.25">
      <c r="A754" s="1">
        <v>200530</v>
      </c>
      <c r="B754" s="6" t="s">
        <v>850</v>
      </c>
      <c r="C754" s="9" t="s">
        <v>33</v>
      </c>
      <c r="D754" s="6" t="s">
        <v>20</v>
      </c>
      <c r="E754" s="6" t="s">
        <v>37</v>
      </c>
      <c r="F754" s="6" t="s">
        <v>9</v>
      </c>
      <c r="G754" s="6" t="s">
        <v>38</v>
      </c>
      <c r="H754" s="9" t="s">
        <v>33</v>
      </c>
      <c r="I754" s="7" t="str">
        <f t="shared" si="44"/>
        <v>61001005000</v>
      </c>
      <c r="J754" s="7" t="str">
        <f t="shared" si="45"/>
        <v>Материал по ЕГРН</v>
      </c>
      <c r="K754" s="7">
        <f>VLOOKUP(J754,Лист2!A$2:B$4,2,FALSE)</f>
        <v>792</v>
      </c>
      <c r="L754" s="7" t="str">
        <f t="shared" si="46"/>
        <v>ГОТОВ</v>
      </c>
      <c r="M754" s="7" t="str">
        <f t="shared" si="47"/>
        <v>61001005000</v>
      </c>
    </row>
    <row r="755" spans="1:13" x14ac:dyDescent="0.25">
      <c r="A755" s="1">
        <v>382119</v>
      </c>
      <c r="B755" s="6" t="s">
        <v>851</v>
      </c>
      <c r="C755" s="9" t="s">
        <v>42</v>
      </c>
      <c r="D755" s="6" t="s">
        <v>20</v>
      </c>
      <c r="E755" s="6" t="s">
        <v>37</v>
      </c>
      <c r="F755" s="6" t="s">
        <v>9</v>
      </c>
      <c r="G755" s="6" t="s">
        <v>43</v>
      </c>
      <c r="H755" s="9" t="s">
        <v>42</v>
      </c>
      <c r="I755" s="7" t="str">
        <f t="shared" si="44"/>
        <v>61001002001</v>
      </c>
      <c r="J755" s="7" t="str">
        <f t="shared" si="45"/>
        <v>Материал по ЕГРН</v>
      </c>
      <c r="K755" s="7">
        <f>VLOOKUP(J755,Лист2!A$2:B$4,2,FALSE)</f>
        <v>792</v>
      </c>
      <c r="L755" s="7" t="str">
        <f t="shared" si="46"/>
        <v>ГОТОВ</v>
      </c>
      <c r="M755" s="7" t="str">
        <f t="shared" si="47"/>
        <v>61001002001</v>
      </c>
    </row>
    <row r="756" spans="1:13" x14ac:dyDescent="0.25">
      <c r="A756" s="1">
        <v>787838</v>
      </c>
      <c r="B756" s="6" t="s">
        <v>852</v>
      </c>
      <c r="C756" s="9" t="s">
        <v>33</v>
      </c>
      <c r="D756" s="6" t="s">
        <v>20</v>
      </c>
      <c r="E756" s="6" t="s">
        <v>37</v>
      </c>
      <c r="F756" s="6" t="s">
        <v>9</v>
      </c>
      <c r="G756" s="6" t="s">
        <v>38</v>
      </c>
      <c r="H756" s="9" t="s">
        <v>33</v>
      </c>
      <c r="I756" s="7" t="str">
        <f t="shared" si="44"/>
        <v>61001005000</v>
      </c>
      <c r="J756" s="7" t="str">
        <f t="shared" si="45"/>
        <v>Материал по ЕГРН</v>
      </c>
      <c r="K756" s="7">
        <f>VLOOKUP(J756,Лист2!A$2:B$4,2,FALSE)</f>
        <v>792</v>
      </c>
      <c r="L756" s="7" t="str">
        <f t="shared" si="46"/>
        <v>ГОТОВ</v>
      </c>
      <c r="M756" s="7" t="str">
        <f t="shared" si="47"/>
        <v>61001005000</v>
      </c>
    </row>
    <row r="757" spans="1:13" x14ac:dyDescent="0.25">
      <c r="A757" s="1">
        <v>943622</v>
      </c>
      <c r="B757" s="6" t="s">
        <v>853</v>
      </c>
      <c r="F757" s="6" t="s">
        <v>9</v>
      </c>
      <c r="G757" s="6" t="s">
        <v>34</v>
      </c>
      <c r="H757" s="9" t="s">
        <v>35</v>
      </c>
      <c r="I757" s="7" t="str">
        <f t="shared" si="44"/>
        <v>61001002000</v>
      </c>
      <c r="J757" s="7" t="str">
        <f t="shared" si="45"/>
        <v>Материал по ЕГРН</v>
      </c>
      <c r="K757" s="7">
        <f>VLOOKUP(J757,Лист2!A$2:B$4,2,FALSE)</f>
        <v>792</v>
      </c>
      <c r="L757" s="7" t="str">
        <f t="shared" si="46"/>
        <v>ГОТОВ_ИЗМЕНЕН</v>
      </c>
      <c r="M757" s="7">
        <f t="shared" si="47"/>
        <v>0</v>
      </c>
    </row>
    <row r="758" spans="1:13" x14ac:dyDescent="0.25">
      <c r="A758" s="1">
        <v>943634</v>
      </c>
      <c r="B758" s="6" t="s">
        <v>854</v>
      </c>
      <c r="F758" s="6" t="s">
        <v>9</v>
      </c>
      <c r="G758" s="6" t="s">
        <v>90</v>
      </c>
      <c r="H758" s="9" t="s">
        <v>12</v>
      </c>
      <c r="I758" s="7" t="str">
        <f t="shared" si="44"/>
        <v>61001008000</v>
      </c>
      <c r="J758" s="7" t="str">
        <f t="shared" si="45"/>
        <v>Материал по ЕГРН</v>
      </c>
      <c r="K758" s="7">
        <f>VLOOKUP(J758,Лист2!A$2:B$4,2,FALSE)</f>
        <v>792</v>
      </c>
      <c r="L758" s="7" t="str">
        <f t="shared" si="46"/>
        <v>ГОТОВ_ИЗМЕНЕН</v>
      </c>
      <c r="M758" s="7">
        <f t="shared" si="47"/>
        <v>0</v>
      </c>
    </row>
    <row r="759" spans="1:13" x14ac:dyDescent="0.25">
      <c r="A759" s="1">
        <v>943646</v>
      </c>
      <c r="B759" s="6" t="s">
        <v>855</v>
      </c>
      <c r="F759" s="6" t="s">
        <v>9</v>
      </c>
      <c r="G759" s="6" t="s">
        <v>59</v>
      </c>
      <c r="H759" s="9" t="s">
        <v>60</v>
      </c>
      <c r="I759" s="7" t="str">
        <f t="shared" si="44"/>
        <v>61001001001</v>
      </c>
      <c r="J759" s="7" t="str">
        <f t="shared" si="45"/>
        <v>Материал по ЕГРН</v>
      </c>
      <c r="K759" s="7">
        <f>VLOOKUP(J759,Лист2!A$2:B$4,2,FALSE)</f>
        <v>792</v>
      </c>
      <c r="L759" s="7" t="str">
        <f t="shared" si="46"/>
        <v>ГОТОВ_ИЗМЕНЕН</v>
      </c>
      <c r="M759" s="7">
        <f t="shared" si="47"/>
        <v>0</v>
      </c>
    </row>
    <row r="760" spans="1:13" x14ac:dyDescent="0.25">
      <c r="A760" s="1">
        <v>943658</v>
      </c>
      <c r="B760" s="6" t="s">
        <v>856</v>
      </c>
      <c r="F760" s="6" t="s">
        <v>9</v>
      </c>
      <c r="G760" s="6" t="s">
        <v>38</v>
      </c>
      <c r="H760" s="9" t="s">
        <v>33</v>
      </c>
      <c r="I760" s="7" t="str">
        <f t="shared" si="44"/>
        <v>61001005000</v>
      </c>
      <c r="J760" s="7" t="str">
        <f t="shared" si="45"/>
        <v>Материал по ЕГРН</v>
      </c>
      <c r="K760" s="7">
        <f>VLOOKUP(J760,Лист2!A$2:B$4,2,FALSE)</f>
        <v>792</v>
      </c>
      <c r="L760" s="7" t="str">
        <f t="shared" si="46"/>
        <v>ГОТОВ_ИЗМЕНЕН</v>
      </c>
      <c r="M760" s="7">
        <f t="shared" si="47"/>
        <v>0</v>
      </c>
    </row>
    <row r="761" spans="1:13" x14ac:dyDescent="0.25">
      <c r="A761" s="1">
        <v>943670</v>
      </c>
      <c r="B761" s="6" t="s">
        <v>857</v>
      </c>
      <c r="F761" s="6" t="s">
        <v>9</v>
      </c>
      <c r="G761" s="6" t="s">
        <v>34</v>
      </c>
      <c r="H761" s="9" t="s">
        <v>35</v>
      </c>
      <c r="I761" s="7" t="str">
        <f t="shared" si="44"/>
        <v>61001002000</v>
      </c>
      <c r="J761" s="7" t="str">
        <f t="shared" si="45"/>
        <v>Материал по ЕГРН</v>
      </c>
      <c r="K761" s="7">
        <f>VLOOKUP(J761,Лист2!A$2:B$4,2,FALSE)</f>
        <v>792</v>
      </c>
      <c r="L761" s="7" t="str">
        <f t="shared" si="46"/>
        <v>ГОТОВ_ИЗМЕНЕН</v>
      </c>
      <c r="M761" s="7">
        <f t="shared" si="47"/>
        <v>0</v>
      </c>
    </row>
    <row r="762" spans="1:13" x14ac:dyDescent="0.25">
      <c r="A762" s="1">
        <v>943682</v>
      </c>
      <c r="B762" s="6" t="s">
        <v>858</v>
      </c>
      <c r="F762" s="6" t="s">
        <v>9</v>
      </c>
      <c r="G762" s="6" t="s">
        <v>10</v>
      </c>
      <c r="H762" s="9" t="s">
        <v>11</v>
      </c>
      <c r="I762" s="7" t="str">
        <f t="shared" si="44"/>
        <v>61001003000</v>
      </c>
      <c r="J762" s="7" t="str">
        <f t="shared" si="45"/>
        <v>Материал по ЕГРН</v>
      </c>
      <c r="K762" s="7">
        <f>VLOOKUP(J762,Лист2!A$2:B$4,2,FALSE)</f>
        <v>792</v>
      </c>
      <c r="L762" s="7" t="str">
        <f t="shared" si="46"/>
        <v>ГОТОВ_ИЗМЕНЕН</v>
      </c>
      <c r="M762" s="7">
        <f t="shared" si="47"/>
        <v>0</v>
      </c>
    </row>
    <row r="763" spans="1:13" x14ac:dyDescent="0.25">
      <c r="A763" s="1">
        <v>943694</v>
      </c>
      <c r="B763" s="6" t="s">
        <v>859</v>
      </c>
      <c r="F763" s="6" t="s">
        <v>9</v>
      </c>
      <c r="G763" s="6" t="s">
        <v>38</v>
      </c>
      <c r="H763" s="9" t="s">
        <v>33</v>
      </c>
      <c r="I763" s="7" t="str">
        <f t="shared" si="44"/>
        <v>61001005000</v>
      </c>
      <c r="J763" s="7" t="str">
        <f t="shared" si="45"/>
        <v>Материал по ЕГРН</v>
      </c>
      <c r="K763" s="7">
        <f>VLOOKUP(J763,Лист2!A$2:B$4,2,FALSE)</f>
        <v>792</v>
      </c>
      <c r="L763" s="7" t="str">
        <f t="shared" si="46"/>
        <v>ГОТОВ_ИЗМЕНЕН</v>
      </c>
      <c r="M763" s="7">
        <f t="shared" si="47"/>
        <v>0</v>
      </c>
    </row>
    <row r="764" spans="1:13" x14ac:dyDescent="0.25">
      <c r="A764" s="1">
        <v>943706</v>
      </c>
      <c r="B764" s="6" t="s">
        <v>860</v>
      </c>
      <c r="F764" s="6" t="s">
        <v>9</v>
      </c>
      <c r="G764" s="6" t="s">
        <v>38</v>
      </c>
      <c r="H764" s="9" t="s">
        <v>33</v>
      </c>
      <c r="I764" s="7" t="str">
        <f t="shared" si="44"/>
        <v>61001005000</v>
      </c>
      <c r="J764" s="7" t="str">
        <f t="shared" si="45"/>
        <v>Материал по ЕГРН</v>
      </c>
      <c r="K764" s="7">
        <f>VLOOKUP(J764,Лист2!A$2:B$4,2,FALSE)</f>
        <v>792</v>
      </c>
      <c r="L764" s="7" t="str">
        <f t="shared" si="46"/>
        <v>ГОТОВ_ИЗМЕНЕН</v>
      </c>
      <c r="M764" s="7">
        <f t="shared" si="47"/>
        <v>0</v>
      </c>
    </row>
    <row r="765" spans="1:13" x14ac:dyDescent="0.25">
      <c r="A765" s="1">
        <v>943718</v>
      </c>
      <c r="B765" s="6" t="s">
        <v>861</v>
      </c>
      <c r="F765" s="6" t="s">
        <v>9</v>
      </c>
      <c r="G765" s="6" t="s">
        <v>38</v>
      </c>
      <c r="H765" s="9" t="s">
        <v>33</v>
      </c>
      <c r="I765" s="7" t="str">
        <f t="shared" si="44"/>
        <v>61001005000</v>
      </c>
      <c r="J765" s="7" t="str">
        <f t="shared" si="45"/>
        <v>Материал по ЕГРН</v>
      </c>
      <c r="K765" s="7">
        <f>VLOOKUP(J765,Лист2!A$2:B$4,2,FALSE)</f>
        <v>792</v>
      </c>
      <c r="L765" s="7" t="str">
        <f t="shared" si="46"/>
        <v>ГОТОВ_ИЗМЕНЕН</v>
      </c>
      <c r="M765" s="7">
        <f t="shared" si="47"/>
        <v>0</v>
      </c>
    </row>
    <row r="766" spans="1:13" x14ac:dyDescent="0.25">
      <c r="A766" s="1">
        <v>943730</v>
      </c>
      <c r="B766" s="6" t="s">
        <v>862</v>
      </c>
      <c r="F766" s="6" t="s">
        <v>9</v>
      </c>
      <c r="G766" s="6" t="s">
        <v>38</v>
      </c>
      <c r="H766" s="9" t="s">
        <v>33</v>
      </c>
      <c r="I766" s="7" t="str">
        <f t="shared" si="44"/>
        <v>61001005000</v>
      </c>
      <c r="J766" s="7" t="str">
        <f t="shared" si="45"/>
        <v>Материал по ЕГРН</v>
      </c>
      <c r="K766" s="7">
        <f>VLOOKUP(J766,Лист2!A$2:B$4,2,FALSE)</f>
        <v>792</v>
      </c>
      <c r="L766" s="7" t="str">
        <f t="shared" si="46"/>
        <v>ГОТОВ_ИЗМЕНЕН</v>
      </c>
      <c r="M766" s="7">
        <f t="shared" si="47"/>
        <v>0</v>
      </c>
    </row>
    <row r="767" spans="1:13" x14ac:dyDescent="0.25">
      <c r="A767" s="1">
        <v>943742</v>
      </c>
      <c r="B767" s="6" t="s">
        <v>863</v>
      </c>
      <c r="F767" s="6" t="s">
        <v>9</v>
      </c>
      <c r="G767" s="6" t="s">
        <v>62</v>
      </c>
      <c r="H767" s="9" t="s">
        <v>63</v>
      </c>
      <c r="I767" s="7" t="str">
        <f t="shared" si="44"/>
        <v>61001006002</v>
      </c>
      <c r="J767" s="7" t="str">
        <f t="shared" si="45"/>
        <v>Материал по ЕГРН</v>
      </c>
      <c r="K767" s="7">
        <f>VLOOKUP(J767,Лист2!A$2:B$4,2,FALSE)</f>
        <v>792</v>
      </c>
      <c r="L767" s="7" t="str">
        <f t="shared" si="46"/>
        <v>ГОТОВ_ИЗМЕНЕН</v>
      </c>
      <c r="M767" s="7">
        <f t="shared" si="47"/>
        <v>0</v>
      </c>
    </row>
    <row r="768" spans="1:13" x14ac:dyDescent="0.25">
      <c r="A768" s="1">
        <v>943754</v>
      </c>
      <c r="B768" s="6" t="s">
        <v>864</v>
      </c>
      <c r="F768" s="6" t="s">
        <v>9</v>
      </c>
      <c r="G768" s="6" t="s">
        <v>38</v>
      </c>
      <c r="H768" s="9" t="s">
        <v>33</v>
      </c>
      <c r="I768" s="7" t="str">
        <f t="shared" si="44"/>
        <v>61001005000</v>
      </c>
      <c r="J768" s="7" t="str">
        <f t="shared" si="45"/>
        <v>Материал по ЕГРН</v>
      </c>
      <c r="K768" s="7">
        <f>VLOOKUP(J768,Лист2!A$2:B$4,2,FALSE)</f>
        <v>792</v>
      </c>
      <c r="L768" s="7" t="str">
        <f t="shared" si="46"/>
        <v>ГОТОВ_ИЗМЕНЕН</v>
      </c>
      <c r="M768" s="7">
        <f t="shared" si="47"/>
        <v>0</v>
      </c>
    </row>
    <row r="769" spans="1:13" x14ac:dyDescent="0.25">
      <c r="A769" s="1">
        <v>943766</v>
      </c>
      <c r="B769" s="6" t="s">
        <v>865</v>
      </c>
      <c r="F769" s="6" t="s">
        <v>9</v>
      </c>
      <c r="G769" s="6" t="s">
        <v>59</v>
      </c>
      <c r="H769" s="9" t="s">
        <v>60</v>
      </c>
      <c r="I769" s="7" t="str">
        <f t="shared" si="44"/>
        <v>61001001001</v>
      </c>
      <c r="J769" s="7" t="str">
        <f t="shared" si="45"/>
        <v>Материал по ЕГРН</v>
      </c>
      <c r="K769" s="7">
        <f>VLOOKUP(J769,Лист2!A$2:B$4,2,FALSE)</f>
        <v>792</v>
      </c>
      <c r="L769" s="7" t="str">
        <f t="shared" si="46"/>
        <v>ГОТОВ_ИЗМЕНЕН</v>
      </c>
      <c r="M769" s="7">
        <f t="shared" si="47"/>
        <v>0</v>
      </c>
    </row>
    <row r="770" spans="1:13" x14ac:dyDescent="0.25">
      <c r="A770" s="1">
        <v>943778</v>
      </c>
      <c r="B770" s="6" t="s">
        <v>866</v>
      </c>
      <c r="F770" s="6" t="s">
        <v>9</v>
      </c>
      <c r="G770" s="6" t="s">
        <v>170</v>
      </c>
      <c r="H770" s="9" t="s">
        <v>171</v>
      </c>
      <c r="I770" s="7" t="str">
        <f t="shared" si="44"/>
        <v>61001001000</v>
      </c>
      <c r="J770" s="7" t="str">
        <f t="shared" si="45"/>
        <v>Материал по ЕГРН</v>
      </c>
      <c r="K770" s="7">
        <f>VLOOKUP(J770,Лист2!A$2:B$4,2,FALSE)</f>
        <v>792</v>
      </c>
      <c r="L770" s="7" t="str">
        <f t="shared" si="46"/>
        <v>ГОТОВ_ИЗМЕНЕН</v>
      </c>
      <c r="M770" s="7">
        <f t="shared" si="47"/>
        <v>0</v>
      </c>
    </row>
    <row r="771" spans="1:13" x14ac:dyDescent="0.25">
      <c r="A771" s="1">
        <v>943790</v>
      </c>
      <c r="B771" s="6" t="s">
        <v>867</v>
      </c>
      <c r="F771" s="6" t="s">
        <v>9</v>
      </c>
      <c r="G771" s="6" t="s">
        <v>62</v>
      </c>
      <c r="H771" s="9" t="s">
        <v>63</v>
      </c>
      <c r="I771" s="7" t="str">
        <f t="shared" si="44"/>
        <v>61001006002</v>
      </c>
      <c r="J771" s="7" t="str">
        <f t="shared" si="45"/>
        <v>Материал по ЕГРН</v>
      </c>
      <c r="K771" s="7">
        <f>VLOOKUP(J771,Лист2!A$2:B$4,2,FALSE)</f>
        <v>792</v>
      </c>
      <c r="L771" s="7" t="str">
        <f t="shared" si="46"/>
        <v>ГОТОВ_ИЗМЕНЕН</v>
      </c>
      <c r="M771" s="7">
        <f t="shared" si="47"/>
        <v>0</v>
      </c>
    </row>
    <row r="772" spans="1:13" x14ac:dyDescent="0.25">
      <c r="A772" s="1">
        <v>943802</v>
      </c>
      <c r="B772" s="6" t="s">
        <v>868</v>
      </c>
      <c r="F772" s="6" t="s">
        <v>9</v>
      </c>
      <c r="G772" s="6" t="s">
        <v>59</v>
      </c>
      <c r="H772" s="9" t="s">
        <v>60</v>
      </c>
      <c r="I772" s="7" t="str">
        <f t="shared" si="44"/>
        <v>61001001001</v>
      </c>
      <c r="J772" s="7" t="str">
        <f t="shared" si="45"/>
        <v>Материал по ЕГРН</v>
      </c>
      <c r="K772" s="7">
        <f>VLOOKUP(J772,Лист2!A$2:B$4,2,FALSE)</f>
        <v>792</v>
      </c>
      <c r="L772" s="7" t="str">
        <f t="shared" si="46"/>
        <v>ГОТОВ_ИЗМЕНЕН</v>
      </c>
      <c r="M772" s="7">
        <f t="shared" si="47"/>
        <v>0</v>
      </c>
    </row>
    <row r="773" spans="1:13" x14ac:dyDescent="0.25">
      <c r="A773" s="1">
        <v>943814</v>
      </c>
      <c r="B773" s="6" t="s">
        <v>869</v>
      </c>
      <c r="F773" s="6" t="s">
        <v>9</v>
      </c>
      <c r="G773" s="6" t="s">
        <v>38</v>
      </c>
      <c r="H773" s="9" t="s">
        <v>33</v>
      </c>
      <c r="I773" s="7" t="str">
        <f t="shared" ref="I773:I836" si="48">IF(LEN(H773)=11,H773,IF(LEN(H773)=0,"61001005000","61001003000"))</f>
        <v>61001005000</v>
      </c>
      <c r="J773" s="7" t="str">
        <f t="shared" ref="J773:J836" si="49">IF(LEN(H773)=11,"Материал по ЕГРН",IF(LEN(H773)=0,"Прочие по допущению","Смешанные по допущению"))</f>
        <v>Материал по ЕГРН</v>
      </c>
      <c r="K773" s="7">
        <f>VLOOKUP(J773,Лист2!A$2:B$4,2,FALSE)</f>
        <v>792</v>
      </c>
      <c r="L773" s="7" t="str">
        <f t="shared" ref="L773:L836" si="50">IF(I773=C773,"ГОТОВ","ГОТОВ_ИЗМЕНЕН")</f>
        <v>ГОТОВ_ИЗМЕНЕН</v>
      </c>
      <c r="M773" s="7">
        <f t="shared" ref="M773:M836" si="51">C773</f>
        <v>0</v>
      </c>
    </row>
    <row r="774" spans="1:13" x14ac:dyDescent="0.25">
      <c r="A774" s="1">
        <v>943826</v>
      </c>
      <c r="B774" s="6" t="s">
        <v>870</v>
      </c>
      <c r="F774" s="6" t="s">
        <v>9</v>
      </c>
      <c r="G774" s="6" t="s">
        <v>38</v>
      </c>
      <c r="H774" s="9" t="s">
        <v>33</v>
      </c>
      <c r="I774" s="7" t="str">
        <f t="shared" si="48"/>
        <v>61001005000</v>
      </c>
      <c r="J774" s="7" t="str">
        <f t="shared" si="49"/>
        <v>Материал по ЕГРН</v>
      </c>
      <c r="K774" s="7">
        <f>VLOOKUP(J774,Лист2!A$2:B$4,2,FALSE)</f>
        <v>792</v>
      </c>
      <c r="L774" s="7" t="str">
        <f t="shared" si="50"/>
        <v>ГОТОВ_ИЗМЕНЕН</v>
      </c>
      <c r="M774" s="7">
        <f t="shared" si="51"/>
        <v>0</v>
      </c>
    </row>
    <row r="775" spans="1:13" x14ac:dyDescent="0.25">
      <c r="A775" s="1">
        <v>943838</v>
      </c>
      <c r="B775" s="6" t="s">
        <v>871</v>
      </c>
      <c r="F775" s="6" t="s">
        <v>9</v>
      </c>
      <c r="G775" s="6" t="s">
        <v>125</v>
      </c>
      <c r="H775" s="9" t="s">
        <v>126</v>
      </c>
      <c r="I775" s="7" t="str">
        <f t="shared" si="48"/>
        <v>61001007004</v>
      </c>
      <c r="J775" s="7" t="str">
        <f t="shared" si="49"/>
        <v>Материал по ЕГРН</v>
      </c>
      <c r="K775" s="7">
        <f>VLOOKUP(J775,Лист2!A$2:B$4,2,FALSE)</f>
        <v>792</v>
      </c>
      <c r="L775" s="7" t="str">
        <f t="shared" si="50"/>
        <v>ГОТОВ_ИЗМЕНЕН</v>
      </c>
      <c r="M775" s="7">
        <f t="shared" si="51"/>
        <v>0</v>
      </c>
    </row>
    <row r="776" spans="1:13" x14ac:dyDescent="0.25">
      <c r="A776" s="1">
        <v>943850</v>
      </c>
      <c r="B776" s="6" t="s">
        <v>872</v>
      </c>
      <c r="F776" s="6" t="s">
        <v>9</v>
      </c>
      <c r="G776" s="6" t="s">
        <v>59</v>
      </c>
      <c r="H776" s="9" t="s">
        <v>60</v>
      </c>
      <c r="I776" s="7" t="str">
        <f t="shared" si="48"/>
        <v>61001001001</v>
      </c>
      <c r="J776" s="7" t="str">
        <f t="shared" si="49"/>
        <v>Материал по ЕГРН</v>
      </c>
      <c r="K776" s="7">
        <f>VLOOKUP(J776,Лист2!A$2:B$4,2,FALSE)</f>
        <v>792</v>
      </c>
      <c r="L776" s="7" t="str">
        <f t="shared" si="50"/>
        <v>ГОТОВ_ИЗМЕНЕН</v>
      </c>
      <c r="M776" s="7">
        <f t="shared" si="51"/>
        <v>0</v>
      </c>
    </row>
    <row r="777" spans="1:13" x14ac:dyDescent="0.25">
      <c r="A777" s="1">
        <v>943862</v>
      </c>
      <c r="B777" s="6" t="s">
        <v>873</v>
      </c>
      <c r="F777" s="6" t="s">
        <v>9</v>
      </c>
      <c r="G777" s="6" t="s">
        <v>180</v>
      </c>
      <c r="H777" s="9" t="s">
        <v>181</v>
      </c>
      <c r="I777" s="7" t="str">
        <f t="shared" si="48"/>
        <v>61001009000</v>
      </c>
      <c r="J777" s="7" t="str">
        <f t="shared" si="49"/>
        <v>Материал по ЕГРН</v>
      </c>
      <c r="K777" s="7">
        <f>VLOOKUP(J777,Лист2!A$2:B$4,2,FALSE)</f>
        <v>792</v>
      </c>
      <c r="L777" s="7" t="str">
        <f t="shared" si="50"/>
        <v>ГОТОВ_ИЗМЕНЕН</v>
      </c>
      <c r="M777" s="7">
        <f t="shared" si="51"/>
        <v>0</v>
      </c>
    </row>
    <row r="778" spans="1:13" x14ac:dyDescent="0.25">
      <c r="A778" s="1">
        <v>943874</v>
      </c>
      <c r="B778" s="6" t="s">
        <v>874</v>
      </c>
      <c r="F778" s="6" t="s">
        <v>9</v>
      </c>
      <c r="G778" s="6" t="s">
        <v>10</v>
      </c>
      <c r="H778" s="9" t="s">
        <v>11</v>
      </c>
      <c r="I778" s="7" t="str">
        <f t="shared" si="48"/>
        <v>61001003000</v>
      </c>
      <c r="J778" s="7" t="str">
        <f t="shared" si="49"/>
        <v>Материал по ЕГРН</v>
      </c>
      <c r="K778" s="7">
        <f>VLOOKUP(J778,Лист2!A$2:B$4,2,FALSE)</f>
        <v>792</v>
      </c>
      <c r="L778" s="7" t="str">
        <f t="shared" si="50"/>
        <v>ГОТОВ_ИЗМЕНЕН</v>
      </c>
      <c r="M778" s="7">
        <f t="shared" si="51"/>
        <v>0</v>
      </c>
    </row>
    <row r="779" spans="1:13" x14ac:dyDescent="0.25">
      <c r="A779" s="1">
        <v>943886</v>
      </c>
      <c r="B779" s="6" t="s">
        <v>875</v>
      </c>
      <c r="F779" s="6" t="s">
        <v>9</v>
      </c>
      <c r="G779" s="6" t="s">
        <v>62</v>
      </c>
      <c r="H779" s="9" t="s">
        <v>63</v>
      </c>
      <c r="I779" s="7" t="str">
        <f t="shared" si="48"/>
        <v>61001006002</v>
      </c>
      <c r="J779" s="7" t="str">
        <f t="shared" si="49"/>
        <v>Материал по ЕГРН</v>
      </c>
      <c r="K779" s="7">
        <f>VLOOKUP(J779,Лист2!A$2:B$4,2,FALSE)</f>
        <v>792</v>
      </c>
      <c r="L779" s="7" t="str">
        <f t="shared" si="50"/>
        <v>ГОТОВ_ИЗМЕНЕН</v>
      </c>
      <c r="M779" s="7">
        <f t="shared" si="51"/>
        <v>0</v>
      </c>
    </row>
    <row r="780" spans="1:13" x14ac:dyDescent="0.25">
      <c r="A780" s="1">
        <v>943898</v>
      </c>
      <c r="B780" s="6" t="s">
        <v>876</v>
      </c>
      <c r="F780" s="6" t="s">
        <v>9</v>
      </c>
      <c r="G780" s="6" t="s">
        <v>73</v>
      </c>
      <c r="H780" s="9" t="s">
        <v>74</v>
      </c>
      <c r="I780" s="7" t="str">
        <f t="shared" si="48"/>
        <v>61001006000</v>
      </c>
      <c r="J780" s="7" t="str">
        <f t="shared" si="49"/>
        <v>Материал по ЕГРН</v>
      </c>
      <c r="K780" s="7">
        <f>VLOOKUP(J780,Лист2!A$2:B$4,2,FALSE)</f>
        <v>792</v>
      </c>
      <c r="L780" s="7" t="str">
        <f t="shared" si="50"/>
        <v>ГОТОВ_ИЗМЕНЕН</v>
      </c>
      <c r="M780" s="7">
        <f t="shared" si="51"/>
        <v>0</v>
      </c>
    </row>
    <row r="781" spans="1:13" x14ac:dyDescent="0.25">
      <c r="A781" s="1">
        <v>943910</v>
      </c>
      <c r="B781" s="6" t="s">
        <v>877</v>
      </c>
      <c r="F781" s="6" t="s">
        <v>9</v>
      </c>
      <c r="G781" s="6" t="s">
        <v>90</v>
      </c>
      <c r="H781" s="9" t="s">
        <v>12</v>
      </c>
      <c r="I781" s="7" t="str">
        <f t="shared" si="48"/>
        <v>61001008000</v>
      </c>
      <c r="J781" s="7" t="str">
        <f t="shared" si="49"/>
        <v>Материал по ЕГРН</v>
      </c>
      <c r="K781" s="7">
        <f>VLOOKUP(J781,Лист2!A$2:B$4,2,FALSE)</f>
        <v>792</v>
      </c>
      <c r="L781" s="7" t="str">
        <f t="shared" si="50"/>
        <v>ГОТОВ_ИЗМЕНЕН</v>
      </c>
      <c r="M781" s="7">
        <f t="shared" si="51"/>
        <v>0</v>
      </c>
    </row>
    <row r="782" spans="1:13" x14ac:dyDescent="0.25">
      <c r="A782" s="1">
        <v>943922</v>
      </c>
      <c r="B782" s="6" t="s">
        <v>878</v>
      </c>
      <c r="F782" s="6" t="s">
        <v>9</v>
      </c>
      <c r="G782" s="6" t="s">
        <v>59</v>
      </c>
      <c r="H782" s="9" t="s">
        <v>60</v>
      </c>
      <c r="I782" s="7" t="str">
        <f t="shared" si="48"/>
        <v>61001001001</v>
      </c>
      <c r="J782" s="7" t="str">
        <f t="shared" si="49"/>
        <v>Материал по ЕГРН</v>
      </c>
      <c r="K782" s="7">
        <f>VLOOKUP(J782,Лист2!A$2:B$4,2,FALSE)</f>
        <v>792</v>
      </c>
      <c r="L782" s="7" t="str">
        <f t="shared" si="50"/>
        <v>ГОТОВ_ИЗМЕНЕН</v>
      </c>
      <c r="M782" s="7">
        <f t="shared" si="51"/>
        <v>0</v>
      </c>
    </row>
    <row r="783" spans="1:13" x14ac:dyDescent="0.25">
      <c r="A783" s="1">
        <v>943934</v>
      </c>
      <c r="B783" s="6" t="s">
        <v>879</v>
      </c>
      <c r="F783" s="6" t="s">
        <v>9</v>
      </c>
      <c r="G783" s="6" t="s">
        <v>43</v>
      </c>
      <c r="H783" s="9" t="s">
        <v>42</v>
      </c>
      <c r="I783" s="7" t="str">
        <f t="shared" si="48"/>
        <v>61001002001</v>
      </c>
      <c r="J783" s="7" t="str">
        <f t="shared" si="49"/>
        <v>Материал по ЕГРН</v>
      </c>
      <c r="K783" s="7">
        <f>VLOOKUP(J783,Лист2!A$2:B$4,2,FALSE)</f>
        <v>792</v>
      </c>
      <c r="L783" s="7" t="str">
        <f t="shared" si="50"/>
        <v>ГОТОВ_ИЗМЕНЕН</v>
      </c>
      <c r="M783" s="7">
        <f t="shared" si="51"/>
        <v>0</v>
      </c>
    </row>
    <row r="784" spans="1:13" x14ac:dyDescent="0.25">
      <c r="A784" s="1">
        <v>943946</v>
      </c>
      <c r="B784" s="6" t="s">
        <v>880</v>
      </c>
      <c r="F784" s="6" t="s">
        <v>9</v>
      </c>
      <c r="G784" s="6" t="s">
        <v>59</v>
      </c>
      <c r="H784" s="9" t="s">
        <v>60</v>
      </c>
      <c r="I784" s="7" t="str">
        <f t="shared" si="48"/>
        <v>61001001001</v>
      </c>
      <c r="J784" s="7" t="str">
        <f t="shared" si="49"/>
        <v>Материал по ЕГРН</v>
      </c>
      <c r="K784" s="7">
        <f>VLOOKUP(J784,Лист2!A$2:B$4,2,FALSE)</f>
        <v>792</v>
      </c>
      <c r="L784" s="7" t="str">
        <f t="shared" si="50"/>
        <v>ГОТОВ_ИЗМЕНЕН</v>
      </c>
      <c r="M784" s="7">
        <f t="shared" si="51"/>
        <v>0</v>
      </c>
    </row>
    <row r="785" spans="1:13" x14ac:dyDescent="0.25">
      <c r="A785" s="1">
        <v>201327</v>
      </c>
      <c r="B785" s="6" t="s">
        <v>881</v>
      </c>
      <c r="C785" s="9" t="s">
        <v>33</v>
      </c>
      <c r="D785" s="6" t="s">
        <v>20</v>
      </c>
      <c r="E785" s="6" t="s">
        <v>37</v>
      </c>
      <c r="F785" s="6" t="s">
        <v>9</v>
      </c>
      <c r="G785" s="6" t="s">
        <v>38</v>
      </c>
      <c r="H785" s="9" t="s">
        <v>33</v>
      </c>
      <c r="I785" s="7" t="str">
        <f t="shared" si="48"/>
        <v>61001005000</v>
      </c>
      <c r="J785" s="7" t="str">
        <f t="shared" si="49"/>
        <v>Материал по ЕГРН</v>
      </c>
      <c r="K785" s="7">
        <f>VLOOKUP(J785,Лист2!A$2:B$4,2,FALSE)</f>
        <v>792</v>
      </c>
      <c r="L785" s="7" t="str">
        <f t="shared" si="50"/>
        <v>ГОТОВ</v>
      </c>
      <c r="M785" s="7" t="str">
        <f t="shared" si="51"/>
        <v>61001005000</v>
      </c>
    </row>
    <row r="786" spans="1:13" x14ac:dyDescent="0.25">
      <c r="A786" s="1">
        <v>522739</v>
      </c>
      <c r="B786" s="6" t="s">
        <v>882</v>
      </c>
      <c r="C786" s="9" t="s">
        <v>42</v>
      </c>
      <c r="D786" s="6" t="s">
        <v>20</v>
      </c>
      <c r="E786" s="6" t="s">
        <v>37</v>
      </c>
      <c r="F786" s="6" t="s">
        <v>9</v>
      </c>
      <c r="G786" s="6" t="s">
        <v>43</v>
      </c>
      <c r="H786" s="9" t="s">
        <v>42</v>
      </c>
      <c r="I786" s="7" t="str">
        <f t="shared" si="48"/>
        <v>61001002001</v>
      </c>
      <c r="J786" s="7" t="str">
        <f t="shared" si="49"/>
        <v>Материал по ЕГРН</v>
      </c>
      <c r="K786" s="7">
        <f>VLOOKUP(J786,Лист2!A$2:B$4,2,FALSE)</f>
        <v>792</v>
      </c>
      <c r="L786" s="7" t="str">
        <f t="shared" si="50"/>
        <v>ГОТОВ</v>
      </c>
      <c r="M786" s="7" t="str">
        <f t="shared" si="51"/>
        <v>61001002001</v>
      </c>
    </row>
    <row r="787" spans="1:13" x14ac:dyDescent="0.25">
      <c r="A787" s="1">
        <v>532634</v>
      </c>
      <c r="B787" s="6" t="s">
        <v>883</v>
      </c>
      <c r="C787" s="9" t="s">
        <v>33</v>
      </c>
      <c r="D787" s="6" t="s">
        <v>20</v>
      </c>
      <c r="E787" s="6" t="s">
        <v>37</v>
      </c>
      <c r="F787" s="6" t="s">
        <v>9</v>
      </c>
      <c r="G787" s="6" t="s">
        <v>38</v>
      </c>
      <c r="H787" s="9" t="s">
        <v>33</v>
      </c>
      <c r="I787" s="7" t="str">
        <f t="shared" si="48"/>
        <v>61001005000</v>
      </c>
      <c r="J787" s="7" t="str">
        <f t="shared" si="49"/>
        <v>Материал по ЕГРН</v>
      </c>
      <c r="K787" s="7">
        <f>VLOOKUP(J787,Лист2!A$2:B$4,2,FALSE)</f>
        <v>792</v>
      </c>
      <c r="L787" s="7" t="str">
        <f t="shared" si="50"/>
        <v>ГОТОВ</v>
      </c>
      <c r="M787" s="7" t="str">
        <f t="shared" si="51"/>
        <v>61001005000</v>
      </c>
    </row>
    <row r="788" spans="1:13" x14ac:dyDescent="0.25">
      <c r="A788" s="1">
        <v>771141</v>
      </c>
      <c r="B788" s="6" t="s">
        <v>884</v>
      </c>
      <c r="C788" s="9" t="s">
        <v>42</v>
      </c>
      <c r="D788" s="6" t="s">
        <v>20</v>
      </c>
      <c r="E788" s="6" t="s">
        <v>37</v>
      </c>
      <c r="F788" s="6" t="s">
        <v>9</v>
      </c>
      <c r="G788" s="6" t="s">
        <v>43</v>
      </c>
      <c r="H788" s="9" t="s">
        <v>42</v>
      </c>
      <c r="I788" s="7" t="str">
        <f t="shared" si="48"/>
        <v>61001002001</v>
      </c>
      <c r="J788" s="7" t="str">
        <f t="shared" si="49"/>
        <v>Материал по ЕГРН</v>
      </c>
      <c r="K788" s="7">
        <f>VLOOKUP(J788,Лист2!A$2:B$4,2,FALSE)</f>
        <v>792</v>
      </c>
      <c r="L788" s="7" t="str">
        <f t="shared" si="50"/>
        <v>ГОТОВ</v>
      </c>
      <c r="M788" s="7" t="str">
        <f t="shared" si="51"/>
        <v>61001002001</v>
      </c>
    </row>
    <row r="789" spans="1:13" x14ac:dyDescent="0.25">
      <c r="A789" s="1">
        <v>943958</v>
      </c>
      <c r="B789" s="6" t="s">
        <v>885</v>
      </c>
      <c r="F789" s="6" t="s">
        <v>9</v>
      </c>
      <c r="G789" s="6" t="s">
        <v>149</v>
      </c>
      <c r="H789" s="9" t="s">
        <v>150</v>
      </c>
      <c r="I789" s="7" t="str">
        <f t="shared" si="48"/>
        <v>61001007000</v>
      </c>
      <c r="J789" s="7" t="str">
        <f t="shared" si="49"/>
        <v>Материал по ЕГРН</v>
      </c>
      <c r="K789" s="7">
        <f>VLOOKUP(J789,Лист2!A$2:B$4,2,FALSE)</f>
        <v>792</v>
      </c>
      <c r="L789" s="7" t="str">
        <f t="shared" si="50"/>
        <v>ГОТОВ_ИЗМЕНЕН</v>
      </c>
      <c r="M789" s="7">
        <f t="shared" si="51"/>
        <v>0</v>
      </c>
    </row>
    <row r="790" spans="1:13" x14ac:dyDescent="0.25">
      <c r="A790" s="1">
        <v>943970</v>
      </c>
      <c r="B790" s="6" t="s">
        <v>886</v>
      </c>
      <c r="F790" s="6" t="s">
        <v>9</v>
      </c>
      <c r="G790" s="6" t="s">
        <v>34</v>
      </c>
      <c r="H790" s="9" t="s">
        <v>35</v>
      </c>
      <c r="I790" s="7" t="str">
        <f t="shared" si="48"/>
        <v>61001002000</v>
      </c>
      <c r="J790" s="7" t="str">
        <f t="shared" si="49"/>
        <v>Материал по ЕГРН</v>
      </c>
      <c r="K790" s="7">
        <f>VLOOKUP(J790,Лист2!A$2:B$4,2,FALSE)</f>
        <v>792</v>
      </c>
      <c r="L790" s="7" t="str">
        <f t="shared" si="50"/>
        <v>ГОТОВ_ИЗМЕНЕН</v>
      </c>
      <c r="M790" s="7">
        <f t="shared" si="51"/>
        <v>0</v>
      </c>
    </row>
    <row r="791" spans="1:13" x14ac:dyDescent="0.25">
      <c r="A791" s="1">
        <v>943982</v>
      </c>
      <c r="B791" s="6" t="s">
        <v>887</v>
      </c>
      <c r="F791" s="6" t="s">
        <v>9</v>
      </c>
      <c r="G791" s="6" t="s">
        <v>38</v>
      </c>
      <c r="H791" s="9" t="s">
        <v>33</v>
      </c>
      <c r="I791" s="7" t="str">
        <f t="shared" si="48"/>
        <v>61001005000</v>
      </c>
      <c r="J791" s="7" t="str">
        <f t="shared" si="49"/>
        <v>Материал по ЕГРН</v>
      </c>
      <c r="K791" s="7">
        <f>VLOOKUP(J791,Лист2!A$2:B$4,2,FALSE)</f>
        <v>792</v>
      </c>
      <c r="L791" s="7" t="str">
        <f t="shared" si="50"/>
        <v>ГОТОВ_ИЗМЕНЕН</v>
      </c>
      <c r="M791" s="7">
        <f t="shared" si="51"/>
        <v>0</v>
      </c>
    </row>
    <row r="792" spans="1:13" x14ac:dyDescent="0.25">
      <c r="A792" s="1">
        <v>943994</v>
      </c>
      <c r="B792" s="6" t="s">
        <v>888</v>
      </c>
      <c r="F792" s="6" t="s">
        <v>9</v>
      </c>
      <c r="G792" s="6" t="s">
        <v>59</v>
      </c>
      <c r="H792" s="9" t="s">
        <v>60</v>
      </c>
      <c r="I792" s="7" t="str">
        <f t="shared" si="48"/>
        <v>61001001001</v>
      </c>
      <c r="J792" s="7" t="str">
        <f t="shared" si="49"/>
        <v>Материал по ЕГРН</v>
      </c>
      <c r="K792" s="7">
        <f>VLOOKUP(J792,Лист2!A$2:B$4,2,FALSE)</f>
        <v>792</v>
      </c>
      <c r="L792" s="7" t="str">
        <f t="shared" si="50"/>
        <v>ГОТОВ_ИЗМЕНЕН</v>
      </c>
      <c r="M792" s="7">
        <f t="shared" si="51"/>
        <v>0</v>
      </c>
    </row>
    <row r="793" spans="1:13" x14ac:dyDescent="0.25">
      <c r="A793" s="1">
        <v>944006</v>
      </c>
      <c r="B793" s="6" t="s">
        <v>889</v>
      </c>
      <c r="F793" s="6" t="s">
        <v>9</v>
      </c>
      <c r="G793" s="6" t="s">
        <v>38</v>
      </c>
      <c r="H793" s="9" t="s">
        <v>33</v>
      </c>
      <c r="I793" s="7" t="str">
        <f t="shared" si="48"/>
        <v>61001005000</v>
      </c>
      <c r="J793" s="7" t="str">
        <f t="shared" si="49"/>
        <v>Материал по ЕГРН</v>
      </c>
      <c r="K793" s="7">
        <f>VLOOKUP(J793,Лист2!A$2:B$4,2,FALSE)</f>
        <v>792</v>
      </c>
      <c r="L793" s="7" t="str">
        <f t="shared" si="50"/>
        <v>ГОТОВ_ИЗМЕНЕН</v>
      </c>
      <c r="M793" s="7">
        <f t="shared" si="51"/>
        <v>0</v>
      </c>
    </row>
    <row r="794" spans="1:13" x14ac:dyDescent="0.25">
      <c r="A794" s="1">
        <v>944018</v>
      </c>
      <c r="B794" s="6" t="s">
        <v>890</v>
      </c>
      <c r="F794" s="6" t="s">
        <v>9</v>
      </c>
      <c r="G794" s="6" t="s">
        <v>34</v>
      </c>
      <c r="H794" s="9" t="s">
        <v>35</v>
      </c>
      <c r="I794" s="7" t="str">
        <f t="shared" si="48"/>
        <v>61001002000</v>
      </c>
      <c r="J794" s="7" t="str">
        <f t="shared" si="49"/>
        <v>Материал по ЕГРН</v>
      </c>
      <c r="K794" s="7">
        <f>VLOOKUP(J794,Лист2!A$2:B$4,2,FALSE)</f>
        <v>792</v>
      </c>
      <c r="L794" s="7" t="str">
        <f t="shared" si="50"/>
        <v>ГОТОВ_ИЗМЕНЕН</v>
      </c>
      <c r="M794" s="7">
        <f t="shared" si="51"/>
        <v>0</v>
      </c>
    </row>
    <row r="795" spans="1:13" x14ac:dyDescent="0.25">
      <c r="A795" s="1">
        <v>944030</v>
      </c>
      <c r="B795" s="6" t="s">
        <v>891</v>
      </c>
      <c r="F795" s="6" t="s">
        <v>9</v>
      </c>
      <c r="G795" s="6" t="s">
        <v>90</v>
      </c>
      <c r="H795" s="9" t="s">
        <v>12</v>
      </c>
      <c r="I795" s="7" t="str">
        <f t="shared" si="48"/>
        <v>61001008000</v>
      </c>
      <c r="J795" s="7" t="str">
        <f t="shared" si="49"/>
        <v>Материал по ЕГРН</v>
      </c>
      <c r="K795" s="7">
        <f>VLOOKUP(J795,Лист2!A$2:B$4,2,FALSE)</f>
        <v>792</v>
      </c>
      <c r="L795" s="7" t="str">
        <f t="shared" si="50"/>
        <v>ГОТОВ_ИЗМЕНЕН</v>
      </c>
      <c r="M795" s="7">
        <f t="shared" si="51"/>
        <v>0</v>
      </c>
    </row>
    <row r="796" spans="1:13" x14ac:dyDescent="0.25">
      <c r="A796" s="1">
        <v>944042</v>
      </c>
      <c r="B796" s="6" t="s">
        <v>892</v>
      </c>
      <c r="F796" s="6" t="s">
        <v>9</v>
      </c>
      <c r="G796" s="6" t="s">
        <v>38</v>
      </c>
      <c r="H796" s="9" t="s">
        <v>33</v>
      </c>
      <c r="I796" s="7" t="str">
        <f t="shared" si="48"/>
        <v>61001005000</v>
      </c>
      <c r="J796" s="7" t="str">
        <f t="shared" si="49"/>
        <v>Материал по ЕГРН</v>
      </c>
      <c r="K796" s="7">
        <f>VLOOKUP(J796,Лист2!A$2:B$4,2,FALSE)</f>
        <v>792</v>
      </c>
      <c r="L796" s="7" t="str">
        <f t="shared" si="50"/>
        <v>ГОТОВ_ИЗМЕНЕН</v>
      </c>
      <c r="M796" s="7">
        <f t="shared" si="51"/>
        <v>0</v>
      </c>
    </row>
    <row r="797" spans="1:13" x14ac:dyDescent="0.25">
      <c r="A797" s="1">
        <v>944054</v>
      </c>
      <c r="B797" s="6" t="s">
        <v>893</v>
      </c>
      <c r="F797" s="6" t="s">
        <v>9</v>
      </c>
      <c r="G797" s="6" t="s">
        <v>43</v>
      </c>
      <c r="H797" s="9" t="s">
        <v>42</v>
      </c>
      <c r="I797" s="7" t="str">
        <f t="shared" si="48"/>
        <v>61001002001</v>
      </c>
      <c r="J797" s="7" t="str">
        <f t="shared" si="49"/>
        <v>Материал по ЕГРН</v>
      </c>
      <c r="K797" s="7">
        <f>VLOOKUP(J797,Лист2!A$2:B$4,2,FALSE)</f>
        <v>792</v>
      </c>
      <c r="L797" s="7" t="str">
        <f t="shared" si="50"/>
        <v>ГОТОВ_ИЗМЕНЕН</v>
      </c>
      <c r="M797" s="7">
        <f t="shared" si="51"/>
        <v>0</v>
      </c>
    </row>
    <row r="798" spans="1:13" x14ac:dyDescent="0.25">
      <c r="A798" s="1">
        <v>944066</v>
      </c>
      <c r="B798" s="6" t="s">
        <v>894</v>
      </c>
      <c r="F798" s="6" t="s">
        <v>9</v>
      </c>
      <c r="G798" s="6" t="s">
        <v>10</v>
      </c>
      <c r="H798" s="9" t="s">
        <v>11</v>
      </c>
      <c r="I798" s="7" t="str">
        <f t="shared" si="48"/>
        <v>61001003000</v>
      </c>
      <c r="J798" s="7" t="str">
        <f t="shared" si="49"/>
        <v>Материал по ЕГРН</v>
      </c>
      <c r="K798" s="7">
        <f>VLOOKUP(J798,Лист2!A$2:B$4,2,FALSE)</f>
        <v>792</v>
      </c>
      <c r="L798" s="7" t="str">
        <f t="shared" si="50"/>
        <v>ГОТОВ_ИЗМЕНЕН</v>
      </c>
      <c r="M798" s="7">
        <f t="shared" si="51"/>
        <v>0</v>
      </c>
    </row>
    <row r="799" spans="1:13" x14ac:dyDescent="0.25">
      <c r="A799" s="1">
        <v>944078</v>
      </c>
      <c r="B799" s="6" t="s">
        <v>895</v>
      </c>
      <c r="F799" s="6" t="s">
        <v>9</v>
      </c>
      <c r="G799" s="6" t="s">
        <v>10</v>
      </c>
      <c r="H799" s="9" t="s">
        <v>11</v>
      </c>
      <c r="I799" s="7" t="str">
        <f t="shared" si="48"/>
        <v>61001003000</v>
      </c>
      <c r="J799" s="7" t="str">
        <f t="shared" si="49"/>
        <v>Материал по ЕГРН</v>
      </c>
      <c r="K799" s="7">
        <f>VLOOKUP(J799,Лист2!A$2:B$4,2,FALSE)</f>
        <v>792</v>
      </c>
      <c r="L799" s="7" t="str">
        <f t="shared" si="50"/>
        <v>ГОТОВ_ИЗМЕНЕН</v>
      </c>
      <c r="M799" s="7">
        <f t="shared" si="51"/>
        <v>0</v>
      </c>
    </row>
    <row r="800" spans="1:13" x14ac:dyDescent="0.25">
      <c r="A800" s="1">
        <v>944090</v>
      </c>
      <c r="B800" s="6" t="s">
        <v>896</v>
      </c>
      <c r="F800" s="6" t="s">
        <v>9</v>
      </c>
      <c r="G800" s="6" t="s">
        <v>62</v>
      </c>
      <c r="H800" s="9" t="s">
        <v>63</v>
      </c>
      <c r="I800" s="7" t="str">
        <f t="shared" si="48"/>
        <v>61001006002</v>
      </c>
      <c r="J800" s="7" t="str">
        <f t="shared" si="49"/>
        <v>Материал по ЕГРН</v>
      </c>
      <c r="K800" s="7">
        <f>VLOOKUP(J800,Лист2!A$2:B$4,2,FALSE)</f>
        <v>792</v>
      </c>
      <c r="L800" s="7" t="str">
        <f t="shared" si="50"/>
        <v>ГОТОВ_ИЗМЕНЕН</v>
      </c>
      <c r="M800" s="7">
        <f t="shared" si="51"/>
        <v>0</v>
      </c>
    </row>
    <row r="801" spans="1:13" x14ac:dyDescent="0.25">
      <c r="A801" s="1">
        <v>944102</v>
      </c>
      <c r="B801" s="6" t="s">
        <v>897</v>
      </c>
      <c r="F801" s="6" t="s">
        <v>9</v>
      </c>
      <c r="G801" s="6" t="s">
        <v>59</v>
      </c>
      <c r="H801" s="9" t="s">
        <v>60</v>
      </c>
      <c r="I801" s="7" t="str">
        <f t="shared" si="48"/>
        <v>61001001001</v>
      </c>
      <c r="J801" s="7" t="str">
        <f t="shared" si="49"/>
        <v>Материал по ЕГРН</v>
      </c>
      <c r="K801" s="7">
        <f>VLOOKUP(J801,Лист2!A$2:B$4,2,FALSE)</f>
        <v>792</v>
      </c>
      <c r="L801" s="7" t="str">
        <f t="shared" si="50"/>
        <v>ГОТОВ_ИЗМЕНЕН</v>
      </c>
      <c r="M801" s="7">
        <f t="shared" si="51"/>
        <v>0</v>
      </c>
    </row>
    <row r="802" spans="1:13" x14ac:dyDescent="0.25">
      <c r="A802" s="1">
        <v>944114</v>
      </c>
      <c r="B802" s="6" t="s">
        <v>898</v>
      </c>
      <c r="F802" s="6" t="s">
        <v>9</v>
      </c>
      <c r="G802" s="6" t="s">
        <v>34</v>
      </c>
      <c r="H802" s="9" t="s">
        <v>35</v>
      </c>
      <c r="I802" s="7" t="str">
        <f t="shared" si="48"/>
        <v>61001002000</v>
      </c>
      <c r="J802" s="7" t="str">
        <f t="shared" si="49"/>
        <v>Материал по ЕГРН</v>
      </c>
      <c r="K802" s="7">
        <f>VLOOKUP(J802,Лист2!A$2:B$4,2,FALSE)</f>
        <v>792</v>
      </c>
      <c r="L802" s="7" t="str">
        <f t="shared" si="50"/>
        <v>ГОТОВ_ИЗМЕНЕН</v>
      </c>
      <c r="M802" s="7">
        <f t="shared" si="51"/>
        <v>0</v>
      </c>
    </row>
    <row r="803" spans="1:13" x14ac:dyDescent="0.25">
      <c r="A803" s="1">
        <v>944126</v>
      </c>
      <c r="B803" s="6" t="s">
        <v>899</v>
      </c>
      <c r="F803" s="6" t="s">
        <v>9</v>
      </c>
      <c r="G803" s="6" t="s">
        <v>62</v>
      </c>
      <c r="H803" s="9" t="s">
        <v>63</v>
      </c>
      <c r="I803" s="7" t="str">
        <f t="shared" si="48"/>
        <v>61001006002</v>
      </c>
      <c r="J803" s="7" t="str">
        <f t="shared" si="49"/>
        <v>Материал по ЕГРН</v>
      </c>
      <c r="K803" s="7">
        <f>VLOOKUP(J803,Лист2!A$2:B$4,2,FALSE)</f>
        <v>792</v>
      </c>
      <c r="L803" s="7" t="str">
        <f t="shared" si="50"/>
        <v>ГОТОВ_ИЗМЕНЕН</v>
      </c>
      <c r="M803" s="7">
        <f t="shared" si="51"/>
        <v>0</v>
      </c>
    </row>
    <row r="804" spans="1:13" x14ac:dyDescent="0.25">
      <c r="A804" s="1">
        <v>944138</v>
      </c>
      <c r="B804" s="6" t="s">
        <v>900</v>
      </c>
      <c r="F804" s="6" t="s">
        <v>9</v>
      </c>
      <c r="G804" s="6" t="s">
        <v>34</v>
      </c>
      <c r="H804" s="9" t="s">
        <v>35</v>
      </c>
      <c r="I804" s="7" t="str">
        <f t="shared" si="48"/>
        <v>61001002000</v>
      </c>
      <c r="J804" s="7" t="str">
        <f t="shared" si="49"/>
        <v>Материал по ЕГРН</v>
      </c>
      <c r="K804" s="7">
        <f>VLOOKUP(J804,Лист2!A$2:B$4,2,FALSE)</f>
        <v>792</v>
      </c>
      <c r="L804" s="7" t="str">
        <f t="shared" si="50"/>
        <v>ГОТОВ_ИЗМЕНЕН</v>
      </c>
      <c r="M804" s="7">
        <f t="shared" si="51"/>
        <v>0</v>
      </c>
    </row>
    <row r="805" spans="1:13" x14ac:dyDescent="0.25">
      <c r="A805" s="1">
        <v>944150</v>
      </c>
      <c r="B805" s="6" t="s">
        <v>901</v>
      </c>
      <c r="F805" s="6" t="s">
        <v>9</v>
      </c>
      <c r="G805" s="6" t="s">
        <v>34</v>
      </c>
      <c r="H805" s="9" t="s">
        <v>35</v>
      </c>
      <c r="I805" s="7" t="str">
        <f t="shared" si="48"/>
        <v>61001002000</v>
      </c>
      <c r="J805" s="7" t="str">
        <f t="shared" si="49"/>
        <v>Материал по ЕГРН</v>
      </c>
      <c r="K805" s="7">
        <f>VLOOKUP(J805,Лист2!A$2:B$4,2,FALSE)</f>
        <v>792</v>
      </c>
      <c r="L805" s="7" t="str">
        <f t="shared" si="50"/>
        <v>ГОТОВ_ИЗМЕНЕН</v>
      </c>
      <c r="M805" s="7">
        <f t="shared" si="51"/>
        <v>0</v>
      </c>
    </row>
    <row r="806" spans="1:13" x14ac:dyDescent="0.25">
      <c r="A806" s="1">
        <v>944162</v>
      </c>
      <c r="B806" s="6" t="s">
        <v>902</v>
      </c>
      <c r="F806" s="6" t="s">
        <v>9</v>
      </c>
      <c r="G806" s="6" t="s">
        <v>38</v>
      </c>
      <c r="H806" s="9" t="s">
        <v>33</v>
      </c>
      <c r="I806" s="7" t="str">
        <f t="shared" si="48"/>
        <v>61001005000</v>
      </c>
      <c r="J806" s="7" t="str">
        <f t="shared" si="49"/>
        <v>Материал по ЕГРН</v>
      </c>
      <c r="K806" s="7">
        <f>VLOOKUP(J806,Лист2!A$2:B$4,2,FALSE)</f>
        <v>792</v>
      </c>
      <c r="L806" s="7" t="str">
        <f t="shared" si="50"/>
        <v>ГОТОВ_ИЗМЕНЕН</v>
      </c>
      <c r="M806" s="7">
        <f t="shared" si="51"/>
        <v>0</v>
      </c>
    </row>
    <row r="807" spans="1:13" x14ac:dyDescent="0.25">
      <c r="A807" s="1">
        <v>944174</v>
      </c>
      <c r="B807" s="6" t="s">
        <v>903</v>
      </c>
      <c r="F807" s="6" t="s">
        <v>9</v>
      </c>
      <c r="G807" s="6" t="s">
        <v>38</v>
      </c>
      <c r="H807" s="9" t="s">
        <v>33</v>
      </c>
      <c r="I807" s="7" t="str">
        <f t="shared" si="48"/>
        <v>61001005000</v>
      </c>
      <c r="J807" s="7" t="str">
        <f t="shared" si="49"/>
        <v>Материал по ЕГРН</v>
      </c>
      <c r="K807" s="7">
        <f>VLOOKUP(J807,Лист2!A$2:B$4,2,FALSE)</f>
        <v>792</v>
      </c>
      <c r="L807" s="7" t="str">
        <f t="shared" si="50"/>
        <v>ГОТОВ_ИЗМЕНЕН</v>
      </c>
      <c r="M807" s="7">
        <f t="shared" si="51"/>
        <v>0</v>
      </c>
    </row>
    <row r="808" spans="1:13" x14ac:dyDescent="0.25">
      <c r="A808" s="1">
        <v>944186</v>
      </c>
      <c r="B808" s="6" t="s">
        <v>904</v>
      </c>
      <c r="F808" s="6" t="s">
        <v>9</v>
      </c>
      <c r="G808" s="6" t="s">
        <v>38</v>
      </c>
      <c r="H808" s="9" t="s">
        <v>33</v>
      </c>
      <c r="I808" s="7" t="str">
        <f t="shared" si="48"/>
        <v>61001005000</v>
      </c>
      <c r="J808" s="7" t="str">
        <f t="shared" si="49"/>
        <v>Материал по ЕГРН</v>
      </c>
      <c r="K808" s="7">
        <f>VLOOKUP(J808,Лист2!A$2:B$4,2,FALSE)</f>
        <v>792</v>
      </c>
      <c r="L808" s="7" t="str">
        <f t="shared" si="50"/>
        <v>ГОТОВ_ИЗМЕНЕН</v>
      </c>
      <c r="M808" s="7">
        <f t="shared" si="51"/>
        <v>0</v>
      </c>
    </row>
    <row r="809" spans="1:13" x14ac:dyDescent="0.25">
      <c r="A809" s="1">
        <v>944198</v>
      </c>
      <c r="B809" s="6" t="s">
        <v>905</v>
      </c>
      <c r="F809" s="6" t="s">
        <v>9</v>
      </c>
      <c r="G809" s="6" t="s">
        <v>34</v>
      </c>
      <c r="H809" s="9" t="s">
        <v>35</v>
      </c>
      <c r="I809" s="7" t="str">
        <f t="shared" si="48"/>
        <v>61001002000</v>
      </c>
      <c r="J809" s="7" t="str">
        <f t="shared" si="49"/>
        <v>Материал по ЕГРН</v>
      </c>
      <c r="K809" s="7">
        <f>VLOOKUP(J809,Лист2!A$2:B$4,2,FALSE)</f>
        <v>792</v>
      </c>
      <c r="L809" s="7" t="str">
        <f t="shared" si="50"/>
        <v>ГОТОВ_ИЗМЕНЕН</v>
      </c>
      <c r="M809" s="7">
        <f t="shared" si="51"/>
        <v>0</v>
      </c>
    </row>
    <row r="810" spans="1:13" x14ac:dyDescent="0.25">
      <c r="A810" s="1">
        <v>944210</v>
      </c>
      <c r="B810" s="6" t="s">
        <v>906</v>
      </c>
      <c r="F810" s="6" t="s">
        <v>9</v>
      </c>
      <c r="G810" s="6" t="s">
        <v>10</v>
      </c>
      <c r="H810" s="9" t="s">
        <v>11</v>
      </c>
      <c r="I810" s="7" t="str">
        <f t="shared" si="48"/>
        <v>61001003000</v>
      </c>
      <c r="J810" s="7" t="str">
        <f t="shared" si="49"/>
        <v>Материал по ЕГРН</v>
      </c>
      <c r="K810" s="7">
        <f>VLOOKUP(J810,Лист2!A$2:B$4,2,FALSE)</f>
        <v>792</v>
      </c>
      <c r="L810" s="7" t="str">
        <f t="shared" si="50"/>
        <v>ГОТОВ_ИЗМЕНЕН</v>
      </c>
      <c r="M810" s="7">
        <f t="shared" si="51"/>
        <v>0</v>
      </c>
    </row>
    <row r="811" spans="1:13" x14ac:dyDescent="0.25">
      <c r="A811" s="1">
        <v>944222</v>
      </c>
      <c r="B811" s="6" t="s">
        <v>907</v>
      </c>
      <c r="F811" s="6" t="s">
        <v>9</v>
      </c>
      <c r="G811" s="6" t="s">
        <v>34</v>
      </c>
      <c r="H811" s="9" t="s">
        <v>35</v>
      </c>
      <c r="I811" s="7" t="str">
        <f t="shared" si="48"/>
        <v>61001002000</v>
      </c>
      <c r="J811" s="7" t="str">
        <f t="shared" si="49"/>
        <v>Материал по ЕГРН</v>
      </c>
      <c r="K811" s="7">
        <f>VLOOKUP(J811,Лист2!A$2:B$4,2,FALSE)</f>
        <v>792</v>
      </c>
      <c r="L811" s="7" t="str">
        <f t="shared" si="50"/>
        <v>ГОТОВ_ИЗМЕНЕН</v>
      </c>
      <c r="M811" s="7">
        <f t="shared" si="51"/>
        <v>0</v>
      </c>
    </row>
    <row r="812" spans="1:13" x14ac:dyDescent="0.25">
      <c r="A812" s="1">
        <v>944234</v>
      </c>
      <c r="B812" s="6" t="s">
        <v>908</v>
      </c>
      <c r="F812" s="6" t="s">
        <v>9</v>
      </c>
      <c r="G812" s="6" t="s">
        <v>38</v>
      </c>
      <c r="H812" s="9" t="s">
        <v>33</v>
      </c>
      <c r="I812" s="7" t="str">
        <f t="shared" si="48"/>
        <v>61001005000</v>
      </c>
      <c r="J812" s="7" t="str">
        <f t="shared" si="49"/>
        <v>Материал по ЕГРН</v>
      </c>
      <c r="K812" s="7">
        <f>VLOOKUP(J812,Лист2!A$2:B$4,2,FALSE)</f>
        <v>792</v>
      </c>
      <c r="L812" s="7" t="str">
        <f t="shared" si="50"/>
        <v>ГОТОВ_ИЗМЕНЕН</v>
      </c>
      <c r="M812" s="7">
        <f t="shared" si="51"/>
        <v>0</v>
      </c>
    </row>
    <row r="813" spans="1:13" x14ac:dyDescent="0.25">
      <c r="A813" s="1">
        <v>944246</v>
      </c>
      <c r="B813" s="6" t="s">
        <v>909</v>
      </c>
      <c r="F813" s="6" t="s">
        <v>9</v>
      </c>
      <c r="G813" s="6" t="s">
        <v>10</v>
      </c>
      <c r="H813" s="9" t="s">
        <v>11</v>
      </c>
      <c r="I813" s="7" t="str">
        <f t="shared" si="48"/>
        <v>61001003000</v>
      </c>
      <c r="J813" s="7" t="str">
        <f t="shared" si="49"/>
        <v>Материал по ЕГРН</v>
      </c>
      <c r="K813" s="7">
        <f>VLOOKUP(J813,Лист2!A$2:B$4,2,FALSE)</f>
        <v>792</v>
      </c>
      <c r="L813" s="7" t="str">
        <f t="shared" si="50"/>
        <v>ГОТОВ_ИЗМЕНЕН</v>
      </c>
      <c r="M813" s="7">
        <f t="shared" si="51"/>
        <v>0</v>
      </c>
    </row>
    <row r="814" spans="1:13" x14ac:dyDescent="0.25">
      <c r="A814" s="1">
        <v>944258</v>
      </c>
      <c r="B814" s="6" t="s">
        <v>910</v>
      </c>
      <c r="F814" s="6" t="s">
        <v>9</v>
      </c>
      <c r="G814" s="6" t="s">
        <v>34</v>
      </c>
      <c r="H814" s="9" t="s">
        <v>35</v>
      </c>
      <c r="I814" s="7" t="str">
        <f t="shared" si="48"/>
        <v>61001002000</v>
      </c>
      <c r="J814" s="7" t="str">
        <f t="shared" si="49"/>
        <v>Материал по ЕГРН</v>
      </c>
      <c r="K814" s="7">
        <f>VLOOKUP(J814,Лист2!A$2:B$4,2,FALSE)</f>
        <v>792</v>
      </c>
      <c r="L814" s="7" t="str">
        <f t="shared" si="50"/>
        <v>ГОТОВ_ИЗМЕНЕН</v>
      </c>
      <c r="M814" s="7">
        <f t="shared" si="51"/>
        <v>0</v>
      </c>
    </row>
    <row r="815" spans="1:13" x14ac:dyDescent="0.25">
      <c r="A815" s="1">
        <v>944270</v>
      </c>
      <c r="B815" s="6" t="s">
        <v>911</v>
      </c>
      <c r="F815" s="6" t="s">
        <v>9</v>
      </c>
      <c r="G815" s="6" t="s">
        <v>38</v>
      </c>
      <c r="H815" s="9" t="s">
        <v>33</v>
      </c>
      <c r="I815" s="7" t="str">
        <f t="shared" si="48"/>
        <v>61001005000</v>
      </c>
      <c r="J815" s="7" t="str">
        <f t="shared" si="49"/>
        <v>Материал по ЕГРН</v>
      </c>
      <c r="K815" s="7">
        <f>VLOOKUP(J815,Лист2!A$2:B$4,2,FALSE)</f>
        <v>792</v>
      </c>
      <c r="L815" s="7" t="str">
        <f t="shared" si="50"/>
        <v>ГОТОВ_ИЗМЕНЕН</v>
      </c>
      <c r="M815" s="7">
        <f t="shared" si="51"/>
        <v>0</v>
      </c>
    </row>
    <row r="816" spans="1:13" x14ac:dyDescent="0.25">
      <c r="A816" s="1">
        <v>355592</v>
      </c>
      <c r="B816" s="6" t="s">
        <v>912</v>
      </c>
      <c r="C816" s="9" t="s">
        <v>60</v>
      </c>
      <c r="D816" s="6" t="s">
        <v>20</v>
      </c>
      <c r="E816" s="6" t="s">
        <v>37</v>
      </c>
      <c r="F816" s="6" t="s">
        <v>9</v>
      </c>
      <c r="G816" s="6" t="s">
        <v>59</v>
      </c>
      <c r="H816" s="9" t="s">
        <v>60</v>
      </c>
      <c r="I816" s="7" t="str">
        <f t="shared" si="48"/>
        <v>61001001001</v>
      </c>
      <c r="J816" s="7" t="str">
        <f t="shared" si="49"/>
        <v>Материал по ЕГРН</v>
      </c>
      <c r="K816" s="7">
        <f>VLOOKUP(J816,Лист2!A$2:B$4,2,FALSE)</f>
        <v>792</v>
      </c>
      <c r="L816" s="7" t="str">
        <f t="shared" si="50"/>
        <v>ГОТОВ</v>
      </c>
      <c r="M816" s="7" t="str">
        <f t="shared" si="51"/>
        <v>61001001001</v>
      </c>
    </row>
    <row r="817" spans="1:13" x14ac:dyDescent="0.25">
      <c r="A817" s="1">
        <v>441441</v>
      </c>
      <c r="B817" s="6" t="s">
        <v>913</v>
      </c>
      <c r="C817" s="9" t="s">
        <v>33</v>
      </c>
      <c r="D817" s="6" t="s">
        <v>20</v>
      </c>
      <c r="E817" s="6" t="s">
        <v>8</v>
      </c>
      <c r="F817" s="6" t="s">
        <v>9</v>
      </c>
      <c r="G817" s="6" t="s">
        <v>34</v>
      </c>
      <c r="H817" s="9" t="s">
        <v>35</v>
      </c>
      <c r="I817" s="7" t="str">
        <f t="shared" si="48"/>
        <v>61001002000</v>
      </c>
      <c r="J817" s="7" t="str">
        <f t="shared" si="49"/>
        <v>Материал по ЕГРН</v>
      </c>
      <c r="K817" s="7">
        <f>VLOOKUP(J817,Лист2!A$2:B$4,2,FALSE)</f>
        <v>792</v>
      </c>
      <c r="L817" s="7" t="str">
        <f t="shared" si="50"/>
        <v>ГОТОВ_ИЗМЕНЕН</v>
      </c>
      <c r="M817" s="7" t="str">
        <f t="shared" si="51"/>
        <v>61001005000</v>
      </c>
    </row>
    <row r="818" spans="1:13" x14ac:dyDescent="0.25">
      <c r="A818" s="1">
        <v>801919</v>
      </c>
      <c r="B818" s="6" t="s">
        <v>914</v>
      </c>
      <c r="C818" s="9" t="s">
        <v>33</v>
      </c>
      <c r="D818" s="6" t="s">
        <v>20</v>
      </c>
      <c r="E818" s="6" t="s">
        <v>37</v>
      </c>
      <c r="F818" s="6" t="s">
        <v>9</v>
      </c>
      <c r="G818" s="6" t="s">
        <v>38</v>
      </c>
      <c r="H818" s="9" t="s">
        <v>33</v>
      </c>
      <c r="I818" s="7" t="str">
        <f t="shared" si="48"/>
        <v>61001005000</v>
      </c>
      <c r="J818" s="7" t="str">
        <f t="shared" si="49"/>
        <v>Материал по ЕГРН</v>
      </c>
      <c r="K818" s="7">
        <f>VLOOKUP(J818,Лист2!A$2:B$4,2,FALSE)</f>
        <v>792</v>
      </c>
      <c r="L818" s="7" t="str">
        <f t="shared" si="50"/>
        <v>ГОТОВ</v>
      </c>
      <c r="M818" s="7" t="str">
        <f t="shared" si="51"/>
        <v>61001005000</v>
      </c>
    </row>
    <row r="819" spans="1:13" x14ac:dyDescent="0.25">
      <c r="A819" s="1">
        <v>945787</v>
      </c>
      <c r="B819" s="6" t="s">
        <v>915</v>
      </c>
      <c r="F819" s="6" t="s">
        <v>9</v>
      </c>
      <c r="G819" s="6" t="s">
        <v>34</v>
      </c>
      <c r="H819" s="9" t="s">
        <v>35</v>
      </c>
      <c r="I819" s="7" t="str">
        <f t="shared" si="48"/>
        <v>61001002000</v>
      </c>
      <c r="J819" s="7" t="str">
        <f t="shared" si="49"/>
        <v>Материал по ЕГРН</v>
      </c>
      <c r="K819" s="7">
        <f>VLOOKUP(J819,Лист2!A$2:B$4,2,FALSE)</f>
        <v>792</v>
      </c>
      <c r="L819" s="7" t="str">
        <f t="shared" si="50"/>
        <v>ГОТОВ_ИЗМЕНЕН</v>
      </c>
      <c r="M819" s="7">
        <f t="shared" si="51"/>
        <v>0</v>
      </c>
    </row>
    <row r="820" spans="1:13" x14ac:dyDescent="0.25">
      <c r="A820" s="1">
        <v>171918</v>
      </c>
      <c r="B820" s="6" t="s">
        <v>916</v>
      </c>
      <c r="C820" s="9" t="s">
        <v>42</v>
      </c>
      <c r="D820" s="6" t="s">
        <v>20</v>
      </c>
      <c r="E820" s="6" t="s">
        <v>37</v>
      </c>
      <c r="F820" s="6" t="s">
        <v>9</v>
      </c>
      <c r="G820" s="6" t="s">
        <v>43</v>
      </c>
      <c r="H820" s="9" t="s">
        <v>42</v>
      </c>
      <c r="I820" s="7" t="str">
        <f t="shared" si="48"/>
        <v>61001002001</v>
      </c>
      <c r="J820" s="7" t="str">
        <f t="shared" si="49"/>
        <v>Материал по ЕГРН</v>
      </c>
      <c r="K820" s="7">
        <f>VLOOKUP(J820,Лист2!A$2:B$4,2,FALSE)</f>
        <v>792</v>
      </c>
      <c r="L820" s="7" t="str">
        <f t="shared" si="50"/>
        <v>ГОТОВ</v>
      </c>
      <c r="M820" s="7" t="str">
        <f t="shared" si="51"/>
        <v>61001002001</v>
      </c>
    </row>
    <row r="821" spans="1:13" x14ac:dyDescent="0.25">
      <c r="A821" s="1">
        <v>469001</v>
      </c>
      <c r="B821" s="6" t="s">
        <v>917</v>
      </c>
      <c r="C821" s="9" t="s">
        <v>60</v>
      </c>
      <c r="D821" s="6" t="s">
        <v>20</v>
      </c>
      <c r="E821" s="6" t="s">
        <v>37</v>
      </c>
      <c r="F821" s="6" t="s">
        <v>9</v>
      </c>
      <c r="G821" s="6" t="s">
        <v>59</v>
      </c>
      <c r="H821" s="9" t="s">
        <v>60</v>
      </c>
      <c r="I821" s="7" t="str">
        <f t="shared" si="48"/>
        <v>61001001001</v>
      </c>
      <c r="J821" s="7" t="str">
        <f t="shared" si="49"/>
        <v>Материал по ЕГРН</v>
      </c>
      <c r="K821" s="7">
        <f>VLOOKUP(J821,Лист2!A$2:B$4,2,FALSE)</f>
        <v>792</v>
      </c>
      <c r="L821" s="7" t="str">
        <f t="shared" si="50"/>
        <v>ГОТОВ</v>
      </c>
      <c r="M821" s="7" t="str">
        <f t="shared" si="51"/>
        <v>61001001001</v>
      </c>
    </row>
    <row r="822" spans="1:13" x14ac:dyDescent="0.25">
      <c r="A822" s="1">
        <v>515823</v>
      </c>
      <c r="B822" s="6" t="s">
        <v>918</v>
      </c>
      <c r="C822" s="9" t="s">
        <v>33</v>
      </c>
      <c r="D822" s="6" t="s">
        <v>20</v>
      </c>
      <c r="E822" s="6" t="s">
        <v>37</v>
      </c>
      <c r="F822" s="6" t="s">
        <v>9</v>
      </c>
      <c r="G822" s="6" t="s">
        <v>38</v>
      </c>
      <c r="H822" s="9" t="s">
        <v>33</v>
      </c>
      <c r="I822" s="7" t="str">
        <f t="shared" si="48"/>
        <v>61001005000</v>
      </c>
      <c r="J822" s="7" t="str">
        <f t="shared" si="49"/>
        <v>Материал по ЕГРН</v>
      </c>
      <c r="K822" s="7">
        <f>VLOOKUP(J822,Лист2!A$2:B$4,2,FALSE)</f>
        <v>792</v>
      </c>
      <c r="L822" s="7" t="str">
        <f t="shared" si="50"/>
        <v>ГОТОВ</v>
      </c>
      <c r="M822" s="7" t="str">
        <f t="shared" si="51"/>
        <v>61001005000</v>
      </c>
    </row>
    <row r="823" spans="1:13" x14ac:dyDescent="0.25">
      <c r="A823" s="1">
        <v>530985</v>
      </c>
      <c r="B823" s="6" t="s">
        <v>919</v>
      </c>
      <c r="C823" s="9" t="s">
        <v>42</v>
      </c>
      <c r="D823" s="6" t="s">
        <v>20</v>
      </c>
      <c r="E823" s="6" t="s">
        <v>37</v>
      </c>
      <c r="F823" s="6" t="s">
        <v>9</v>
      </c>
      <c r="G823" s="6" t="s">
        <v>43</v>
      </c>
      <c r="H823" s="9" t="s">
        <v>42</v>
      </c>
      <c r="I823" s="7" t="str">
        <f t="shared" si="48"/>
        <v>61001002001</v>
      </c>
      <c r="J823" s="7" t="str">
        <f t="shared" si="49"/>
        <v>Материал по ЕГРН</v>
      </c>
      <c r="K823" s="7">
        <f>VLOOKUP(J823,Лист2!A$2:B$4,2,FALSE)</f>
        <v>792</v>
      </c>
      <c r="L823" s="7" t="str">
        <f t="shared" si="50"/>
        <v>ГОТОВ</v>
      </c>
      <c r="M823" s="7" t="str">
        <f t="shared" si="51"/>
        <v>61001002001</v>
      </c>
    </row>
    <row r="824" spans="1:13" x14ac:dyDescent="0.25">
      <c r="A824" s="1">
        <v>537608</v>
      </c>
      <c r="B824" s="6" t="s">
        <v>920</v>
      </c>
      <c r="C824" s="9" t="s">
        <v>33</v>
      </c>
      <c r="D824" s="6" t="s">
        <v>20</v>
      </c>
      <c r="E824" s="6" t="s">
        <v>37</v>
      </c>
      <c r="F824" s="6" t="s">
        <v>9</v>
      </c>
      <c r="G824" s="6" t="s">
        <v>38</v>
      </c>
      <c r="H824" s="9" t="s">
        <v>33</v>
      </c>
      <c r="I824" s="7" t="str">
        <f t="shared" si="48"/>
        <v>61001005000</v>
      </c>
      <c r="J824" s="7" t="str">
        <f t="shared" si="49"/>
        <v>Материал по ЕГРН</v>
      </c>
      <c r="K824" s="7">
        <f>VLOOKUP(J824,Лист2!A$2:B$4,2,FALSE)</f>
        <v>792</v>
      </c>
      <c r="L824" s="7" t="str">
        <f t="shared" si="50"/>
        <v>ГОТОВ</v>
      </c>
      <c r="M824" s="7" t="str">
        <f t="shared" si="51"/>
        <v>61001005000</v>
      </c>
    </row>
    <row r="825" spans="1:13" x14ac:dyDescent="0.25">
      <c r="A825" s="1">
        <v>787189</v>
      </c>
      <c r="B825" s="6" t="s">
        <v>921</v>
      </c>
      <c r="C825" s="9" t="s">
        <v>33</v>
      </c>
      <c r="D825" s="6" t="s">
        <v>20</v>
      </c>
      <c r="E825" s="6" t="s">
        <v>37</v>
      </c>
      <c r="F825" s="6" t="s">
        <v>9</v>
      </c>
      <c r="G825" s="6" t="s">
        <v>38</v>
      </c>
      <c r="H825" s="9" t="s">
        <v>33</v>
      </c>
      <c r="I825" s="7" t="str">
        <f t="shared" si="48"/>
        <v>61001005000</v>
      </c>
      <c r="J825" s="7" t="str">
        <f t="shared" si="49"/>
        <v>Материал по ЕГРН</v>
      </c>
      <c r="K825" s="7">
        <f>VLOOKUP(J825,Лист2!A$2:B$4,2,FALSE)</f>
        <v>792</v>
      </c>
      <c r="L825" s="7" t="str">
        <f t="shared" si="50"/>
        <v>ГОТОВ</v>
      </c>
      <c r="M825" s="7" t="str">
        <f t="shared" si="51"/>
        <v>61001005000</v>
      </c>
    </row>
    <row r="826" spans="1:13" x14ac:dyDescent="0.25">
      <c r="A826" s="1">
        <v>65624</v>
      </c>
      <c r="B826" s="6" t="s">
        <v>922</v>
      </c>
      <c r="C826" s="9" t="s">
        <v>126</v>
      </c>
      <c r="D826" s="6" t="s">
        <v>20</v>
      </c>
      <c r="E826" s="6" t="s">
        <v>37</v>
      </c>
      <c r="F826" s="6" t="s">
        <v>9</v>
      </c>
      <c r="G826" s="6" t="s">
        <v>125</v>
      </c>
      <c r="H826" s="9" t="s">
        <v>126</v>
      </c>
      <c r="I826" s="7" t="str">
        <f t="shared" si="48"/>
        <v>61001007004</v>
      </c>
      <c r="J826" s="7" t="str">
        <f t="shared" si="49"/>
        <v>Материал по ЕГРН</v>
      </c>
      <c r="K826" s="7">
        <f>VLOOKUP(J826,Лист2!A$2:B$4,2,FALSE)</f>
        <v>792</v>
      </c>
      <c r="L826" s="7" t="str">
        <f t="shared" si="50"/>
        <v>ГОТОВ</v>
      </c>
      <c r="M826" s="7" t="str">
        <f t="shared" si="51"/>
        <v>61001007004</v>
      </c>
    </row>
    <row r="827" spans="1:13" x14ac:dyDescent="0.25">
      <c r="A827" s="1">
        <v>255025</v>
      </c>
      <c r="B827" s="6" t="s">
        <v>923</v>
      </c>
      <c r="C827" s="9" t="s">
        <v>33</v>
      </c>
      <c r="D827" s="6" t="s">
        <v>20</v>
      </c>
      <c r="E827" s="6" t="s">
        <v>37</v>
      </c>
      <c r="F827" s="6" t="s">
        <v>9</v>
      </c>
      <c r="G827" s="6" t="s">
        <v>38</v>
      </c>
      <c r="H827" s="9" t="s">
        <v>33</v>
      </c>
      <c r="I827" s="7" t="str">
        <f t="shared" si="48"/>
        <v>61001005000</v>
      </c>
      <c r="J827" s="7" t="str">
        <f t="shared" si="49"/>
        <v>Материал по ЕГРН</v>
      </c>
      <c r="K827" s="7">
        <f>VLOOKUP(J827,Лист2!A$2:B$4,2,FALSE)</f>
        <v>792</v>
      </c>
      <c r="L827" s="7" t="str">
        <f t="shared" si="50"/>
        <v>ГОТОВ</v>
      </c>
      <c r="M827" s="7" t="str">
        <f t="shared" si="51"/>
        <v>61001005000</v>
      </c>
    </row>
    <row r="828" spans="1:13" x14ac:dyDescent="0.25">
      <c r="A828" s="1">
        <v>385421</v>
      </c>
      <c r="B828" s="6" t="s">
        <v>924</v>
      </c>
      <c r="C828" s="9" t="s">
        <v>33</v>
      </c>
      <c r="D828" s="6" t="s">
        <v>20</v>
      </c>
      <c r="E828" s="6" t="s">
        <v>37</v>
      </c>
      <c r="F828" s="6" t="s">
        <v>9</v>
      </c>
      <c r="G828" s="6" t="s">
        <v>38</v>
      </c>
      <c r="H828" s="9" t="s">
        <v>33</v>
      </c>
      <c r="I828" s="7" t="str">
        <f t="shared" si="48"/>
        <v>61001005000</v>
      </c>
      <c r="J828" s="7" t="str">
        <f t="shared" si="49"/>
        <v>Материал по ЕГРН</v>
      </c>
      <c r="K828" s="7">
        <f>VLOOKUP(J828,Лист2!A$2:B$4,2,FALSE)</f>
        <v>792</v>
      </c>
      <c r="L828" s="7" t="str">
        <f t="shared" si="50"/>
        <v>ГОТОВ</v>
      </c>
      <c r="M828" s="7" t="str">
        <f t="shared" si="51"/>
        <v>61001005000</v>
      </c>
    </row>
    <row r="829" spans="1:13" x14ac:dyDescent="0.25">
      <c r="A829" s="1">
        <v>604967</v>
      </c>
      <c r="B829" s="6" t="s">
        <v>925</v>
      </c>
      <c r="C829" s="9" t="s">
        <v>33</v>
      </c>
      <c r="D829" s="6" t="s">
        <v>20</v>
      </c>
      <c r="E829" s="6" t="s">
        <v>37</v>
      </c>
      <c r="F829" s="6" t="s">
        <v>9</v>
      </c>
      <c r="G829" s="6" t="s">
        <v>38</v>
      </c>
      <c r="H829" s="9" t="s">
        <v>33</v>
      </c>
      <c r="I829" s="7" t="str">
        <f t="shared" si="48"/>
        <v>61001005000</v>
      </c>
      <c r="J829" s="7" t="str">
        <f t="shared" si="49"/>
        <v>Материал по ЕГРН</v>
      </c>
      <c r="K829" s="7">
        <f>VLOOKUP(J829,Лист2!A$2:B$4,2,FALSE)</f>
        <v>792</v>
      </c>
      <c r="L829" s="7" t="str">
        <f t="shared" si="50"/>
        <v>ГОТОВ</v>
      </c>
      <c r="M829" s="7" t="str">
        <f t="shared" si="51"/>
        <v>61001005000</v>
      </c>
    </row>
    <row r="830" spans="1:13" x14ac:dyDescent="0.25">
      <c r="A830" s="1">
        <v>178249</v>
      </c>
      <c r="B830" s="6" t="s">
        <v>926</v>
      </c>
      <c r="C830" s="9" t="s">
        <v>33</v>
      </c>
      <c r="D830" s="6" t="s">
        <v>20</v>
      </c>
      <c r="E830" s="6" t="s">
        <v>37</v>
      </c>
      <c r="F830" s="6" t="s">
        <v>9</v>
      </c>
      <c r="G830" s="6" t="s">
        <v>38</v>
      </c>
      <c r="H830" s="9" t="s">
        <v>33</v>
      </c>
      <c r="I830" s="7" t="str">
        <f t="shared" si="48"/>
        <v>61001005000</v>
      </c>
      <c r="J830" s="7" t="str">
        <f t="shared" si="49"/>
        <v>Материал по ЕГРН</v>
      </c>
      <c r="K830" s="7">
        <f>VLOOKUP(J830,Лист2!A$2:B$4,2,FALSE)</f>
        <v>792</v>
      </c>
      <c r="L830" s="7" t="str">
        <f t="shared" si="50"/>
        <v>ГОТОВ</v>
      </c>
      <c r="M830" s="7" t="str">
        <f t="shared" si="51"/>
        <v>61001005000</v>
      </c>
    </row>
    <row r="831" spans="1:13" x14ac:dyDescent="0.25">
      <c r="A831" s="1">
        <v>383929</v>
      </c>
      <c r="B831" s="6" t="s">
        <v>927</v>
      </c>
      <c r="C831" s="9" t="s">
        <v>60</v>
      </c>
      <c r="D831" s="6" t="s">
        <v>20</v>
      </c>
      <c r="E831" s="6" t="s">
        <v>37</v>
      </c>
      <c r="F831" s="6" t="s">
        <v>9</v>
      </c>
      <c r="G831" s="6" t="s">
        <v>59</v>
      </c>
      <c r="H831" s="9" t="s">
        <v>60</v>
      </c>
      <c r="I831" s="7" t="str">
        <f t="shared" si="48"/>
        <v>61001001001</v>
      </c>
      <c r="J831" s="7" t="str">
        <f t="shared" si="49"/>
        <v>Материал по ЕГРН</v>
      </c>
      <c r="K831" s="7">
        <f>VLOOKUP(J831,Лист2!A$2:B$4,2,FALSE)</f>
        <v>792</v>
      </c>
      <c r="L831" s="7" t="str">
        <f t="shared" si="50"/>
        <v>ГОТОВ</v>
      </c>
      <c r="M831" s="7" t="str">
        <f t="shared" si="51"/>
        <v>61001001001</v>
      </c>
    </row>
    <row r="832" spans="1:13" x14ac:dyDescent="0.25">
      <c r="A832" s="1">
        <v>787500</v>
      </c>
      <c r="B832" s="6" t="s">
        <v>928</v>
      </c>
      <c r="C832" s="9" t="s">
        <v>33</v>
      </c>
      <c r="D832" s="6" t="s">
        <v>20</v>
      </c>
      <c r="E832" s="6" t="s">
        <v>37</v>
      </c>
      <c r="F832" s="6" t="s">
        <v>9</v>
      </c>
      <c r="G832" s="6" t="s">
        <v>38</v>
      </c>
      <c r="H832" s="9" t="s">
        <v>33</v>
      </c>
      <c r="I832" s="7" t="str">
        <f t="shared" si="48"/>
        <v>61001005000</v>
      </c>
      <c r="J832" s="7" t="str">
        <f t="shared" si="49"/>
        <v>Материал по ЕГРН</v>
      </c>
      <c r="K832" s="7">
        <f>VLOOKUP(J832,Лист2!A$2:B$4,2,FALSE)</f>
        <v>792</v>
      </c>
      <c r="L832" s="7" t="str">
        <f t="shared" si="50"/>
        <v>ГОТОВ</v>
      </c>
      <c r="M832" s="7" t="str">
        <f t="shared" si="51"/>
        <v>61001005000</v>
      </c>
    </row>
    <row r="833" spans="1:13" x14ac:dyDescent="0.25">
      <c r="A833" s="1">
        <v>812387</v>
      </c>
      <c r="B833" s="6" t="s">
        <v>929</v>
      </c>
      <c r="C833" s="9" t="s">
        <v>33</v>
      </c>
      <c r="D833" s="6" t="s">
        <v>20</v>
      </c>
      <c r="E833" s="6" t="s">
        <v>37</v>
      </c>
      <c r="F833" s="6" t="s">
        <v>9</v>
      </c>
      <c r="G833" s="6" t="s">
        <v>38</v>
      </c>
      <c r="H833" s="9" t="s">
        <v>33</v>
      </c>
      <c r="I833" s="7" t="str">
        <f t="shared" si="48"/>
        <v>61001005000</v>
      </c>
      <c r="J833" s="7" t="str">
        <f t="shared" si="49"/>
        <v>Материал по ЕГРН</v>
      </c>
      <c r="K833" s="7">
        <f>VLOOKUP(J833,Лист2!A$2:B$4,2,FALSE)</f>
        <v>792</v>
      </c>
      <c r="L833" s="7" t="str">
        <f t="shared" si="50"/>
        <v>ГОТОВ</v>
      </c>
      <c r="M833" s="7" t="str">
        <f t="shared" si="51"/>
        <v>61001005000</v>
      </c>
    </row>
    <row r="834" spans="1:13" x14ac:dyDescent="0.25">
      <c r="A834" s="1">
        <v>943423</v>
      </c>
      <c r="B834" s="6" t="s">
        <v>930</v>
      </c>
      <c r="F834" s="6" t="s">
        <v>9</v>
      </c>
      <c r="G834" s="6" t="s">
        <v>62</v>
      </c>
      <c r="H834" s="9" t="s">
        <v>63</v>
      </c>
      <c r="I834" s="7" t="str">
        <f t="shared" si="48"/>
        <v>61001006002</v>
      </c>
      <c r="J834" s="7" t="str">
        <f t="shared" si="49"/>
        <v>Материал по ЕГРН</v>
      </c>
      <c r="K834" s="7">
        <f>VLOOKUP(J834,Лист2!A$2:B$4,2,FALSE)</f>
        <v>792</v>
      </c>
      <c r="L834" s="7" t="str">
        <f t="shared" si="50"/>
        <v>ГОТОВ_ИЗМЕНЕН</v>
      </c>
      <c r="M834" s="7">
        <f t="shared" si="51"/>
        <v>0</v>
      </c>
    </row>
    <row r="835" spans="1:13" x14ac:dyDescent="0.25">
      <c r="A835" s="1">
        <v>943435</v>
      </c>
      <c r="B835" s="6" t="s">
        <v>931</v>
      </c>
      <c r="F835" s="6" t="s">
        <v>9</v>
      </c>
      <c r="G835" s="6" t="s">
        <v>34</v>
      </c>
      <c r="H835" s="9" t="s">
        <v>35</v>
      </c>
      <c r="I835" s="7" t="str">
        <f t="shared" si="48"/>
        <v>61001002000</v>
      </c>
      <c r="J835" s="7" t="str">
        <f t="shared" si="49"/>
        <v>Материал по ЕГРН</v>
      </c>
      <c r="K835" s="7">
        <f>VLOOKUP(J835,Лист2!A$2:B$4,2,FALSE)</f>
        <v>792</v>
      </c>
      <c r="L835" s="7" t="str">
        <f t="shared" si="50"/>
        <v>ГОТОВ_ИЗМЕНЕН</v>
      </c>
      <c r="M835" s="7">
        <f t="shared" si="51"/>
        <v>0</v>
      </c>
    </row>
    <row r="836" spans="1:13" x14ac:dyDescent="0.25">
      <c r="A836" s="1">
        <v>943447</v>
      </c>
      <c r="B836" s="6" t="s">
        <v>932</v>
      </c>
      <c r="F836" s="6" t="s">
        <v>9</v>
      </c>
      <c r="G836" s="6" t="s">
        <v>149</v>
      </c>
      <c r="H836" s="9" t="s">
        <v>150</v>
      </c>
      <c r="I836" s="7" t="str">
        <f t="shared" si="48"/>
        <v>61001007000</v>
      </c>
      <c r="J836" s="7" t="str">
        <f t="shared" si="49"/>
        <v>Материал по ЕГРН</v>
      </c>
      <c r="K836" s="7">
        <f>VLOOKUP(J836,Лист2!A$2:B$4,2,FALSE)</f>
        <v>792</v>
      </c>
      <c r="L836" s="7" t="str">
        <f t="shared" si="50"/>
        <v>ГОТОВ_ИЗМЕНЕН</v>
      </c>
      <c r="M836" s="7">
        <f t="shared" si="51"/>
        <v>0</v>
      </c>
    </row>
    <row r="837" spans="1:13" x14ac:dyDescent="0.25">
      <c r="A837" s="1">
        <v>943459</v>
      </c>
      <c r="B837" s="6" t="s">
        <v>933</v>
      </c>
      <c r="F837" s="6" t="s">
        <v>9</v>
      </c>
      <c r="G837" s="6" t="s">
        <v>10</v>
      </c>
      <c r="H837" s="9" t="s">
        <v>11</v>
      </c>
      <c r="I837" s="7" t="str">
        <f t="shared" ref="I837:I900" si="52">IF(LEN(H837)=11,H837,IF(LEN(H837)=0,"61001005000","61001003000"))</f>
        <v>61001003000</v>
      </c>
      <c r="J837" s="7" t="str">
        <f t="shared" ref="J837:J900" si="53">IF(LEN(H837)=11,"Материал по ЕГРН",IF(LEN(H837)=0,"Прочие по допущению","Смешанные по допущению"))</f>
        <v>Материал по ЕГРН</v>
      </c>
      <c r="K837" s="7">
        <f>VLOOKUP(J837,Лист2!A$2:B$4,2,FALSE)</f>
        <v>792</v>
      </c>
      <c r="L837" s="7" t="str">
        <f t="shared" ref="L837:L900" si="54">IF(I837=C837,"ГОТОВ","ГОТОВ_ИЗМЕНЕН")</f>
        <v>ГОТОВ_ИЗМЕНЕН</v>
      </c>
      <c r="M837" s="7">
        <f t="shared" ref="M837:M900" si="55">C837</f>
        <v>0</v>
      </c>
    </row>
    <row r="838" spans="1:13" x14ac:dyDescent="0.25">
      <c r="A838" s="1">
        <v>943471</v>
      </c>
      <c r="B838" s="6" t="s">
        <v>934</v>
      </c>
      <c r="F838" s="6" t="s">
        <v>9</v>
      </c>
      <c r="G838" s="6" t="s">
        <v>10</v>
      </c>
      <c r="H838" s="9" t="s">
        <v>11</v>
      </c>
      <c r="I838" s="7" t="str">
        <f t="shared" si="52"/>
        <v>61001003000</v>
      </c>
      <c r="J838" s="7" t="str">
        <f t="shared" si="53"/>
        <v>Материал по ЕГРН</v>
      </c>
      <c r="K838" s="7">
        <f>VLOOKUP(J838,Лист2!A$2:B$4,2,FALSE)</f>
        <v>792</v>
      </c>
      <c r="L838" s="7" t="str">
        <f t="shared" si="54"/>
        <v>ГОТОВ_ИЗМЕНЕН</v>
      </c>
      <c r="M838" s="7">
        <f t="shared" si="55"/>
        <v>0</v>
      </c>
    </row>
    <row r="839" spans="1:13" x14ac:dyDescent="0.25">
      <c r="A839" s="1">
        <v>943483</v>
      </c>
      <c r="B839" s="6" t="s">
        <v>935</v>
      </c>
      <c r="F839" s="6" t="s">
        <v>9</v>
      </c>
      <c r="G839" s="6" t="s">
        <v>139</v>
      </c>
      <c r="H839" s="9" t="s">
        <v>140</v>
      </c>
      <c r="I839" s="7" t="str">
        <f t="shared" si="52"/>
        <v>61001999000</v>
      </c>
      <c r="J839" s="7" t="str">
        <f t="shared" si="53"/>
        <v>Материал по ЕГРН</v>
      </c>
      <c r="K839" s="7">
        <f>VLOOKUP(J839,Лист2!A$2:B$4,2,FALSE)</f>
        <v>792</v>
      </c>
      <c r="L839" s="7" t="str">
        <f t="shared" si="54"/>
        <v>ГОТОВ_ИЗМЕНЕН</v>
      </c>
      <c r="M839" s="7">
        <f t="shared" si="55"/>
        <v>0</v>
      </c>
    </row>
    <row r="840" spans="1:13" x14ac:dyDescent="0.25">
      <c r="A840" s="1">
        <v>943495</v>
      </c>
      <c r="B840" s="6" t="s">
        <v>936</v>
      </c>
      <c r="F840" s="6" t="s">
        <v>9</v>
      </c>
      <c r="G840" s="6" t="s">
        <v>510</v>
      </c>
      <c r="H840" s="9" t="s">
        <v>511</v>
      </c>
      <c r="I840" s="7" t="str">
        <f t="shared" si="52"/>
        <v>61001003000</v>
      </c>
      <c r="J840" s="7" t="str">
        <f t="shared" si="53"/>
        <v>Смешанные по допущению</v>
      </c>
      <c r="K840" s="7">
        <f>VLOOKUP(J840,Лист2!A$2:B$4,2,FALSE)</f>
        <v>793</v>
      </c>
      <c r="L840" s="7" t="str">
        <f t="shared" si="54"/>
        <v>ГОТОВ_ИЗМЕНЕН</v>
      </c>
      <c r="M840" s="7">
        <f t="shared" si="55"/>
        <v>0</v>
      </c>
    </row>
    <row r="841" spans="1:13" x14ac:dyDescent="0.25">
      <c r="A841" s="1">
        <v>943507</v>
      </c>
      <c r="B841" s="6" t="s">
        <v>937</v>
      </c>
      <c r="F841" s="6" t="s">
        <v>9</v>
      </c>
      <c r="G841" s="6" t="s">
        <v>59</v>
      </c>
      <c r="H841" s="9" t="s">
        <v>60</v>
      </c>
      <c r="I841" s="7" t="str">
        <f t="shared" si="52"/>
        <v>61001001001</v>
      </c>
      <c r="J841" s="7" t="str">
        <f t="shared" si="53"/>
        <v>Материал по ЕГРН</v>
      </c>
      <c r="K841" s="7">
        <f>VLOOKUP(J841,Лист2!A$2:B$4,2,FALSE)</f>
        <v>792</v>
      </c>
      <c r="L841" s="7" t="str">
        <f t="shared" si="54"/>
        <v>ГОТОВ_ИЗМЕНЕН</v>
      </c>
      <c r="M841" s="7">
        <f t="shared" si="55"/>
        <v>0</v>
      </c>
    </row>
    <row r="842" spans="1:13" x14ac:dyDescent="0.25">
      <c r="A842" s="1">
        <v>943519</v>
      </c>
      <c r="B842" s="6" t="s">
        <v>938</v>
      </c>
      <c r="F842" s="6" t="s">
        <v>9</v>
      </c>
      <c r="G842" s="6" t="s">
        <v>10</v>
      </c>
      <c r="H842" s="9" t="s">
        <v>11</v>
      </c>
      <c r="I842" s="7" t="str">
        <f t="shared" si="52"/>
        <v>61001003000</v>
      </c>
      <c r="J842" s="7" t="str">
        <f t="shared" si="53"/>
        <v>Материал по ЕГРН</v>
      </c>
      <c r="K842" s="7">
        <f>VLOOKUP(J842,Лист2!A$2:B$4,2,FALSE)</f>
        <v>792</v>
      </c>
      <c r="L842" s="7" t="str">
        <f t="shared" si="54"/>
        <v>ГОТОВ_ИЗМЕНЕН</v>
      </c>
      <c r="M842" s="7">
        <f t="shared" si="55"/>
        <v>0</v>
      </c>
    </row>
    <row r="843" spans="1:13" x14ac:dyDescent="0.25">
      <c r="A843" s="1">
        <v>943531</v>
      </c>
      <c r="B843" s="6" t="s">
        <v>939</v>
      </c>
      <c r="F843" s="6" t="s">
        <v>9</v>
      </c>
      <c r="G843" s="6" t="s">
        <v>170</v>
      </c>
      <c r="H843" s="9" t="s">
        <v>171</v>
      </c>
      <c r="I843" s="7" t="str">
        <f t="shared" si="52"/>
        <v>61001001000</v>
      </c>
      <c r="J843" s="7" t="str">
        <f t="shared" si="53"/>
        <v>Материал по ЕГРН</v>
      </c>
      <c r="K843" s="7">
        <f>VLOOKUP(J843,Лист2!A$2:B$4,2,FALSE)</f>
        <v>792</v>
      </c>
      <c r="L843" s="7" t="str">
        <f t="shared" si="54"/>
        <v>ГОТОВ_ИЗМЕНЕН</v>
      </c>
      <c r="M843" s="7">
        <f t="shared" si="55"/>
        <v>0</v>
      </c>
    </row>
    <row r="844" spans="1:13" x14ac:dyDescent="0.25">
      <c r="A844" s="1">
        <v>943543</v>
      </c>
      <c r="B844" s="6" t="s">
        <v>940</v>
      </c>
      <c r="F844" s="6" t="s">
        <v>9</v>
      </c>
      <c r="G844" s="6" t="s">
        <v>59</v>
      </c>
      <c r="H844" s="9" t="s">
        <v>60</v>
      </c>
      <c r="I844" s="7" t="str">
        <f t="shared" si="52"/>
        <v>61001001001</v>
      </c>
      <c r="J844" s="7" t="str">
        <f t="shared" si="53"/>
        <v>Материал по ЕГРН</v>
      </c>
      <c r="K844" s="7">
        <f>VLOOKUP(J844,Лист2!A$2:B$4,2,FALSE)</f>
        <v>792</v>
      </c>
      <c r="L844" s="7" t="str">
        <f t="shared" si="54"/>
        <v>ГОТОВ_ИЗМЕНЕН</v>
      </c>
      <c r="M844" s="7">
        <f t="shared" si="55"/>
        <v>0</v>
      </c>
    </row>
    <row r="845" spans="1:13" x14ac:dyDescent="0.25">
      <c r="A845" s="1">
        <v>943555</v>
      </c>
      <c r="B845" s="6" t="s">
        <v>941</v>
      </c>
      <c r="F845" s="6" t="s">
        <v>9</v>
      </c>
      <c r="G845" s="6" t="s">
        <v>59</v>
      </c>
      <c r="H845" s="9" t="s">
        <v>60</v>
      </c>
      <c r="I845" s="7" t="str">
        <f t="shared" si="52"/>
        <v>61001001001</v>
      </c>
      <c r="J845" s="7" t="str">
        <f t="shared" si="53"/>
        <v>Материал по ЕГРН</v>
      </c>
      <c r="K845" s="7">
        <f>VLOOKUP(J845,Лист2!A$2:B$4,2,FALSE)</f>
        <v>792</v>
      </c>
      <c r="L845" s="7" t="str">
        <f t="shared" si="54"/>
        <v>ГОТОВ_ИЗМЕНЕН</v>
      </c>
      <c r="M845" s="7">
        <f t="shared" si="55"/>
        <v>0</v>
      </c>
    </row>
    <row r="846" spans="1:13" x14ac:dyDescent="0.25">
      <c r="A846" s="1">
        <v>943567</v>
      </c>
      <c r="B846" s="6" t="s">
        <v>942</v>
      </c>
      <c r="F846" s="6" t="s">
        <v>9</v>
      </c>
      <c r="G846" s="6" t="s">
        <v>10</v>
      </c>
      <c r="H846" s="9" t="s">
        <v>11</v>
      </c>
      <c r="I846" s="7" t="str">
        <f t="shared" si="52"/>
        <v>61001003000</v>
      </c>
      <c r="J846" s="7" t="str">
        <f t="shared" si="53"/>
        <v>Материал по ЕГРН</v>
      </c>
      <c r="K846" s="7">
        <f>VLOOKUP(J846,Лист2!A$2:B$4,2,FALSE)</f>
        <v>792</v>
      </c>
      <c r="L846" s="7" t="str">
        <f t="shared" si="54"/>
        <v>ГОТОВ_ИЗМЕНЕН</v>
      </c>
      <c r="M846" s="7">
        <f t="shared" si="55"/>
        <v>0</v>
      </c>
    </row>
    <row r="847" spans="1:13" x14ac:dyDescent="0.25">
      <c r="A847" s="1">
        <v>943579</v>
      </c>
      <c r="B847" s="6" t="s">
        <v>943</v>
      </c>
      <c r="F847" s="6" t="s">
        <v>9</v>
      </c>
      <c r="G847" s="6" t="s">
        <v>59</v>
      </c>
      <c r="H847" s="9" t="s">
        <v>60</v>
      </c>
      <c r="I847" s="7" t="str">
        <f t="shared" si="52"/>
        <v>61001001001</v>
      </c>
      <c r="J847" s="7" t="str">
        <f t="shared" si="53"/>
        <v>Материал по ЕГРН</v>
      </c>
      <c r="K847" s="7">
        <f>VLOOKUP(J847,Лист2!A$2:B$4,2,FALSE)</f>
        <v>792</v>
      </c>
      <c r="L847" s="7" t="str">
        <f t="shared" si="54"/>
        <v>ГОТОВ_ИЗМЕНЕН</v>
      </c>
      <c r="M847" s="7">
        <f t="shared" si="55"/>
        <v>0</v>
      </c>
    </row>
    <row r="848" spans="1:13" x14ac:dyDescent="0.25">
      <c r="A848" s="1">
        <v>943591</v>
      </c>
      <c r="B848" s="6" t="s">
        <v>944</v>
      </c>
      <c r="F848" s="6" t="s">
        <v>9</v>
      </c>
      <c r="G848" s="6" t="s">
        <v>34</v>
      </c>
      <c r="H848" s="9" t="s">
        <v>35</v>
      </c>
      <c r="I848" s="7" t="str">
        <f t="shared" si="52"/>
        <v>61001002000</v>
      </c>
      <c r="J848" s="7" t="str">
        <f t="shared" si="53"/>
        <v>Материал по ЕГРН</v>
      </c>
      <c r="K848" s="7">
        <f>VLOOKUP(J848,Лист2!A$2:B$4,2,FALSE)</f>
        <v>792</v>
      </c>
      <c r="L848" s="7" t="str">
        <f t="shared" si="54"/>
        <v>ГОТОВ_ИЗМЕНЕН</v>
      </c>
      <c r="M848" s="7">
        <f t="shared" si="55"/>
        <v>0</v>
      </c>
    </row>
    <row r="849" spans="1:13" x14ac:dyDescent="0.25">
      <c r="A849" s="1">
        <v>943603</v>
      </c>
      <c r="B849" s="6" t="s">
        <v>945</v>
      </c>
      <c r="F849" s="6" t="s">
        <v>9</v>
      </c>
      <c r="G849" s="6" t="s">
        <v>10</v>
      </c>
      <c r="H849" s="9" t="s">
        <v>11</v>
      </c>
      <c r="I849" s="7" t="str">
        <f t="shared" si="52"/>
        <v>61001003000</v>
      </c>
      <c r="J849" s="7" t="str">
        <f t="shared" si="53"/>
        <v>Материал по ЕГРН</v>
      </c>
      <c r="K849" s="7">
        <f>VLOOKUP(J849,Лист2!A$2:B$4,2,FALSE)</f>
        <v>792</v>
      </c>
      <c r="L849" s="7" t="str">
        <f t="shared" si="54"/>
        <v>ГОТОВ_ИЗМЕНЕН</v>
      </c>
      <c r="M849" s="7">
        <f t="shared" si="55"/>
        <v>0</v>
      </c>
    </row>
    <row r="850" spans="1:13" x14ac:dyDescent="0.25">
      <c r="A850" s="1">
        <v>943615</v>
      </c>
      <c r="B850" s="6" t="s">
        <v>946</v>
      </c>
      <c r="F850" s="6" t="s">
        <v>9</v>
      </c>
      <c r="G850" s="6" t="s">
        <v>59</v>
      </c>
      <c r="H850" s="9" t="s">
        <v>60</v>
      </c>
      <c r="I850" s="7" t="str">
        <f t="shared" si="52"/>
        <v>61001001001</v>
      </c>
      <c r="J850" s="7" t="str">
        <f t="shared" si="53"/>
        <v>Материал по ЕГРН</v>
      </c>
      <c r="K850" s="7">
        <f>VLOOKUP(J850,Лист2!A$2:B$4,2,FALSE)</f>
        <v>792</v>
      </c>
      <c r="L850" s="7" t="str">
        <f t="shared" si="54"/>
        <v>ГОТОВ_ИЗМЕНЕН</v>
      </c>
      <c r="M850" s="7">
        <f t="shared" si="55"/>
        <v>0</v>
      </c>
    </row>
    <row r="851" spans="1:13" x14ac:dyDescent="0.25">
      <c r="A851" s="1">
        <v>247557</v>
      </c>
      <c r="B851" s="6" t="s">
        <v>947</v>
      </c>
      <c r="C851" s="9" t="s">
        <v>33</v>
      </c>
      <c r="D851" s="6" t="s">
        <v>20</v>
      </c>
      <c r="E851" s="6" t="s">
        <v>37</v>
      </c>
      <c r="F851" s="6" t="s">
        <v>9</v>
      </c>
      <c r="G851" s="6" t="s">
        <v>38</v>
      </c>
      <c r="H851" s="9" t="s">
        <v>33</v>
      </c>
      <c r="I851" s="7" t="str">
        <f t="shared" si="52"/>
        <v>61001005000</v>
      </c>
      <c r="J851" s="7" t="str">
        <f t="shared" si="53"/>
        <v>Материал по ЕГРН</v>
      </c>
      <c r="K851" s="7">
        <f>VLOOKUP(J851,Лист2!A$2:B$4,2,FALSE)</f>
        <v>792</v>
      </c>
      <c r="L851" s="7" t="str">
        <f t="shared" si="54"/>
        <v>ГОТОВ</v>
      </c>
      <c r="M851" s="7" t="str">
        <f t="shared" si="55"/>
        <v>61001005000</v>
      </c>
    </row>
    <row r="852" spans="1:13" x14ac:dyDescent="0.25">
      <c r="A852" s="1">
        <v>506158</v>
      </c>
      <c r="B852" s="6" t="s">
        <v>948</v>
      </c>
      <c r="C852" s="9" t="s">
        <v>12</v>
      </c>
      <c r="D852" s="6" t="s">
        <v>20</v>
      </c>
      <c r="E852" s="6" t="s">
        <v>37</v>
      </c>
      <c r="F852" s="6" t="s">
        <v>9</v>
      </c>
      <c r="G852" s="6" t="s">
        <v>90</v>
      </c>
      <c r="H852" s="9" t="s">
        <v>12</v>
      </c>
      <c r="I852" s="7" t="str">
        <f t="shared" si="52"/>
        <v>61001008000</v>
      </c>
      <c r="J852" s="7" t="str">
        <f t="shared" si="53"/>
        <v>Материал по ЕГРН</v>
      </c>
      <c r="K852" s="7">
        <f>VLOOKUP(J852,Лист2!A$2:B$4,2,FALSE)</f>
        <v>792</v>
      </c>
      <c r="L852" s="7" t="str">
        <f t="shared" si="54"/>
        <v>ГОТОВ</v>
      </c>
      <c r="M852" s="7" t="str">
        <f t="shared" si="55"/>
        <v>61001008000</v>
      </c>
    </row>
    <row r="853" spans="1:13" x14ac:dyDescent="0.25">
      <c r="A853" s="1">
        <v>520916</v>
      </c>
      <c r="B853" s="6" t="s">
        <v>949</v>
      </c>
      <c r="C853" s="9" t="s">
        <v>33</v>
      </c>
      <c r="D853" s="6" t="s">
        <v>20</v>
      </c>
      <c r="E853" s="6" t="s">
        <v>37</v>
      </c>
      <c r="F853" s="6" t="s">
        <v>9</v>
      </c>
      <c r="G853" s="6" t="s">
        <v>38</v>
      </c>
      <c r="H853" s="9" t="s">
        <v>33</v>
      </c>
      <c r="I853" s="7" t="str">
        <f t="shared" si="52"/>
        <v>61001005000</v>
      </c>
      <c r="J853" s="7" t="str">
        <f t="shared" si="53"/>
        <v>Материал по ЕГРН</v>
      </c>
      <c r="K853" s="7">
        <f>VLOOKUP(J853,Лист2!A$2:B$4,2,FALSE)</f>
        <v>792</v>
      </c>
      <c r="L853" s="7" t="str">
        <f t="shared" si="54"/>
        <v>ГОТОВ</v>
      </c>
      <c r="M853" s="7" t="str">
        <f t="shared" si="55"/>
        <v>61001005000</v>
      </c>
    </row>
    <row r="854" spans="1:13" x14ac:dyDescent="0.25">
      <c r="A854" s="1">
        <v>527763</v>
      </c>
      <c r="B854" s="6" t="s">
        <v>950</v>
      </c>
      <c r="C854" s="9" t="s">
        <v>33</v>
      </c>
      <c r="D854" s="6" t="s">
        <v>20</v>
      </c>
      <c r="E854" s="6" t="s">
        <v>37</v>
      </c>
      <c r="F854" s="6" t="s">
        <v>9</v>
      </c>
      <c r="G854" s="6" t="s">
        <v>38</v>
      </c>
      <c r="H854" s="9" t="s">
        <v>33</v>
      </c>
      <c r="I854" s="7" t="str">
        <f t="shared" si="52"/>
        <v>61001005000</v>
      </c>
      <c r="J854" s="7" t="str">
        <f t="shared" si="53"/>
        <v>Материал по ЕГРН</v>
      </c>
      <c r="K854" s="7">
        <f>VLOOKUP(J854,Лист2!A$2:B$4,2,FALSE)</f>
        <v>792</v>
      </c>
      <c r="L854" s="7" t="str">
        <f t="shared" si="54"/>
        <v>ГОТОВ</v>
      </c>
      <c r="M854" s="7" t="str">
        <f t="shared" si="55"/>
        <v>61001005000</v>
      </c>
    </row>
    <row r="855" spans="1:13" x14ac:dyDescent="0.25">
      <c r="A855" s="1">
        <v>944640</v>
      </c>
      <c r="B855" s="6" t="s">
        <v>951</v>
      </c>
      <c r="F855" s="6" t="s">
        <v>9</v>
      </c>
      <c r="G855" s="6" t="s">
        <v>34</v>
      </c>
      <c r="H855" s="9" t="s">
        <v>35</v>
      </c>
      <c r="I855" s="7" t="str">
        <f t="shared" si="52"/>
        <v>61001002000</v>
      </c>
      <c r="J855" s="7" t="str">
        <f t="shared" si="53"/>
        <v>Материал по ЕГРН</v>
      </c>
      <c r="K855" s="7">
        <f>VLOOKUP(J855,Лист2!A$2:B$4,2,FALSE)</f>
        <v>792</v>
      </c>
      <c r="L855" s="7" t="str">
        <f t="shared" si="54"/>
        <v>ГОТОВ_ИЗМЕНЕН</v>
      </c>
      <c r="M855" s="7">
        <f t="shared" si="55"/>
        <v>0</v>
      </c>
    </row>
    <row r="856" spans="1:13" x14ac:dyDescent="0.25">
      <c r="A856" s="1">
        <v>944652</v>
      </c>
      <c r="B856" s="6" t="s">
        <v>952</v>
      </c>
      <c r="F856" s="6" t="s">
        <v>9</v>
      </c>
      <c r="G856" s="6" t="s">
        <v>149</v>
      </c>
      <c r="H856" s="9" t="s">
        <v>150</v>
      </c>
      <c r="I856" s="7" t="str">
        <f t="shared" si="52"/>
        <v>61001007000</v>
      </c>
      <c r="J856" s="7" t="str">
        <f t="shared" si="53"/>
        <v>Материал по ЕГРН</v>
      </c>
      <c r="K856" s="7">
        <f>VLOOKUP(J856,Лист2!A$2:B$4,2,FALSE)</f>
        <v>792</v>
      </c>
      <c r="L856" s="7" t="str">
        <f t="shared" si="54"/>
        <v>ГОТОВ_ИЗМЕНЕН</v>
      </c>
      <c r="M856" s="7">
        <f t="shared" si="55"/>
        <v>0</v>
      </c>
    </row>
    <row r="857" spans="1:13" x14ac:dyDescent="0.25">
      <c r="A857" s="1">
        <v>944664</v>
      </c>
      <c r="B857" s="6" t="s">
        <v>953</v>
      </c>
      <c r="F857" s="6" t="s">
        <v>9</v>
      </c>
      <c r="G857" s="6" t="s">
        <v>62</v>
      </c>
      <c r="H857" s="9" t="s">
        <v>63</v>
      </c>
      <c r="I857" s="7" t="str">
        <f t="shared" si="52"/>
        <v>61001006002</v>
      </c>
      <c r="J857" s="7" t="str">
        <f t="shared" si="53"/>
        <v>Материал по ЕГРН</v>
      </c>
      <c r="K857" s="7">
        <f>VLOOKUP(J857,Лист2!A$2:B$4,2,FALSE)</f>
        <v>792</v>
      </c>
      <c r="L857" s="7" t="str">
        <f t="shared" si="54"/>
        <v>ГОТОВ_ИЗМЕНЕН</v>
      </c>
      <c r="M857" s="7">
        <f t="shared" si="55"/>
        <v>0</v>
      </c>
    </row>
    <row r="858" spans="1:13" x14ac:dyDescent="0.25">
      <c r="A858" s="1">
        <v>944676</v>
      </c>
      <c r="B858" s="6" t="s">
        <v>954</v>
      </c>
      <c r="F858" s="6" t="s">
        <v>9</v>
      </c>
      <c r="G858" s="6" t="s">
        <v>38</v>
      </c>
      <c r="H858" s="9" t="s">
        <v>33</v>
      </c>
      <c r="I858" s="7" t="str">
        <f t="shared" si="52"/>
        <v>61001005000</v>
      </c>
      <c r="J858" s="7" t="str">
        <f t="shared" si="53"/>
        <v>Материал по ЕГРН</v>
      </c>
      <c r="K858" s="7">
        <f>VLOOKUP(J858,Лист2!A$2:B$4,2,FALSE)</f>
        <v>792</v>
      </c>
      <c r="L858" s="7" t="str">
        <f t="shared" si="54"/>
        <v>ГОТОВ_ИЗМЕНЕН</v>
      </c>
      <c r="M858" s="7">
        <f t="shared" si="55"/>
        <v>0</v>
      </c>
    </row>
    <row r="859" spans="1:13" x14ac:dyDescent="0.25">
      <c r="A859" s="1">
        <v>944688</v>
      </c>
      <c r="B859" s="6" t="s">
        <v>955</v>
      </c>
      <c r="F859" s="6" t="s">
        <v>9</v>
      </c>
      <c r="G859" s="6" t="s">
        <v>149</v>
      </c>
      <c r="H859" s="9" t="s">
        <v>150</v>
      </c>
      <c r="I859" s="7" t="str">
        <f t="shared" si="52"/>
        <v>61001007000</v>
      </c>
      <c r="J859" s="7" t="str">
        <f t="shared" si="53"/>
        <v>Материал по ЕГРН</v>
      </c>
      <c r="K859" s="7">
        <f>VLOOKUP(J859,Лист2!A$2:B$4,2,FALSE)</f>
        <v>792</v>
      </c>
      <c r="L859" s="7" t="str">
        <f t="shared" si="54"/>
        <v>ГОТОВ_ИЗМЕНЕН</v>
      </c>
      <c r="M859" s="7">
        <f t="shared" si="55"/>
        <v>0</v>
      </c>
    </row>
    <row r="860" spans="1:13" x14ac:dyDescent="0.25">
      <c r="A860" s="1">
        <v>944700</v>
      </c>
      <c r="B860" s="6" t="s">
        <v>956</v>
      </c>
      <c r="F860" s="6" t="s">
        <v>9</v>
      </c>
      <c r="G860" s="6" t="s">
        <v>34</v>
      </c>
      <c r="H860" s="9" t="s">
        <v>35</v>
      </c>
      <c r="I860" s="7" t="str">
        <f t="shared" si="52"/>
        <v>61001002000</v>
      </c>
      <c r="J860" s="7" t="str">
        <f t="shared" si="53"/>
        <v>Материал по ЕГРН</v>
      </c>
      <c r="K860" s="7">
        <f>VLOOKUP(J860,Лист2!A$2:B$4,2,FALSE)</f>
        <v>792</v>
      </c>
      <c r="L860" s="7" t="str">
        <f t="shared" si="54"/>
        <v>ГОТОВ_ИЗМЕНЕН</v>
      </c>
      <c r="M860" s="7">
        <f t="shared" si="55"/>
        <v>0</v>
      </c>
    </row>
    <row r="861" spans="1:13" x14ac:dyDescent="0.25">
      <c r="A861" s="1">
        <v>944712</v>
      </c>
      <c r="B861" s="6" t="s">
        <v>957</v>
      </c>
      <c r="F861" s="6" t="s">
        <v>9</v>
      </c>
      <c r="G861" s="6" t="s">
        <v>170</v>
      </c>
      <c r="H861" s="9" t="s">
        <v>171</v>
      </c>
      <c r="I861" s="7" t="str">
        <f t="shared" si="52"/>
        <v>61001001000</v>
      </c>
      <c r="J861" s="7" t="str">
        <f t="shared" si="53"/>
        <v>Материал по ЕГРН</v>
      </c>
      <c r="K861" s="7">
        <f>VLOOKUP(J861,Лист2!A$2:B$4,2,FALSE)</f>
        <v>792</v>
      </c>
      <c r="L861" s="7" t="str">
        <f t="shared" si="54"/>
        <v>ГОТОВ_ИЗМЕНЕН</v>
      </c>
      <c r="M861" s="7">
        <f t="shared" si="55"/>
        <v>0</v>
      </c>
    </row>
    <row r="862" spans="1:13" x14ac:dyDescent="0.25">
      <c r="A862" s="1">
        <v>944724</v>
      </c>
      <c r="B862" s="6" t="s">
        <v>958</v>
      </c>
      <c r="F862" s="6" t="s">
        <v>9</v>
      </c>
      <c r="G862" s="6" t="s">
        <v>38</v>
      </c>
      <c r="H862" s="9" t="s">
        <v>33</v>
      </c>
      <c r="I862" s="7" t="str">
        <f t="shared" si="52"/>
        <v>61001005000</v>
      </c>
      <c r="J862" s="7" t="str">
        <f t="shared" si="53"/>
        <v>Материал по ЕГРН</v>
      </c>
      <c r="K862" s="7">
        <f>VLOOKUP(J862,Лист2!A$2:B$4,2,FALSE)</f>
        <v>792</v>
      </c>
      <c r="L862" s="7" t="str">
        <f t="shared" si="54"/>
        <v>ГОТОВ_ИЗМЕНЕН</v>
      </c>
      <c r="M862" s="7">
        <f t="shared" si="55"/>
        <v>0</v>
      </c>
    </row>
    <row r="863" spans="1:13" x14ac:dyDescent="0.25">
      <c r="A863" s="1">
        <v>944736</v>
      </c>
      <c r="B863" s="6" t="s">
        <v>959</v>
      </c>
      <c r="F863" s="6" t="s">
        <v>9</v>
      </c>
      <c r="G863" s="6" t="s">
        <v>306</v>
      </c>
      <c r="H863" s="9" t="s">
        <v>307</v>
      </c>
      <c r="I863" s="7" t="str">
        <f t="shared" si="52"/>
        <v>61001002002</v>
      </c>
      <c r="J863" s="7" t="str">
        <f t="shared" si="53"/>
        <v>Материал по ЕГРН</v>
      </c>
      <c r="K863" s="7">
        <f>VLOOKUP(J863,Лист2!A$2:B$4,2,FALSE)</f>
        <v>792</v>
      </c>
      <c r="L863" s="7" t="str">
        <f t="shared" si="54"/>
        <v>ГОТОВ_ИЗМЕНЕН</v>
      </c>
      <c r="M863" s="7">
        <f t="shared" si="55"/>
        <v>0</v>
      </c>
    </row>
    <row r="864" spans="1:13" x14ac:dyDescent="0.25">
      <c r="A864" s="1">
        <v>944748</v>
      </c>
      <c r="B864" s="6" t="s">
        <v>960</v>
      </c>
      <c r="F864" s="6" t="s">
        <v>9</v>
      </c>
      <c r="G864" s="6" t="s">
        <v>34</v>
      </c>
      <c r="H864" s="9" t="s">
        <v>35</v>
      </c>
      <c r="I864" s="7" t="str">
        <f t="shared" si="52"/>
        <v>61001002000</v>
      </c>
      <c r="J864" s="7" t="str">
        <f t="shared" si="53"/>
        <v>Материал по ЕГРН</v>
      </c>
      <c r="K864" s="7">
        <f>VLOOKUP(J864,Лист2!A$2:B$4,2,FALSE)</f>
        <v>792</v>
      </c>
      <c r="L864" s="7" t="str">
        <f t="shared" si="54"/>
        <v>ГОТОВ_ИЗМЕНЕН</v>
      </c>
      <c r="M864" s="7">
        <f t="shared" si="55"/>
        <v>0</v>
      </c>
    </row>
    <row r="865" spans="1:13" x14ac:dyDescent="0.25">
      <c r="A865" s="1">
        <v>944760</v>
      </c>
      <c r="B865" s="6" t="s">
        <v>961</v>
      </c>
      <c r="F865" s="6" t="s">
        <v>9</v>
      </c>
      <c r="G865" s="6" t="s">
        <v>59</v>
      </c>
      <c r="H865" s="9" t="s">
        <v>60</v>
      </c>
      <c r="I865" s="7" t="str">
        <f t="shared" si="52"/>
        <v>61001001001</v>
      </c>
      <c r="J865" s="7" t="str">
        <f t="shared" si="53"/>
        <v>Материал по ЕГРН</v>
      </c>
      <c r="K865" s="7">
        <f>VLOOKUP(J865,Лист2!A$2:B$4,2,FALSE)</f>
        <v>792</v>
      </c>
      <c r="L865" s="7" t="str">
        <f t="shared" si="54"/>
        <v>ГОТОВ_ИЗМЕНЕН</v>
      </c>
      <c r="M865" s="7">
        <f t="shared" si="55"/>
        <v>0</v>
      </c>
    </row>
    <row r="866" spans="1:13" x14ac:dyDescent="0.25">
      <c r="A866" s="1">
        <v>944772</v>
      </c>
      <c r="B866" s="6" t="s">
        <v>962</v>
      </c>
      <c r="F866" s="6" t="s">
        <v>9</v>
      </c>
      <c r="G866" s="6" t="s">
        <v>34</v>
      </c>
      <c r="H866" s="9" t="s">
        <v>35</v>
      </c>
      <c r="I866" s="7" t="str">
        <f t="shared" si="52"/>
        <v>61001002000</v>
      </c>
      <c r="J866" s="7" t="str">
        <f t="shared" si="53"/>
        <v>Материал по ЕГРН</v>
      </c>
      <c r="K866" s="7">
        <f>VLOOKUP(J866,Лист2!A$2:B$4,2,FALSE)</f>
        <v>792</v>
      </c>
      <c r="L866" s="7" t="str">
        <f t="shared" si="54"/>
        <v>ГОТОВ_ИЗМЕНЕН</v>
      </c>
      <c r="M866" s="7">
        <f t="shared" si="55"/>
        <v>0</v>
      </c>
    </row>
    <row r="867" spans="1:13" x14ac:dyDescent="0.25">
      <c r="A867" s="1">
        <v>944784</v>
      </c>
      <c r="B867" s="6" t="s">
        <v>963</v>
      </c>
      <c r="F867" s="6" t="s">
        <v>9</v>
      </c>
      <c r="G867" s="6" t="s">
        <v>34</v>
      </c>
      <c r="H867" s="9" t="s">
        <v>35</v>
      </c>
      <c r="I867" s="7" t="str">
        <f t="shared" si="52"/>
        <v>61001002000</v>
      </c>
      <c r="J867" s="7" t="str">
        <f t="shared" si="53"/>
        <v>Материал по ЕГРН</v>
      </c>
      <c r="K867" s="7">
        <f>VLOOKUP(J867,Лист2!A$2:B$4,2,FALSE)</f>
        <v>792</v>
      </c>
      <c r="L867" s="7" t="str">
        <f t="shared" si="54"/>
        <v>ГОТОВ_ИЗМЕНЕН</v>
      </c>
      <c r="M867" s="7">
        <f t="shared" si="55"/>
        <v>0</v>
      </c>
    </row>
    <row r="868" spans="1:13" x14ac:dyDescent="0.25">
      <c r="A868" s="1">
        <v>944796</v>
      </c>
      <c r="B868" s="6" t="s">
        <v>964</v>
      </c>
      <c r="F868" s="6" t="s">
        <v>9</v>
      </c>
      <c r="G868" s="6" t="s">
        <v>38</v>
      </c>
      <c r="H868" s="9" t="s">
        <v>33</v>
      </c>
      <c r="I868" s="7" t="str">
        <f t="shared" si="52"/>
        <v>61001005000</v>
      </c>
      <c r="J868" s="7" t="str">
        <f t="shared" si="53"/>
        <v>Материал по ЕГРН</v>
      </c>
      <c r="K868" s="7">
        <f>VLOOKUP(J868,Лист2!A$2:B$4,2,FALSE)</f>
        <v>792</v>
      </c>
      <c r="L868" s="7" t="str">
        <f t="shared" si="54"/>
        <v>ГОТОВ_ИЗМЕНЕН</v>
      </c>
      <c r="M868" s="7">
        <f t="shared" si="55"/>
        <v>0</v>
      </c>
    </row>
    <row r="869" spans="1:13" x14ac:dyDescent="0.25">
      <c r="A869" s="1">
        <v>944808</v>
      </c>
      <c r="B869" s="6" t="s">
        <v>965</v>
      </c>
      <c r="F869" s="6" t="s">
        <v>9</v>
      </c>
      <c r="G869" s="6" t="s">
        <v>10</v>
      </c>
      <c r="H869" s="9" t="s">
        <v>11</v>
      </c>
      <c r="I869" s="7" t="str">
        <f t="shared" si="52"/>
        <v>61001003000</v>
      </c>
      <c r="J869" s="7" t="str">
        <f t="shared" si="53"/>
        <v>Материал по ЕГРН</v>
      </c>
      <c r="K869" s="7">
        <f>VLOOKUP(J869,Лист2!A$2:B$4,2,FALSE)</f>
        <v>792</v>
      </c>
      <c r="L869" s="7" t="str">
        <f t="shared" si="54"/>
        <v>ГОТОВ_ИЗМЕНЕН</v>
      </c>
      <c r="M869" s="7">
        <f t="shared" si="55"/>
        <v>0</v>
      </c>
    </row>
    <row r="870" spans="1:13" x14ac:dyDescent="0.25">
      <c r="A870" s="1">
        <v>944820</v>
      </c>
      <c r="B870" s="6" t="s">
        <v>966</v>
      </c>
      <c r="F870" s="6" t="s">
        <v>9</v>
      </c>
      <c r="G870" s="6" t="s">
        <v>38</v>
      </c>
      <c r="H870" s="9" t="s">
        <v>33</v>
      </c>
      <c r="I870" s="7" t="str">
        <f t="shared" si="52"/>
        <v>61001005000</v>
      </c>
      <c r="J870" s="7" t="str">
        <f t="shared" si="53"/>
        <v>Материал по ЕГРН</v>
      </c>
      <c r="K870" s="7">
        <f>VLOOKUP(J870,Лист2!A$2:B$4,2,FALSE)</f>
        <v>792</v>
      </c>
      <c r="L870" s="7" t="str">
        <f t="shared" si="54"/>
        <v>ГОТОВ_ИЗМЕНЕН</v>
      </c>
      <c r="M870" s="7">
        <f t="shared" si="55"/>
        <v>0</v>
      </c>
    </row>
    <row r="871" spans="1:13" x14ac:dyDescent="0.25">
      <c r="A871" s="1">
        <v>944832</v>
      </c>
      <c r="B871" s="6" t="s">
        <v>967</v>
      </c>
      <c r="F871" s="6" t="s">
        <v>9</v>
      </c>
      <c r="G871" s="6" t="s">
        <v>38</v>
      </c>
      <c r="H871" s="9" t="s">
        <v>33</v>
      </c>
      <c r="I871" s="7" t="str">
        <f t="shared" si="52"/>
        <v>61001005000</v>
      </c>
      <c r="J871" s="7" t="str">
        <f t="shared" si="53"/>
        <v>Материал по ЕГРН</v>
      </c>
      <c r="K871" s="7">
        <f>VLOOKUP(J871,Лист2!A$2:B$4,2,FALSE)</f>
        <v>792</v>
      </c>
      <c r="L871" s="7" t="str">
        <f t="shared" si="54"/>
        <v>ГОТОВ_ИЗМЕНЕН</v>
      </c>
      <c r="M871" s="7">
        <f t="shared" si="55"/>
        <v>0</v>
      </c>
    </row>
    <row r="872" spans="1:13" x14ac:dyDescent="0.25">
      <c r="A872" s="1">
        <v>944844</v>
      </c>
      <c r="B872" s="6" t="s">
        <v>968</v>
      </c>
      <c r="F872" s="6" t="s">
        <v>9</v>
      </c>
      <c r="G872" s="6" t="s">
        <v>10</v>
      </c>
      <c r="H872" s="9" t="s">
        <v>11</v>
      </c>
      <c r="I872" s="7" t="str">
        <f t="shared" si="52"/>
        <v>61001003000</v>
      </c>
      <c r="J872" s="7" t="str">
        <f t="shared" si="53"/>
        <v>Материал по ЕГРН</v>
      </c>
      <c r="K872" s="7">
        <f>VLOOKUP(J872,Лист2!A$2:B$4,2,FALSE)</f>
        <v>792</v>
      </c>
      <c r="L872" s="7" t="str">
        <f t="shared" si="54"/>
        <v>ГОТОВ_ИЗМЕНЕН</v>
      </c>
      <c r="M872" s="7">
        <f t="shared" si="55"/>
        <v>0</v>
      </c>
    </row>
    <row r="873" spans="1:13" x14ac:dyDescent="0.25">
      <c r="A873" s="1">
        <v>944856</v>
      </c>
      <c r="B873" s="6" t="s">
        <v>969</v>
      </c>
      <c r="F873" s="6" t="s">
        <v>9</v>
      </c>
      <c r="G873" s="6" t="s">
        <v>34</v>
      </c>
      <c r="H873" s="9" t="s">
        <v>35</v>
      </c>
      <c r="I873" s="7" t="str">
        <f t="shared" si="52"/>
        <v>61001002000</v>
      </c>
      <c r="J873" s="7" t="str">
        <f t="shared" si="53"/>
        <v>Материал по ЕГРН</v>
      </c>
      <c r="K873" s="7">
        <f>VLOOKUP(J873,Лист2!A$2:B$4,2,FALSE)</f>
        <v>792</v>
      </c>
      <c r="L873" s="7" t="str">
        <f t="shared" si="54"/>
        <v>ГОТОВ_ИЗМЕНЕН</v>
      </c>
      <c r="M873" s="7">
        <f t="shared" si="55"/>
        <v>0</v>
      </c>
    </row>
    <row r="874" spans="1:13" x14ac:dyDescent="0.25">
      <c r="A874" s="1">
        <v>944868</v>
      </c>
      <c r="B874" s="6" t="s">
        <v>970</v>
      </c>
      <c r="F874" s="6" t="s">
        <v>9</v>
      </c>
      <c r="G874" s="6" t="s">
        <v>34</v>
      </c>
      <c r="H874" s="9" t="s">
        <v>35</v>
      </c>
      <c r="I874" s="7" t="str">
        <f t="shared" si="52"/>
        <v>61001002000</v>
      </c>
      <c r="J874" s="7" t="str">
        <f t="shared" si="53"/>
        <v>Материал по ЕГРН</v>
      </c>
      <c r="K874" s="7">
        <f>VLOOKUP(J874,Лист2!A$2:B$4,2,FALSE)</f>
        <v>792</v>
      </c>
      <c r="L874" s="7" t="str">
        <f t="shared" si="54"/>
        <v>ГОТОВ_ИЗМЕНЕН</v>
      </c>
      <c r="M874" s="7">
        <f t="shared" si="55"/>
        <v>0</v>
      </c>
    </row>
    <row r="875" spans="1:13" x14ac:dyDescent="0.25">
      <c r="A875" s="1">
        <v>944880</v>
      </c>
      <c r="B875" s="6" t="s">
        <v>971</v>
      </c>
      <c r="F875" s="6" t="s">
        <v>9</v>
      </c>
      <c r="G875" s="6" t="s">
        <v>38</v>
      </c>
      <c r="H875" s="9" t="s">
        <v>33</v>
      </c>
      <c r="I875" s="7" t="str">
        <f t="shared" si="52"/>
        <v>61001005000</v>
      </c>
      <c r="J875" s="7" t="str">
        <f t="shared" si="53"/>
        <v>Материал по ЕГРН</v>
      </c>
      <c r="K875" s="7">
        <f>VLOOKUP(J875,Лист2!A$2:B$4,2,FALSE)</f>
        <v>792</v>
      </c>
      <c r="L875" s="7" t="str">
        <f t="shared" si="54"/>
        <v>ГОТОВ_ИЗМЕНЕН</v>
      </c>
      <c r="M875" s="7">
        <f t="shared" si="55"/>
        <v>0</v>
      </c>
    </row>
    <row r="876" spans="1:13" x14ac:dyDescent="0.25">
      <c r="A876" s="1">
        <v>944892</v>
      </c>
      <c r="B876" s="6" t="s">
        <v>972</v>
      </c>
      <c r="F876" s="6" t="s">
        <v>9</v>
      </c>
      <c r="G876" s="6" t="s">
        <v>34</v>
      </c>
      <c r="H876" s="9" t="s">
        <v>35</v>
      </c>
      <c r="I876" s="7" t="str">
        <f t="shared" si="52"/>
        <v>61001002000</v>
      </c>
      <c r="J876" s="7" t="str">
        <f t="shared" si="53"/>
        <v>Материал по ЕГРН</v>
      </c>
      <c r="K876" s="7">
        <f>VLOOKUP(J876,Лист2!A$2:B$4,2,FALSE)</f>
        <v>792</v>
      </c>
      <c r="L876" s="7" t="str">
        <f t="shared" si="54"/>
        <v>ГОТОВ_ИЗМЕНЕН</v>
      </c>
      <c r="M876" s="7">
        <f t="shared" si="55"/>
        <v>0</v>
      </c>
    </row>
    <row r="877" spans="1:13" x14ac:dyDescent="0.25">
      <c r="A877" s="1">
        <v>944904</v>
      </c>
      <c r="B877" s="6" t="s">
        <v>973</v>
      </c>
      <c r="F877" s="6" t="s">
        <v>9</v>
      </c>
      <c r="G877" s="6" t="s">
        <v>62</v>
      </c>
      <c r="H877" s="9" t="s">
        <v>63</v>
      </c>
      <c r="I877" s="7" t="str">
        <f t="shared" si="52"/>
        <v>61001006002</v>
      </c>
      <c r="J877" s="7" t="str">
        <f t="shared" si="53"/>
        <v>Материал по ЕГРН</v>
      </c>
      <c r="K877" s="7">
        <f>VLOOKUP(J877,Лист2!A$2:B$4,2,FALSE)</f>
        <v>792</v>
      </c>
      <c r="L877" s="7" t="str">
        <f t="shared" si="54"/>
        <v>ГОТОВ_ИЗМЕНЕН</v>
      </c>
      <c r="M877" s="7">
        <f t="shared" si="55"/>
        <v>0</v>
      </c>
    </row>
    <row r="878" spans="1:13" x14ac:dyDescent="0.25">
      <c r="A878" s="1">
        <v>185973</v>
      </c>
      <c r="B878" s="6" t="s">
        <v>974</v>
      </c>
      <c r="C878" s="9" t="s">
        <v>33</v>
      </c>
      <c r="D878" s="6" t="s">
        <v>20</v>
      </c>
      <c r="E878" s="6" t="s">
        <v>37</v>
      </c>
      <c r="F878" s="6" t="s">
        <v>9</v>
      </c>
      <c r="G878" s="6" t="s">
        <v>38</v>
      </c>
      <c r="H878" s="9" t="s">
        <v>33</v>
      </c>
      <c r="I878" s="7" t="str">
        <f t="shared" si="52"/>
        <v>61001005000</v>
      </c>
      <c r="J878" s="7" t="str">
        <f t="shared" si="53"/>
        <v>Материал по ЕГРН</v>
      </c>
      <c r="K878" s="7">
        <f>VLOOKUP(J878,Лист2!A$2:B$4,2,FALSE)</f>
        <v>792</v>
      </c>
      <c r="L878" s="7" t="str">
        <f t="shared" si="54"/>
        <v>ГОТОВ</v>
      </c>
      <c r="M878" s="7" t="str">
        <f t="shared" si="55"/>
        <v>61001005000</v>
      </c>
    </row>
    <row r="879" spans="1:13" x14ac:dyDescent="0.25">
      <c r="A879" s="1">
        <v>378937</v>
      </c>
      <c r="B879" s="6" t="s">
        <v>975</v>
      </c>
      <c r="C879" s="9" t="s">
        <v>110</v>
      </c>
      <c r="D879" s="6" t="s">
        <v>20</v>
      </c>
      <c r="E879" s="6" t="s">
        <v>37</v>
      </c>
      <c r="F879" s="6" t="s">
        <v>9</v>
      </c>
      <c r="G879" s="6" t="s">
        <v>111</v>
      </c>
      <c r="H879" s="9" t="s">
        <v>110</v>
      </c>
      <c r="I879" s="7" t="str">
        <f t="shared" si="52"/>
        <v>61001007001</v>
      </c>
      <c r="J879" s="7" t="str">
        <f t="shared" si="53"/>
        <v>Материал по ЕГРН</v>
      </c>
      <c r="K879" s="7">
        <f>VLOOKUP(J879,Лист2!A$2:B$4,2,FALSE)</f>
        <v>792</v>
      </c>
      <c r="L879" s="7" t="str">
        <f t="shared" si="54"/>
        <v>ГОТОВ</v>
      </c>
      <c r="M879" s="7" t="str">
        <f t="shared" si="55"/>
        <v>61001007001</v>
      </c>
    </row>
    <row r="880" spans="1:13" x14ac:dyDescent="0.25">
      <c r="A880" s="1">
        <v>512639</v>
      </c>
      <c r="B880" s="6" t="s">
        <v>976</v>
      </c>
      <c r="C880" s="9" t="s">
        <v>33</v>
      </c>
      <c r="D880" s="6" t="s">
        <v>20</v>
      </c>
      <c r="E880" s="6" t="s">
        <v>37</v>
      </c>
      <c r="F880" s="6" t="s">
        <v>9</v>
      </c>
      <c r="G880" s="6" t="s">
        <v>38</v>
      </c>
      <c r="H880" s="9" t="s">
        <v>33</v>
      </c>
      <c r="I880" s="7" t="str">
        <f t="shared" si="52"/>
        <v>61001005000</v>
      </c>
      <c r="J880" s="7" t="str">
        <f t="shared" si="53"/>
        <v>Материал по ЕГРН</v>
      </c>
      <c r="K880" s="7">
        <f>VLOOKUP(J880,Лист2!A$2:B$4,2,FALSE)</f>
        <v>792</v>
      </c>
      <c r="L880" s="7" t="str">
        <f t="shared" si="54"/>
        <v>ГОТОВ</v>
      </c>
      <c r="M880" s="7" t="str">
        <f t="shared" si="55"/>
        <v>61001005000</v>
      </c>
    </row>
    <row r="881" spans="1:13" x14ac:dyDescent="0.25">
      <c r="A881" s="1">
        <v>844462</v>
      </c>
      <c r="B881" s="6" t="s">
        <v>977</v>
      </c>
      <c r="C881" s="9" t="s">
        <v>33</v>
      </c>
      <c r="D881" s="6" t="s">
        <v>20</v>
      </c>
      <c r="E881" s="6" t="s">
        <v>8</v>
      </c>
      <c r="F881" s="6" t="s">
        <v>9</v>
      </c>
      <c r="G881" s="6" t="s">
        <v>34</v>
      </c>
      <c r="H881" s="9" t="s">
        <v>35</v>
      </c>
      <c r="I881" s="7" t="str">
        <f t="shared" si="52"/>
        <v>61001002000</v>
      </c>
      <c r="J881" s="7" t="str">
        <f t="shared" si="53"/>
        <v>Материал по ЕГРН</v>
      </c>
      <c r="K881" s="7">
        <f>VLOOKUP(J881,Лист2!A$2:B$4,2,FALSE)</f>
        <v>792</v>
      </c>
      <c r="L881" s="7" t="str">
        <f t="shared" si="54"/>
        <v>ГОТОВ_ИЗМЕНЕН</v>
      </c>
      <c r="M881" s="7" t="str">
        <f t="shared" si="55"/>
        <v>61001005000</v>
      </c>
    </row>
    <row r="882" spans="1:13" x14ac:dyDescent="0.25">
      <c r="A882" s="1">
        <v>946168</v>
      </c>
      <c r="B882" s="6" t="s">
        <v>978</v>
      </c>
      <c r="F882" s="6" t="s">
        <v>9</v>
      </c>
      <c r="G882" s="6" t="s">
        <v>73</v>
      </c>
      <c r="H882" s="9" t="s">
        <v>74</v>
      </c>
      <c r="I882" s="7" t="str">
        <f t="shared" si="52"/>
        <v>61001006000</v>
      </c>
      <c r="J882" s="7" t="str">
        <f t="shared" si="53"/>
        <v>Материал по ЕГРН</v>
      </c>
      <c r="K882" s="7">
        <f>VLOOKUP(J882,Лист2!A$2:B$4,2,FALSE)</f>
        <v>792</v>
      </c>
      <c r="L882" s="7" t="str">
        <f t="shared" si="54"/>
        <v>ГОТОВ_ИЗМЕНЕН</v>
      </c>
      <c r="M882" s="7">
        <f t="shared" si="55"/>
        <v>0</v>
      </c>
    </row>
    <row r="883" spans="1:13" x14ac:dyDescent="0.25">
      <c r="A883" s="1">
        <v>946180</v>
      </c>
      <c r="B883" s="6" t="s">
        <v>979</v>
      </c>
      <c r="F883" s="6" t="s">
        <v>9</v>
      </c>
      <c r="G883" s="6" t="s">
        <v>90</v>
      </c>
      <c r="H883" s="9" t="s">
        <v>12</v>
      </c>
      <c r="I883" s="7" t="str">
        <f t="shared" si="52"/>
        <v>61001008000</v>
      </c>
      <c r="J883" s="7" t="str">
        <f t="shared" si="53"/>
        <v>Материал по ЕГРН</v>
      </c>
      <c r="K883" s="7">
        <f>VLOOKUP(J883,Лист2!A$2:B$4,2,FALSE)</f>
        <v>792</v>
      </c>
      <c r="L883" s="7" t="str">
        <f t="shared" si="54"/>
        <v>ГОТОВ_ИЗМЕНЕН</v>
      </c>
      <c r="M883" s="7">
        <f t="shared" si="55"/>
        <v>0</v>
      </c>
    </row>
    <row r="884" spans="1:13" x14ac:dyDescent="0.25">
      <c r="A884" s="1">
        <v>946192</v>
      </c>
      <c r="B884" s="6" t="s">
        <v>980</v>
      </c>
      <c r="F884" s="6" t="s">
        <v>9</v>
      </c>
      <c r="G884" s="6" t="s">
        <v>139</v>
      </c>
      <c r="H884" s="9" t="s">
        <v>140</v>
      </c>
      <c r="I884" s="7" t="str">
        <f t="shared" si="52"/>
        <v>61001999000</v>
      </c>
      <c r="J884" s="7" t="str">
        <f t="shared" si="53"/>
        <v>Материал по ЕГРН</v>
      </c>
      <c r="K884" s="7">
        <f>VLOOKUP(J884,Лист2!A$2:B$4,2,FALSE)</f>
        <v>792</v>
      </c>
      <c r="L884" s="7" t="str">
        <f t="shared" si="54"/>
        <v>ГОТОВ_ИЗМЕНЕН</v>
      </c>
      <c r="M884" s="7">
        <f t="shared" si="55"/>
        <v>0</v>
      </c>
    </row>
    <row r="885" spans="1:13" x14ac:dyDescent="0.25">
      <c r="A885" s="1">
        <v>946204</v>
      </c>
      <c r="B885" s="6" t="s">
        <v>981</v>
      </c>
      <c r="F885" s="6" t="s">
        <v>9</v>
      </c>
      <c r="G885" s="6" t="s">
        <v>38</v>
      </c>
      <c r="H885" s="9" t="s">
        <v>33</v>
      </c>
      <c r="I885" s="7" t="str">
        <f t="shared" si="52"/>
        <v>61001005000</v>
      </c>
      <c r="J885" s="7" t="str">
        <f t="shared" si="53"/>
        <v>Материал по ЕГРН</v>
      </c>
      <c r="K885" s="7">
        <f>VLOOKUP(J885,Лист2!A$2:B$4,2,FALSE)</f>
        <v>792</v>
      </c>
      <c r="L885" s="7" t="str">
        <f t="shared" si="54"/>
        <v>ГОТОВ_ИЗМЕНЕН</v>
      </c>
      <c r="M885" s="7">
        <f t="shared" si="55"/>
        <v>0</v>
      </c>
    </row>
    <row r="886" spans="1:13" x14ac:dyDescent="0.25">
      <c r="A886" s="1">
        <v>946216</v>
      </c>
      <c r="B886" s="6" t="s">
        <v>982</v>
      </c>
      <c r="F886" s="6" t="s">
        <v>9</v>
      </c>
      <c r="G886" s="6" t="s">
        <v>139</v>
      </c>
      <c r="H886" s="9" t="s">
        <v>140</v>
      </c>
      <c r="I886" s="7" t="str">
        <f t="shared" si="52"/>
        <v>61001999000</v>
      </c>
      <c r="J886" s="7" t="str">
        <f t="shared" si="53"/>
        <v>Материал по ЕГРН</v>
      </c>
      <c r="K886" s="7">
        <f>VLOOKUP(J886,Лист2!A$2:B$4,2,FALSE)</f>
        <v>792</v>
      </c>
      <c r="L886" s="7" t="str">
        <f t="shared" si="54"/>
        <v>ГОТОВ_ИЗМЕНЕН</v>
      </c>
      <c r="M886" s="7">
        <f t="shared" si="55"/>
        <v>0</v>
      </c>
    </row>
    <row r="887" spans="1:13" x14ac:dyDescent="0.25">
      <c r="A887" s="1">
        <v>946228</v>
      </c>
      <c r="B887" s="6" t="s">
        <v>983</v>
      </c>
      <c r="F887" s="6" t="s">
        <v>9</v>
      </c>
      <c r="G887" s="6" t="s">
        <v>34</v>
      </c>
      <c r="H887" s="9" t="s">
        <v>35</v>
      </c>
      <c r="I887" s="7" t="str">
        <f t="shared" si="52"/>
        <v>61001002000</v>
      </c>
      <c r="J887" s="7" t="str">
        <f t="shared" si="53"/>
        <v>Материал по ЕГРН</v>
      </c>
      <c r="K887" s="7">
        <f>VLOOKUP(J887,Лист2!A$2:B$4,2,FALSE)</f>
        <v>792</v>
      </c>
      <c r="L887" s="7" t="str">
        <f t="shared" si="54"/>
        <v>ГОТОВ_ИЗМЕНЕН</v>
      </c>
      <c r="M887" s="7">
        <f t="shared" si="55"/>
        <v>0</v>
      </c>
    </row>
    <row r="888" spans="1:13" x14ac:dyDescent="0.25">
      <c r="A888" s="1">
        <v>946240</v>
      </c>
      <c r="B888" s="6" t="s">
        <v>984</v>
      </c>
      <c r="F888" s="6" t="s">
        <v>9</v>
      </c>
      <c r="G888" s="6" t="s">
        <v>34</v>
      </c>
      <c r="H888" s="9" t="s">
        <v>35</v>
      </c>
      <c r="I888" s="7" t="str">
        <f t="shared" si="52"/>
        <v>61001002000</v>
      </c>
      <c r="J888" s="7" t="str">
        <f t="shared" si="53"/>
        <v>Материал по ЕГРН</v>
      </c>
      <c r="K888" s="7">
        <f>VLOOKUP(J888,Лист2!A$2:B$4,2,FALSE)</f>
        <v>792</v>
      </c>
      <c r="L888" s="7" t="str">
        <f t="shared" si="54"/>
        <v>ГОТОВ_ИЗМЕНЕН</v>
      </c>
      <c r="M888" s="7">
        <f t="shared" si="55"/>
        <v>0</v>
      </c>
    </row>
    <row r="889" spans="1:13" x14ac:dyDescent="0.25">
      <c r="A889" s="1">
        <v>946252</v>
      </c>
      <c r="B889" s="6" t="s">
        <v>985</v>
      </c>
      <c r="F889" s="6" t="s">
        <v>9</v>
      </c>
      <c r="G889" s="6" t="s">
        <v>38</v>
      </c>
      <c r="H889" s="9" t="s">
        <v>33</v>
      </c>
      <c r="I889" s="7" t="str">
        <f t="shared" si="52"/>
        <v>61001005000</v>
      </c>
      <c r="J889" s="7" t="str">
        <f t="shared" si="53"/>
        <v>Материал по ЕГРН</v>
      </c>
      <c r="K889" s="7">
        <f>VLOOKUP(J889,Лист2!A$2:B$4,2,FALSE)</f>
        <v>792</v>
      </c>
      <c r="L889" s="7" t="str">
        <f t="shared" si="54"/>
        <v>ГОТОВ_ИЗМЕНЕН</v>
      </c>
      <c r="M889" s="7">
        <f t="shared" si="55"/>
        <v>0</v>
      </c>
    </row>
    <row r="890" spans="1:13" x14ac:dyDescent="0.25">
      <c r="A890" s="1">
        <v>946264</v>
      </c>
      <c r="B890" s="6" t="s">
        <v>986</v>
      </c>
      <c r="F890" s="6" t="s">
        <v>9</v>
      </c>
      <c r="G890" s="6" t="s">
        <v>34</v>
      </c>
      <c r="H890" s="9" t="s">
        <v>35</v>
      </c>
      <c r="I890" s="7" t="str">
        <f t="shared" si="52"/>
        <v>61001002000</v>
      </c>
      <c r="J890" s="7" t="str">
        <f t="shared" si="53"/>
        <v>Материал по ЕГРН</v>
      </c>
      <c r="K890" s="7">
        <f>VLOOKUP(J890,Лист2!A$2:B$4,2,FALSE)</f>
        <v>792</v>
      </c>
      <c r="L890" s="7" t="str">
        <f t="shared" si="54"/>
        <v>ГОТОВ_ИЗМЕНЕН</v>
      </c>
      <c r="M890" s="7">
        <f t="shared" si="55"/>
        <v>0</v>
      </c>
    </row>
    <row r="891" spans="1:13" x14ac:dyDescent="0.25">
      <c r="A891" s="1">
        <v>946276</v>
      </c>
      <c r="B891" s="6" t="s">
        <v>987</v>
      </c>
      <c r="F891" s="6" t="s">
        <v>9</v>
      </c>
      <c r="G891" s="6" t="s">
        <v>62</v>
      </c>
      <c r="H891" s="9" t="s">
        <v>63</v>
      </c>
      <c r="I891" s="7" t="str">
        <f t="shared" si="52"/>
        <v>61001006002</v>
      </c>
      <c r="J891" s="7" t="str">
        <f t="shared" si="53"/>
        <v>Материал по ЕГРН</v>
      </c>
      <c r="K891" s="7">
        <f>VLOOKUP(J891,Лист2!A$2:B$4,2,FALSE)</f>
        <v>792</v>
      </c>
      <c r="L891" s="7" t="str">
        <f t="shared" si="54"/>
        <v>ГОТОВ_ИЗМЕНЕН</v>
      </c>
      <c r="M891" s="7">
        <f t="shared" si="55"/>
        <v>0</v>
      </c>
    </row>
    <row r="892" spans="1:13" x14ac:dyDescent="0.25">
      <c r="A892" s="1">
        <v>946288</v>
      </c>
      <c r="B892" s="6" t="s">
        <v>988</v>
      </c>
      <c r="F892" s="6" t="s">
        <v>9</v>
      </c>
      <c r="G892" s="6" t="s">
        <v>139</v>
      </c>
      <c r="H892" s="9" t="s">
        <v>140</v>
      </c>
      <c r="I892" s="7" t="str">
        <f t="shared" si="52"/>
        <v>61001999000</v>
      </c>
      <c r="J892" s="7" t="str">
        <f t="shared" si="53"/>
        <v>Материал по ЕГРН</v>
      </c>
      <c r="K892" s="7">
        <f>VLOOKUP(J892,Лист2!A$2:B$4,2,FALSE)</f>
        <v>792</v>
      </c>
      <c r="L892" s="7" t="str">
        <f t="shared" si="54"/>
        <v>ГОТОВ_ИЗМЕНЕН</v>
      </c>
      <c r="M892" s="7">
        <f t="shared" si="55"/>
        <v>0</v>
      </c>
    </row>
    <row r="893" spans="1:13" x14ac:dyDescent="0.25">
      <c r="A893" s="1">
        <v>946300</v>
      </c>
      <c r="B893" s="6" t="s">
        <v>989</v>
      </c>
      <c r="F893" s="6" t="s">
        <v>9</v>
      </c>
      <c r="G893" s="6" t="s">
        <v>38</v>
      </c>
      <c r="H893" s="9" t="s">
        <v>33</v>
      </c>
      <c r="I893" s="7" t="str">
        <f t="shared" si="52"/>
        <v>61001005000</v>
      </c>
      <c r="J893" s="7" t="str">
        <f t="shared" si="53"/>
        <v>Материал по ЕГРН</v>
      </c>
      <c r="K893" s="7">
        <f>VLOOKUP(J893,Лист2!A$2:B$4,2,FALSE)</f>
        <v>792</v>
      </c>
      <c r="L893" s="7" t="str">
        <f t="shared" si="54"/>
        <v>ГОТОВ_ИЗМЕНЕН</v>
      </c>
      <c r="M893" s="7">
        <f t="shared" si="55"/>
        <v>0</v>
      </c>
    </row>
    <row r="894" spans="1:13" x14ac:dyDescent="0.25">
      <c r="A894" s="1">
        <v>946312</v>
      </c>
      <c r="B894" s="6" t="s">
        <v>990</v>
      </c>
      <c r="F894" s="6" t="s">
        <v>9</v>
      </c>
      <c r="G894" s="6" t="s">
        <v>38</v>
      </c>
      <c r="H894" s="9" t="s">
        <v>33</v>
      </c>
      <c r="I894" s="7" t="str">
        <f t="shared" si="52"/>
        <v>61001005000</v>
      </c>
      <c r="J894" s="7" t="str">
        <f t="shared" si="53"/>
        <v>Материал по ЕГРН</v>
      </c>
      <c r="K894" s="7">
        <f>VLOOKUP(J894,Лист2!A$2:B$4,2,FALSE)</f>
        <v>792</v>
      </c>
      <c r="L894" s="7" t="str">
        <f t="shared" si="54"/>
        <v>ГОТОВ_ИЗМЕНЕН</v>
      </c>
      <c r="M894" s="7">
        <f t="shared" si="55"/>
        <v>0</v>
      </c>
    </row>
    <row r="895" spans="1:13" x14ac:dyDescent="0.25">
      <c r="A895" s="1">
        <v>946324</v>
      </c>
      <c r="B895" s="6" t="s">
        <v>991</v>
      </c>
      <c r="F895" s="6" t="s">
        <v>9</v>
      </c>
      <c r="G895" s="6" t="s">
        <v>38</v>
      </c>
      <c r="H895" s="9" t="s">
        <v>33</v>
      </c>
      <c r="I895" s="7" t="str">
        <f t="shared" si="52"/>
        <v>61001005000</v>
      </c>
      <c r="J895" s="7" t="str">
        <f t="shared" si="53"/>
        <v>Материал по ЕГРН</v>
      </c>
      <c r="K895" s="7">
        <f>VLOOKUP(J895,Лист2!A$2:B$4,2,FALSE)</f>
        <v>792</v>
      </c>
      <c r="L895" s="7" t="str">
        <f t="shared" si="54"/>
        <v>ГОТОВ_ИЗМЕНЕН</v>
      </c>
      <c r="M895" s="7">
        <f t="shared" si="55"/>
        <v>0</v>
      </c>
    </row>
    <row r="896" spans="1:13" x14ac:dyDescent="0.25">
      <c r="A896" s="1">
        <v>946336</v>
      </c>
      <c r="B896" s="6" t="s">
        <v>992</v>
      </c>
      <c r="F896" s="6" t="s">
        <v>9</v>
      </c>
      <c r="G896" s="6" t="s">
        <v>34</v>
      </c>
      <c r="H896" s="9" t="s">
        <v>35</v>
      </c>
      <c r="I896" s="7" t="str">
        <f t="shared" si="52"/>
        <v>61001002000</v>
      </c>
      <c r="J896" s="7" t="str">
        <f t="shared" si="53"/>
        <v>Материал по ЕГРН</v>
      </c>
      <c r="K896" s="7">
        <f>VLOOKUP(J896,Лист2!A$2:B$4,2,FALSE)</f>
        <v>792</v>
      </c>
      <c r="L896" s="7" t="str">
        <f t="shared" si="54"/>
        <v>ГОТОВ_ИЗМЕНЕН</v>
      </c>
      <c r="M896" s="7">
        <f t="shared" si="55"/>
        <v>0</v>
      </c>
    </row>
    <row r="897" spans="1:13" x14ac:dyDescent="0.25">
      <c r="A897" s="1">
        <v>946348</v>
      </c>
      <c r="B897" s="6" t="s">
        <v>993</v>
      </c>
      <c r="F897" s="6" t="s">
        <v>9</v>
      </c>
      <c r="G897" s="6" t="s">
        <v>38</v>
      </c>
      <c r="H897" s="9" t="s">
        <v>33</v>
      </c>
      <c r="I897" s="7" t="str">
        <f t="shared" si="52"/>
        <v>61001005000</v>
      </c>
      <c r="J897" s="7" t="str">
        <f t="shared" si="53"/>
        <v>Материал по ЕГРН</v>
      </c>
      <c r="K897" s="7">
        <f>VLOOKUP(J897,Лист2!A$2:B$4,2,FALSE)</f>
        <v>792</v>
      </c>
      <c r="L897" s="7" t="str">
        <f t="shared" si="54"/>
        <v>ГОТОВ_ИЗМЕНЕН</v>
      </c>
      <c r="M897" s="7">
        <f t="shared" si="55"/>
        <v>0</v>
      </c>
    </row>
    <row r="898" spans="1:13" x14ac:dyDescent="0.25">
      <c r="A898" s="1">
        <v>946360</v>
      </c>
      <c r="B898" s="6" t="s">
        <v>994</v>
      </c>
      <c r="F898" s="6" t="s">
        <v>9</v>
      </c>
      <c r="G898" s="6" t="s">
        <v>34</v>
      </c>
      <c r="H898" s="9" t="s">
        <v>35</v>
      </c>
      <c r="I898" s="7" t="str">
        <f t="shared" si="52"/>
        <v>61001002000</v>
      </c>
      <c r="J898" s="7" t="str">
        <f t="shared" si="53"/>
        <v>Материал по ЕГРН</v>
      </c>
      <c r="K898" s="7">
        <f>VLOOKUP(J898,Лист2!A$2:B$4,2,FALSE)</f>
        <v>792</v>
      </c>
      <c r="L898" s="7" t="str">
        <f t="shared" si="54"/>
        <v>ГОТОВ_ИЗМЕНЕН</v>
      </c>
      <c r="M898" s="7">
        <f t="shared" si="55"/>
        <v>0</v>
      </c>
    </row>
    <row r="899" spans="1:13" x14ac:dyDescent="0.25">
      <c r="A899" s="1">
        <v>946372</v>
      </c>
      <c r="B899" s="6" t="s">
        <v>995</v>
      </c>
      <c r="F899" s="6" t="s">
        <v>9</v>
      </c>
      <c r="G899" s="6" t="s">
        <v>34</v>
      </c>
      <c r="H899" s="9" t="s">
        <v>35</v>
      </c>
      <c r="I899" s="7" t="str">
        <f t="shared" si="52"/>
        <v>61001002000</v>
      </c>
      <c r="J899" s="7" t="str">
        <f t="shared" si="53"/>
        <v>Материал по ЕГРН</v>
      </c>
      <c r="K899" s="7">
        <f>VLOOKUP(J899,Лист2!A$2:B$4,2,FALSE)</f>
        <v>792</v>
      </c>
      <c r="L899" s="7" t="str">
        <f t="shared" si="54"/>
        <v>ГОТОВ_ИЗМЕНЕН</v>
      </c>
      <c r="M899" s="7">
        <f t="shared" si="55"/>
        <v>0</v>
      </c>
    </row>
    <row r="900" spans="1:13" x14ac:dyDescent="0.25">
      <c r="A900" s="1">
        <v>946384</v>
      </c>
      <c r="B900" s="6" t="s">
        <v>996</v>
      </c>
      <c r="F900" s="6" t="s">
        <v>9</v>
      </c>
      <c r="G900" s="6" t="s">
        <v>149</v>
      </c>
      <c r="H900" s="9" t="s">
        <v>150</v>
      </c>
      <c r="I900" s="7" t="str">
        <f t="shared" si="52"/>
        <v>61001007000</v>
      </c>
      <c r="J900" s="7" t="str">
        <f t="shared" si="53"/>
        <v>Материал по ЕГРН</v>
      </c>
      <c r="K900" s="7">
        <f>VLOOKUP(J900,Лист2!A$2:B$4,2,FALSE)</f>
        <v>792</v>
      </c>
      <c r="L900" s="7" t="str">
        <f t="shared" si="54"/>
        <v>ГОТОВ_ИЗМЕНЕН</v>
      </c>
      <c r="M900" s="7">
        <f t="shared" si="55"/>
        <v>0</v>
      </c>
    </row>
    <row r="901" spans="1:13" x14ac:dyDescent="0.25">
      <c r="A901" s="1">
        <v>946396</v>
      </c>
      <c r="B901" s="6" t="s">
        <v>997</v>
      </c>
      <c r="F901" s="6" t="s">
        <v>9</v>
      </c>
      <c r="G901" s="6" t="s">
        <v>34</v>
      </c>
      <c r="H901" s="9" t="s">
        <v>35</v>
      </c>
      <c r="I901" s="7" t="str">
        <f t="shared" ref="I901:I964" si="56">IF(LEN(H901)=11,H901,IF(LEN(H901)=0,"61001005000","61001003000"))</f>
        <v>61001002000</v>
      </c>
      <c r="J901" s="7" t="str">
        <f t="shared" ref="J901:J964" si="57">IF(LEN(H901)=11,"Материал по ЕГРН",IF(LEN(H901)=0,"Прочие по допущению","Смешанные по допущению"))</f>
        <v>Материал по ЕГРН</v>
      </c>
      <c r="K901" s="7">
        <f>VLOOKUP(J901,Лист2!A$2:B$4,2,FALSE)</f>
        <v>792</v>
      </c>
      <c r="L901" s="7" t="str">
        <f t="shared" ref="L901:L964" si="58">IF(I901=C901,"ГОТОВ","ГОТОВ_ИЗМЕНЕН")</f>
        <v>ГОТОВ_ИЗМЕНЕН</v>
      </c>
      <c r="M901" s="7">
        <f t="shared" ref="M901:M964" si="59">C901</f>
        <v>0</v>
      </c>
    </row>
    <row r="902" spans="1:13" x14ac:dyDescent="0.25">
      <c r="A902" s="1">
        <v>385237</v>
      </c>
      <c r="B902" s="6" t="s">
        <v>998</v>
      </c>
      <c r="C902" s="9" t="s">
        <v>60</v>
      </c>
      <c r="D902" s="6" t="s">
        <v>20</v>
      </c>
      <c r="E902" s="6" t="s">
        <v>37</v>
      </c>
      <c r="F902" s="6" t="s">
        <v>9</v>
      </c>
      <c r="G902" s="6" t="s">
        <v>59</v>
      </c>
      <c r="H902" s="9" t="s">
        <v>60</v>
      </c>
      <c r="I902" s="7" t="str">
        <f t="shared" si="56"/>
        <v>61001001001</v>
      </c>
      <c r="J902" s="7" t="str">
        <f t="shared" si="57"/>
        <v>Материал по ЕГРН</v>
      </c>
      <c r="K902" s="7">
        <f>VLOOKUP(J902,Лист2!A$2:B$4,2,FALSE)</f>
        <v>792</v>
      </c>
      <c r="L902" s="7" t="str">
        <f t="shared" si="58"/>
        <v>ГОТОВ</v>
      </c>
      <c r="M902" s="7" t="str">
        <f t="shared" si="59"/>
        <v>61001001001</v>
      </c>
    </row>
    <row r="903" spans="1:13" x14ac:dyDescent="0.25">
      <c r="A903" s="1">
        <v>543901</v>
      </c>
      <c r="B903" s="6" t="s">
        <v>999</v>
      </c>
      <c r="C903" s="9" t="s">
        <v>42</v>
      </c>
      <c r="D903" s="6" t="s">
        <v>20</v>
      </c>
      <c r="E903" s="6" t="s">
        <v>37</v>
      </c>
      <c r="F903" s="6" t="s">
        <v>9</v>
      </c>
      <c r="G903" s="6" t="s">
        <v>43</v>
      </c>
      <c r="H903" s="9" t="s">
        <v>42</v>
      </c>
      <c r="I903" s="7" t="str">
        <f t="shared" si="56"/>
        <v>61001002001</v>
      </c>
      <c r="J903" s="7" t="str">
        <f t="shared" si="57"/>
        <v>Материал по ЕГРН</v>
      </c>
      <c r="K903" s="7">
        <f>VLOOKUP(J903,Лист2!A$2:B$4,2,FALSE)</f>
        <v>792</v>
      </c>
      <c r="L903" s="7" t="str">
        <f t="shared" si="58"/>
        <v>ГОТОВ</v>
      </c>
      <c r="M903" s="7" t="str">
        <f t="shared" si="59"/>
        <v>61001002001</v>
      </c>
    </row>
    <row r="904" spans="1:13" x14ac:dyDescent="0.25">
      <c r="A904" s="1">
        <v>922588</v>
      </c>
      <c r="B904" s="6" t="s">
        <v>1000</v>
      </c>
      <c r="C904" s="9" t="s">
        <v>35</v>
      </c>
      <c r="D904" s="6" t="s">
        <v>14</v>
      </c>
      <c r="E904" s="6" t="s">
        <v>37</v>
      </c>
      <c r="F904" s="6" t="s">
        <v>9</v>
      </c>
      <c r="G904" s="6" t="s">
        <v>34</v>
      </c>
      <c r="H904" s="9" t="s">
        <v>35</v>
      </c>
      <c r="I904" s="7" t="str">
        <f t="shared" si="56"/>
        <v>61001002000</v>
      </c>
      <c r="J904" s="7" t="str">
        <f t="shared" si="57"/>
        <v>Материал по ЕГРН</v>
      </c>
      <c r="K904" s="7">
        <f>VLOOKUP(J904,Лист2!A$2:B$4,2,FALSE)</f>
        <v>792</v>
      </c>
      <c r="L904" s="7" t="str">
        <f t="shared" si="58"/>
        <v>ГОТОВ</v>
      </c>
      <c r="M904" s="7" t="str">
        <f t="shared" si="59"/>
        <v>61001002000</v>
      </c>
    </row>
    <row r="905" spans="1:13" x14ac:dyDescent="0.25">
      <c r="A905" s="1">
        <v>944920</v>
      </c>
      <c r="B905" s="6" t="s">
        <v>1001</v>
      </c>
      <c r="F905" s="6" t="s">
        <v>9</v>
      </c>
      <c r="G905" s="6" t="s">
        <v>629</v>
      </c>
      <c r="H905" s="9" t="s">
        <v>630</v>
      </c>
      <c r="I905" s="7" t="str">
        <f t="shared" si="56"/>
        <v>61001003000</v>
      </c>
      <c r="J905" s="7" t="str">
        <f t="shared" si="57"/>
        <v>Смешанные по допущению</v>
      </c>
      <c r="K905" s="7">
        <f>VLOOKUP(J905,Лист2!A$2:B$4,2,FALSE)</f>
        <v>793</v>
      </c>
      <c r="L905" s="7" t="str">
        <f t="shared" si="58"/>
        <v>ГОТОВ_ИЗМЕНЕН</v>
      </c>
      <c r="M905" s="7">
        <f t="shared" si="59"/>
        <v>0</v>
      </c>
    </row>
    <row r="906" spans="1:13" x14ac:dyDescent="0.25">
      <c r="A906" s="1">
        <v>944932</v>
      </c>
      <c r="B906" s="6" t="s">
        <v>1002</v>
      </c>
      <c r="F906" s="6" t="s">
        <v>9</v>
      </c>
      <c r="G906" s="6" t="s">
        <v>38</v>
      </c>
      <c r="H906" s="9" t="s">
        <v>33</v>
      </c>
      <c r="I906" s="7" t="str">
        <f t="shared" si="56"/>
        <v>61001005000</v>
      </c>
      <c r="J906" s="7" t="str">
        <f t="shared" si="57"/>
        <v>Материал по ЕГРН</v>
      </c>
      <c r="K906" s="7">
        <f>VLOOKUP(J906,Лист2!A$2:B$4,2,FALSE)</f>
        <v>792</v>
      </c>
      <c r="L906" s="7" t="str">
        <f t="shared" si="58"/>
        <v>ГОТОВ_ИЗМЕНЕН</v>
      </c>
      <c r="M906" s="7">
        <f t="shared" si="59"/>
        <v>0</v>
      </c>
    </row>
    <row r="907" spans="1:13" x14ac:dyDescent="0.25">
      <c r="A907" s="1">
        <v>944944</v>
      </c>
      <c r="B907" s="6" t="s">
        <v>1003</v>
      </c>
      <c r="F907" s="6" t="s">
        <v>9</v>
      </c>
      <c r="G907" s="6" t="s">
        <v>34</v>
      </c>
      <c r="H907" s="9" t="s">
        <v>35</v>
      </c>
      <c r="I907" s="7" t="str">
        <f t="shared" si="56"/>
        <v>61001002000</v>
      </c>
      <c r="J907" s="7" t="str">
        <f t="shared" si="57"/>
        <v>Материал по ЕГРН</v>
      </c>
      <c r="K907" s="7">
        <f>VLOOKUP(J907,Лист2!A$2:B$4,2,FALSE)</f>
        <v>792</v>
      </c>
      <c r="L907" s="7" t="str">
        <f t="shared" si="58"/>
        <v>ГОТОВ_ИЗМЕНЕН</v>
      </c>
      <c r="M907" s="7">
        <f t="shared" si="59"/>
        <v>0</v>
      </c>
    </row>
    <row r="908" spans="1:13" x14ac:dyDescent="0.25">
      <c r="A908" s="1">
        <v>944956</v>
      </c>
      <c r="B908" s="6" t="s">
        <v>1004</v>
      </c>
      <c r="F908" s="6" t="s">
        <v>9</v>
      </c>
      <c r="G908" s="6" t="s">
        <v>38</v>
      </c>
      <c r="H908" s="9" t="s">
        <v>33</v>
      </c>
      <c r="I908" s="7" t="str">
        <f t="shared" si="56"/>
        <v>61001005000</v>
      </c>
      <c r="J908" s="7" t="str">
        <f t="shared" si="57"/>
        <v>Материал по ЕГРН</v>
      </c>
      <c r="K908" s="7">
        <f>VLOOKUP(J908,Лист2!A$2:B$4,2,FALSE)</f>
        <v>792</v>
      </c>
      <c r="L908" s="7" t="str">
        <f t="shared" si="58"/>
        <v>ГОТОВ_ИЗМЕНЕН</v>
      </c>
      <c r="M908" s="7">
        <f t="shared" si="59"/>
        <v>0</v>
      </c>
    </row>
    <row r="909" spans="1:13" x14ac:dyDescent="0.25">
      <c r="A909" s="1">
        <v>944968</v>
      </c>
      <c r="B909" s="6" t="s">
        <v>1005</v>
      </c>
      <c r="F909" s="6" t="s">
        <v>9</v>
      </c>
      <c r="G909" s="6" t="s">
        <v>125</v>
      </c>
      <c r="H909" s="9" t="s">
        <v>126</v>
      </c>
      <c r="I909" s="7" t="str">
        <f t="shared" si="56"/>
        <v>61001007004</v>
      </c>
      <c r="J909" s="7" t="str">
        <f t="shared" si="57"/>
        <v>Материал по ЕГРН</v>
      </c>
      <c r="K909" s="7">
        <f>VLOOKUP(J909,Лист2!A$2:B$4,2,FALSE)</f>
        <v>792</v>
      </c>
      <c r="L909" s="7" t="str">
        <f t="shared" si="58"/>
        <v>ГОТОВ_ИЗМЕНЕН</v>
      </c>
      <c r="M909" s="7">
        <f t="shared" si="59"/>
        <v>0</v>
      </c>
    </row>
    <row r="910" spans="1:13" x14ac:dyDescent="0.25">
      <c r="A910" s="1">
        <v>944980</v>
      </c>
      <c r="B910" s="6" t="s">
        <v>1006</v>
      </c>
      <c r="F910" s="6" t="s">
        <v>9</v>
      </c>
      <c r="G910" s="6" t="s">
        <v>38</v>
      </c>
      <c r="H910" s="9" t="s">
        <v>33</v>
      </c>
      <c r="I910" s="7" t="str">
        <f t="shared" si="56"/>
        <v>61001005000</v>
      </c>
      <c r="J910" s="7" t="str">
        <f t="shared" si="57"/>
        <v>Материал по ЕГРН</v>
      </c>
      <c r="K910" s="7">
        <f>VLOOKUP(J910,Лист2!A$2:B$4,2,FALSE)</f>
        <v>792</v>
      </c>
      <c r="L910" s="7" t="str">
        <f t="shared" si="58"/>
        <v>ГОТОВ_ИЗМЕНЕН</v>
      </c>
      <c r="M910" s="7">
        <f t="shared" si="59"/>
        <v>0</v>
      </c>
    </row>
    <row r="911" spans="1:13" x14ac:dyDescent="0.25">
      <c r="A911" s="1">
        <v>944992</v>
      </c>
      <c r="B911" s="6" t="s">
        <v>1007</v>
      </c>
      <c r="F911" s="6" t="s">
        <v>9</v>
      </c>
      <c r="G911" s="6" t="s">
        <v>146</v>
      </c>
      <c r="H911" s="9" t="s">
        <v>147</v>
      </c>
      <c r="I911" s="7" t="str">
        <f t="shared" si="56"/>
        <v>61001000000</v>
      </c>
      <c r="J911" s="7" t="str">
        <f t="shared" si="57"/>
        <v>Материал по ЕГРН</v>
      </c>
      <c r="K911" s="7">
        <f>VLOOKUP(J911,Лист2!A$2:B$4,2,FALSE)</f>
        <v>792</v>
      </c>
      <c r="L911" s="7" t="str">
        <f t="shared" si="58"/>
        <v>ГОТОВ_ИЗМЕНЕН</v>
      </c>
      <c r="M911" s="7">
        <f t="shared" si="59"/>
        <v>0</v>
      </c>
    </row>
    <row r="912" spans="1:13" x14ac:dyDescent="0.25">
      <c r="A912" s="1">
        <v>945004</v>
      </c>
      <c r="B912" s="6" t="s">
        <v>1008</v>
      </c>
      <c r="F912" s="6" t="s">
        <v>9</v>
      </c>
      <c r="G912" s="6" t="s">
        <v>62</v>
      </c>
      <c r="H912" s="9" t="s">
        <v>63</v>
      </c>
      <c r="I912" s="7" t="str">
        <f t="shared" si="56"/>
        <v>61001006002</v>
      </c>
      <c r="J912" s="7" t="str">
        <f t="shared" si="57"/>
        <v>Материал по ЕГРН</v>
      </c>
      <c r="K912" s="7">
        <f>VLOOKUP(J912,Лист2!A$2:B$4,2,FALSE)</f>
        <v>792</v>
      </c>
      <c r="L912" s="7" t="str">
        <f t="shared" si="58"/>
        <v>ГОТОВ_ИЗМЕНЕН</v>
      </c>
      <c r="M912" s="7">
        <f t="shared" si="59"/>
        <v>0</v>
      </c>
    </row>
    <row r="913" spans="1:13" x14ac:dyDescent="0.25">
      <c r="A913" s="1">
        <v>945016</v>
      </c>
      <c r="B913" s="6" t="s">
        <v>1009</v>
      </c>
      <c r="F913" s="6" t="s">
        <v>9</v>
      </c>
      <c r="G913" s="6" t="s">
        <v>34</v>
      </c>
      <c r="H913" s="9" t="s">
        <v>35</v>
      </c>
      <c r="I913" s="7" t="str">
        <f t="shared" si="56"/>
        <v>61001002000</v>
      </c>
      <c r="J913" s="7" t="str">
        <f t="shared" si="57"/>
        <v>Материал по ЕГРН</v>
      </c>
      <c r="K913" s="7">
        <f>VLOOKUP(J913,Лист2!A$2:B$4,2,FALSE)</f>
        <v>792</v>
      </c>
      <c r="L913" s="7" t="str">
        <f t="shared" si="58"/>
        <v>ГОТОВ_ИЗМЕНЕН</v>
      </c>
      <c r="M913" s="7">
        <f t="shared" si="59"/>
        <v>0</v>
      </c>
    </row>
    <row r="914" spans="1:13" x14ac:dyDescent="0.25">
      <c r="A914" s="1">
        <v>945028</v>
      </c>
      <c r="B914" s="6" t="s">
        <v>1010</v>
      </c>
      <c r="F914" s="6" t="s">
        <v>9</v>
      </c>
      <c r="G914" s="6" t="s">
        <v>62</v>
      </c>
      <c r="H914" s="9" t="s">
        <v>63</v>
      </c>
      <c r="I914" s="7" t="str">
        <f t="shared" si="56"/>
        <v>61001006002</v>
      </c>
      <c r="J914" s="7" t="str">
        <f t="shared" si="57"/>
        <v>Материал по ЕГРН</v>
      </c>
      <c r="K914" s="7">
        <f>VLOOKUP(J914,Лист2!A$2:B$4,2,FALSE)</f>
        <v>792</v>
      </c>
      <c r="L914" s="7" t="str">
        <f t="shared" si="58"/>
        <v>ГОТОВ_ИЗМЕНЕН</v>
      </c>
      <c r="M914" s="7">
        <f t="shared" si="59"/>
        <v>0</v>
      </c>
    </row>
    <row r="915" spans="1:13" x14ac:dyDescent="0.25">
      <c r="A915" s="1">
        <v>945040</v>
      </c>
      <c r="B915" s="6" t="s">
        <v>1011</v>
      </c>
      <c r="F915" s="6" t="s">
        <v>9</v>
      </c>
      <c r="G915" s="6" t="s">
        <v>38</v>
      </c>
      <c r="H915" s="9" t="s">
        <v>33</v>
      </c>
      <c r="I915" s="7" t="str">
        <f t="shared" si="56"/>
        <v>61001005000</v>
      </c>
      <c r="J915" s="7" t="str">
        <f t="shared" si="57"/>
        <v>Материал по ЕГРН</v>
      </c>
      <c r="K915" s="7">
        <f>VLOOKUP(J915,Лист2!A$2:B$4,2,FALSE)</f>
        <v>792</v>
      </c>
      <c r="L915" s="7" t="str">
        <f t="shared" si="58"/>
        <v>ГОТОВ_ИЗМЕНЕН</v>
      </c>
      <c r="M915" s="7">
        <f t="shared" si="59"/>
        <v>0</v>
      </c>
    </row>
    <row r="916" spans="1:13" x14ac:dyDescent="0.25">
      <c r="A916" s="1">
        <v>945052</v>
      </c>
      <c r="B916" s="6" t="s">
        <v>1012</v>
      </c>
      <c r="F916" s="6" t="s">
        <v>9</v>
      </c>
      <c r="G916" s="6" t="s">
        <v>34</v>
      </c>
      <c r="H916" s="9" t="s">
        <v>35</v>
      </c>
      <c r="I916" s="7" t="str">
        <f t="shared" si="56"/>
        <v>61001002000</v>
      </c>
      <c r="J916" s="7" t="str">
        <f t="shared" si="57"/>
        <v>Материал по ЕГРН</v>
      </c>
      <c r="K916" s="7">
        <f>VLOOKUP(J916,Лист2!A$2:B$4,2,FALSE)</f>
        <v>792</v>
      </c>
      <c r="L916" s="7" t="str">
        <f t="shared" si="58"/>
        <v>ГОТОВ_ИЗМЕНЕН</v>
      </c>
      <c r="M916" s="7">
        <f t="shared" si="59"/>
        <v>0</v>
      </c>
    </row>
    <row r="917" spans="1:13" x14ac:dyDescent="0.25">
      <c r="A917" s="1">
        <v>945064</v>
      </c>
      <c r="B917" s="6" t="s">
        <v>1013</v>
      </c>
      <c r="F917" s="6" t="s">
        <v>9</v>
      </c>
      <c r="G917" s="6" t="s">
        <v>59</v>
      </c>
      <c r="H917" s="9" t="s">
        <v>60</v>
      </c>
      <c r="I917" s="7" t="str">
        <f t="shared" si="56"/>
        <v>61001001001</v>
      </c>
      <c r="J917" s="7" t="str">
        <f t="shared" si="57"/>
        <v>Материал по ЕГРН</v>
      </c>
      <c r="K917" s="7">
        <f>VLOOKUP(J917,Лист2!A$2:B$4,2,FALSE)</f>
        <v>792</v>
      </c>
      <c r="L917" s="7" t="str">
        <f t="shared" si="58"/>
        <v>ГОТОВ_ИЗМЕНЕН</v>
      </c>
      <c r="M917" s="7">
        <f t="shared" si="59"/>
        <v>0</v>
      </c>
    </row>
    <row r="918" spans="1:13" x14ac:dyDescent="0.25">
      <c r="A918" s="1">
        <v>945076</v>
      </c>
      <c r="B918" s="6" t="s">
        <v>1014</v>
      </c>
      <c r="F918" s="6" t="s">
        <v>9</v>
      </c>
      <c r="G918" s="6" t="s">
        <v>34</v>
      </c>
      <c r="H918" s="9" t="s">
        <v>35</v>
      </c>
      <c r="I918" s="7" t="str">
        <f t="shared" si="56"/>
        <v>61001002000</v>
      </c>
      <c r="J918" s="7" t="str">
        <f t="shared" si="57"/>
        <v>Материал по ЕГРН</v>
      </c>
      <c r="K918" s="7">
        <f>VLOOKUP(J918,Лист2!A$2:B$4,2,FALSE)</f>
        <v>792</v>
      </c>
      <c r="L918" s="7" t="str">
        <f t="shared" si="58"/>
        <v>ГОТОВ_ИЗМЕНЕН</v>
      </c>
      <c r="M918" s="7">
        <f t="shared" si="59"/>
        <v>0</v>
      </c>
    </row>
    <row r="919" spans="1:13" x14ac:dyDescent="0.25">
      <c r="A919" s="1">
        <v>945088</v>
      </c>
      <c r="B919" s="6" t="s">
        <v>1015</v>
      </c>
      <c r="F919" s="6" t="s">
        <v>9</v>
      </c>
      <c r="G919" s="6" t="s">
        <v>65</v>
      </c>
      <c r="H919" s="9" t="s">
        <v>66</v>
      </c>
      <c r="I919" s="7" t="str">
        <f t="shared" si="56"/>
        <v>61001002003</v>
      </c>
      <c r="J919" s="7" t="str">
        <f t="shared" si="57"/>
        <v>Материал по ЕГРН</v>
      </c>
      <c r="K919" s="7">
        <f>VLOOKUP(J919,Лист2!A$2:B$4,2,FALSE)</f>
        <v>792</v>
      </c>
      <c r="L919" s="7" t="str">
        <f t="shared" si="58"/>
        <v>ГОТОВ_ИЗМЕНЕН</v>
      </c>
      <c r="M919" s="7">
        <f t="shared" si="59"/>
        <v>0</v>
      </c>
    </row>
    <row r="920" spans="1:13" x14ac:dyDescent="0.25">
      <c r="A920" s="1">
        <v>945100</v>
      </c>
      <c r="B920" s="6" t="s">
        <v>1016</v>
      </c>
      <c r="F920" s="6" t="s">
        <v>9</v>
      </c>
      <c r="G920" s="6" t="s">
        <v>90</v>
      </c>
      <c r="H920" s="9" t="s">
        <v>12</v>
      </c>
      <c r="I920" s="7" t="str">
        <f t="shared" si="56"/>
        <v>61001008000</v>
      </c>
      <c r="J920" s="7" t="str">
        <f t="shared" si="57"/>
        <v>Материал по ЕГРН</v>
      </c>
      <c r="K920" s="7">
        <f>VLOOKUP(J920,Лист2!A$2:B$4,2,FALSE)</f>
        <v>792</v>
      </c>
      <c r="L920" s="7" t="str">
        <f t="shared" si="58"/>
        <v>ГОТОВ_ИЗМЕНЕН</v>
      </c>
      <c r="M920" s="7">
        <f t="shared" si="59"/>
        <v>0</v>
      </c>
    </row>
    <row r="921" spans="1:13" x14ac:dyDescent="0.25">
      <c r="A921" s="1">
        <v>945112</v>
      </c>
      <c r="B921" s="6" t="s">
        <v>1017</v>
      </c>
      <c r="F921" s="6" t="s">
        <v>9</v>
      </c>
      <c r="G921" s="6" t="s">
        <v>59</v>
      </c>
      <c r="H921" s="9" t="s">
        <v>60</v>
      </c>
      <c r="I921" s="7" t="str">
        <f t="shared" si="56"/>
        <v>61001001001</v>
      </c>
      <c r="J921" s="7" t="str">
        <f t="shared" si="57"/>
        <v>Материал по ЕГРН</v>
      </c>
      <c r="K921" s="7">
        <f>VLOOKUP(J921,Лист2!A$2:B$4,2,FALSE)</f>
        <v>792</v>
      </c>
      <c r="L921" s="7" t="str">
        <f t="shared" si="58"/>
        <v>ГОТОВ_ИЗМЕНЕН</v>
      </c>
      <c r="M921" s="7">
        <f t="shared" si="59"/>
        <v>0</v>
      </c>
    </row>
    <row r="922" spans="1:13" x14ac:dyDescent="0.25">
      <c r="A922" s="1">
        <v>945124</v>
      </c>
      <c r="B922" s="6" t="s">
        <v>1018</v>
      </c>
      <c r="F922" s="6" t="s">
        <v>9</v>
      </c>
      <c r="G922" s="6" t="s">
        <v>62</v>
      </c>
      <c r="H922" s="9" t="s">
        <v>63</v>
      </c>
      <c r="I922" s="7" t="str">
        <f t="shared" si="56"/>
        <v>61001006002</v>
      </c>
      <c r="J922" s="7" t="str">
        <f t="shared" si="57"/>
        <v>Материал по ЕГРН</v>
      </c>
      <c r="K922" s="7">
        <f>VLOOKUP(J922,Лист2!A$2:B$4,2,FALSE)</f>
        <v>792</v>
      </c>
      <c r="L922" s="7" t="str">
        <f t="shared" si="58"/>
        <v>ГОТОВ_ИЗМЕНЕН</v>
      </c>
      <c r="M922" s="7">
        <f t="shared" si="59"/>
        <v>0</v>
      </c>
    </row>
    <row r="923" spans="1:13" x14ac:dyDescent="0.25">
      <c r="A923" s="1">
        <v>945136</v>
      </c>
      <c r="B923" s="6" t="s">
        <v>1019</v>
      </c>
      <c r="F923" s="6" t="s">
        <v>9</v>
      </c>
      <c r="G923" s="6" t="s">
        <v>38</v>
      </c>
      <c r="H923" s="9" t="s">
        <v>33</v>
      </c>
      <c r="I923" s="7" t="str">
        <f t="shared" si="56"/>
        <v>61001005000</v>
      </c>
      <c r="J923" s="7" t="str">
        <f t="shared" si="57"/>
        <v>Материал по ЕГРН</v>
      </c>
      <c r="K923" s="7">
        <f>VLOOKUP(J923,Лист2!A$2:B$4,2,FALSE)</f>
        <v>792</v>
      </c>
      <c r="L923" s="7" t="str">
        <f t="shared" si="58"/>
        <v>ГОТОВ_ИЗМЕНЕН</v>
      </c>
      <c r="M923" s="7">
        <f t="shared" si="59"/>
        <v>0</v>
      </c>
    </row>
    <row r="924" spans="1:13" x14ac:dyDescent="0.25">
      <c r="A924" s="1">
        <v>945148</v>
      </c>
      <c r="B924" s="6" t="s">
        <v>1020</v>
      </c>
      <c r="F924" s="6" t="s">
        <v>9</v>
      </c>
      <c r="G924" s="6" t="s">
        <v>38</v>
      </c>
      <c r="H924" s="9" t="s">
        <v>33</v>
      </c>
      <c r="I924" s="7" t="str">
        <f t="shared" si="56"/>
        <v>61001005000</v>
      </c>
      <c r="J924" s="7" t="str">
        <f t="shared" si="57"/>
        <v>Материал по ЕГРН</v>
      </c>
      <c r="K924" s="7">
        <f>VLOOKUP(J924,Лист2!A$2:B$4,2,FALSE)</f>
        <v>792</v>
      </c>
      <c r="L924" s="7" t="str">
        <f t="shared" si="58"/>
        <v>ГОТОВ_ИЗМЕНЕН</v>
      </c>
      <c r="M924" s="7">
        <f t="shared" si="59"/>
        <v>0</v>
      </c>
    </row>
    <row r="925" spans="1:13" x14ac:dyDescent="0.25">
      <c r="A925" s="1">
        <v>945160</v>
      </c>
      <c r="B925" s="6" t="s">
        <v>1021</v>
      </c>
      <c r="F925" s="6" t="s">
        <v>9</v>
      </c>
      <c r="G925" s="6" t="s">
        <v>59</v>
      </c>
      <c r="H925" s="9" t="s">
        <v>60</v>
      </c>
      <c r="I925" s="7" t="str">
        <f t="shared" si="56"/>
        <v>61001001001</v>
      </c>
      <c r="J925" s="7" t="str">
        <f t="shared" si="57"/>
        <v>Материал по ЕГРН</v>
      </c>
      <c r="K925" s="7">
        <f>VLOOKUP(J925,Лист2!A$2:B$4,2,FALSE)</f>
        <v>792</v>
      </c>
      <c r="L925" s="7" t="str">
        <f t="shared" si="58"/>
        <v>ГОТОВ_ИЗМЕНЕН</v>
      </c>
      <c r="M925" s="7">
        <f t="shared" si="59"/>
        <v>0</v>
      </c>
    </row>
    <row r="926" spans="1:13" x14ac:dyDescent="0.25">
      <c r="A926" s="1">
        <v>945172</v>
      </c>
      <c r="B926" s="6" t="s">
        <v>1022</v>
      </c>
      <c r="F926" s="6" t="s">
        <v>9</v>
      </c>
      <c r="G926" s="6" t="s">
        <v>59</v>
      </c>
      <c r="H926" s="9" t="s">
        <v>60</v>
      </c>
      <c r="I926" s="7" t="str">
        <f t="shared" si="56"/>
        <v>61001001001</v>
      </c>
      <c r="J926" s="7" t="str">
        <f t="shared" si="57"/>
        <v>Материал по ЕГРН</v>
      </c>
      <c r="K926" s="7">
        <f>VLOOKUP(J926,Лист2!A$2:B$4,2,FALSE)</f>
        <v>792</v>
      </c>
      <c r="L926" s="7" t="str">
        <f t="shared" si="58"/>
        <v>ГОТОВ_ИЗМЕНЕН</v>
      </c>
      <c r="M926" s="7">
        <f t="shared" si="59"/>
        <v>0</v>
      </c>
    </row>
    <row r="927" spans="1:13" x14ac:dyDescent="0.25">
      <c r="A927" s="1">
        <v>945184</v>
      </c>
      <c r="B927" s="6" t="s">
        <v>1023</v>
      </c>
      <c r="F927" s="6" t="s">
        <v>9</v>
      </c>
      <c r="G927" s="6" t="s">
        <v>34</v>
      </c>
      <c r="H927" s="9" t="s">
        <v>35</v>
      </c>
      <c r="I927" s="7" t="str">
        <f t="shared" si="56"/>
        <v>61001002000</v>
      </c>
      <c r="J927" s="7" t="str">
        <f t="shared" si="57"/>
        <v>Материал по ЕГРН</v>
      </c>
      <c r="K927" s="7">
        <f>VLOOKUP(J927,Лист2!A$2:B$4,2,FALSE)</f>
        <v>792</v>
      </c>
      <c r="L927" s="7" t="str">
        <f t="shared" si="58"/>
        <v>ГОТОВ_ИЗМЕНЕН</v>
      </c>
      <c r="M927" s="7">
        <f t="shared" si="59"/>
        <v>0</v>
      </c>
    </row>
    <row r="928" spans="1:13" x14ac:dyDescent="0.25">
      <c r="A928" s="1">
        <v>182205</v>
      </c>
      <c r="B928" s="6" t="s">
        <v>1024</v>
      </c>
      <c r="C928" s="9" t="s">
        <v>42</v>
      </c>
      <c r="D928" s="6" t="s">
        <v>20</v>
      </c>
      <c r="E928" s="6" t="s">
        <v>37</v>
      </c>
      <c r="F928" s="6" t="s">
        <v>9</v>
      </c>
      <c r="G928" s="6" t="s">
        <v>43</v>
      </c>
      <c r="H928" s="9" t="s">
        <v>42</v>
      </c>
      <c r="I928" s="7" t="str">
        <f t="shared" si="56"/>
        <v>61001002001</v>
      </c>
      <c r="J928" s="7" t="str">
        <f t="shared" si="57"/>
        <v>Материал по ЕГРН</v>
      </c>
      <c r="K928" s="7">
        <f>VLOOKUP(J928,Лист2!A$2:B$4,2,FALSE)</f>
        <v>792</v>
      </c>
      <c r="L928" s="7" t="str">
        <f t="shared" si="58"/>
        <v>ГОТОВ</v>
      </c>
      <c r="M928" s="7" t="str">
        <f t="shared" si="59"/>
        <v>61001002001</v>
      </c>
    </row>
    <row r="929" spans="1:13" x14ac:dyDescent="0.25">
      <c r="A929" s="1">
        <v>354094</v>
      </c>
      <c r="B929" s="6" t="s">
        <v>1025</v>
      </c>
      <c r="C929" s="9" t="s">
        <v>12</v>
      </c>
      <c r="D929" s="6" t="s">
        <v>20</v>
      </c>
      <c r="E929" s="6" t="s">
        <v>37</v>
      </c>
      <c r="F929" s="6" t="s">
        <v>9</v>
      </c>
      <c r="G929" s="6" t="s">
        <v>90</v>
      </c>
      <c r="H929" s="9" t="s">
        <v>12</v>
      </c>
      <c r="I929" s="7" t="str">
        <f t="shared" si="56"/>
        <v>61001008000</v>
      </c>
      <c r="J929" s="7" t="str">
        <f t="shared" si="57"/>
        <v>Материал по ЕГРН</v>
      </c>
      <c r="K929" s="7">
        <f>VLOOKUP(J929,Лист2!A$2:B$4,2,FALSE)</f>
        <v>792</v>
      </c>
      <c r="L929" s="7" t="str">
        <f t="shared" si="58"/>
        <v>ГОТОВ</v>
      </c>
      <c r="M929" s="7" t="str">
        <f t="shared" si="59"/>
        <v>61001008000</v>
      </c>
    </row>
    <row r="930" spans="1:13" x14ac:dyDescent="0.25">
      <c r="A930" s="1">
        <v>689316</v>
      </c>
      <c r="B930" s="6" t="s">
        <v>1026</v>
      </c>
      <c r="C930" s="9" t="s">
        <v>33</v>
      </c>
      <c r="D930" s="6" t="s">
        <v>20</v>
      </c>
      <c r="E930" s="6" t="s">
        <v>37</v>
      </c>
      <c r="F930" s="6" t="s">
        <v>9</v>
      </c>
      <c r="G930" s="6" t="s">
        <v>38</v>
      </c>
      <c r="H930" s="9" t="s">
        <v>33</v>
      </c>
      <c r="I930" s="7" t="str">
        <f t="shared" si="56"/>
        <v>61001005000</v>
      </c>
      <c r="J930" s="7" t="str">
        <f t="shared" si="57"/>
        <v>Материал по ЕГРН</v>
      </c>
      <c r="K930" s="7">
        <f>VLOOKUP(J930,Лист2!A$2:B$4,2,FALSE)</f>
        <v>792</v>
      </c>
      <c r="L930" s="7" t="str">
        <f t="shared" si="58"/>
        <v>ГОТОВ</v>
      </c>
      <c r="M930" s="7" t="str">
        <f t="shared" si="59"/>
        <v>61001005000</v>
      </c>
    </row>
    <row r="931" spans="1:13" x14ac:dyDescent="0.25">
      <c r="A931" s="1">
        <v>945199</v>
      </c>
      <c r="B931" s="6" t="s">
        <v>1027</v>
      </c>
      <c r="F931" s="6" t="s">
        <v>9</v>
      </c>
      <c r="G931" s="6" t="s">
        <v>38</v>
      </c>
      <c r="H931" s="9" t="s">
        <v>33</v>
      </c>
      <c r="I931" s="7" t="str">
        <f t="shared" si="56"/>
        <v>61001005000</v>
      </c>
      <c r="J931" s="7" t="str">
        <f t="shared" si="57"/>
        <v>Материал по ЕГРН</v>
      </c>
      <c r="K931" s="7">
        <f>VLOOKUP(J931,Лист2!A$2:B$4,2,FALSE)</f>
        <v>792</v>
      </c>
      <c r="L931" s="7" t="str">
        <f t="shared" si="58"/>
        <v>ГОТОВ_ИЗМЕНЕН</v>
      </c>
      <c r="M931" s="7">
        <f t="shared" si="59"/>
        <v>0</v>
      </c>
    </row>
    <row r="932" spans="1:13" x14ac:dyDescent="0.25">
      <c r="A932" s="1">
        <v>945211</v>
      </c>
      <c r="B932" s="6" t="s">
        <v>1028</v>
      </c>
      <c r="F932" s="6" t="s">
        <v>9</v>
      </c>
      <c r="G932" s="6" t="s">
        <v>34</v>
      </c>
      <c r="H932" s="9" t="s">
        <v>35</v>
      </c>
      <c r="I932" s="7" t="str">
        <f t="shared" si="56"/>
        <v>61001002000</v>
      </c>
      <c r="J932" s="7" t="str">
        <f t="shared" si="57"/>
        <v>Материал по ЕГРН</v>
      </c>
      <c r="K932" s="7">
        <f>VLOOKUP(J932,Лист2!A$2:B$4,2,FALSE)</f>
        <v>792</v>
      </c>
      <c r="L932" s="7" t="str">
        <f t="shared" si="58"/>
        <v>ГОТОВ_ИЗМЕНЕН</v>
      </c>
      <c r="M932" s="7">
        <f t="shared" si="59"/>
        <v>0</v>
      </c>
    </row>
    <row r="933" spans="1:13" x14ac:dyDescent="0.25">
      <c r="A933" s="1">
        <v>945223</v>
      </c>
      <c r="B933" s="6" t="s">
        <v>1029</v>
      </c>
      <c r="F933" s="6" t="s">
        <v>9</v>
      </c>
      <c r="G933" s="6" t="s">
        <v>62</v>
      </c>
      <c r="H933" s="9" t="s">
        <v>63</v>
      </c>
      <c r="I933" s="7" t="str">
        <f t="shared" si="56"/>
        <v>61001006002</v>
      </c>
      <c r="J933" s="7" t="str">
        <f t="shared" si="57"/>
        <v>Материал по ЕГРН</v>
      </c>
      <c r="K933" s="7">
        <f>VLOOKUP(J933,Лист2!A$2:B$4,2,FALSE)</f>
        <v>792</v>
      </c>
      <c r="L933" s="7" t="str">
        <f t="shared" si="58"/>
        <v>ГОТОВ_ИЗМЕНЕН</v>
      </c>
      <c r="M933" s="7">
        <f t="shared" si="59"/>
        <v>0</v>
      </c>
    </row>
    <row r="934" spans="1:13" x14ac:dyDescent="0.25">
      <c r="A934" s="1">
        <v>945235</v>
      </c>
      <c r="B934" s="6" t="s">
        <v>1030</v>
      </c>
      <c r="F934" s="6" t="s">
        <v>9</v>
      </c>
      <c r="G934" s="6" t="s">
        <v>38</v>
      </c>
      <c r="H934" s="9" t="s">
        <v>33</v>
      </c>
      <c r="I934" s="7" t="str">
        <f t="shared" si="56"/>
        <v>61001005000</v>
      </c>
      <c r="J934" s="7" t="str">
        <f t="shared" si="57"/>
        <v>Материал по ЕГРН</v>
      </c>
      <c r="K934" s="7">
        <f>VLOOKUP(J934,Лист2!A$2:B$4,2,FALSE)</f>
        <v>792</v>
      </c>
      <c r="L934" s="7" t="str">
        <f t="shared" si="58"/>
        <v>ГОТОВ_ИЗМЕНЕН</v>
      </c>
      <c r="M934" s="7">
        <f t="shared" si="59"/>
        <v>0</v>
      </c>
    </row>
    <row r="935" spans="1:13" x14ac:dyDescent="0.25">
      <c r="A935" s="1">
        <v>945247</v>
      </c>
      <c r="B935" s="6" t="s">
        <v>1031</v>
      </c>
      <c r="F935" s="6" t="s">
        <v>9</v>
      </c>
      <c r="G935" s="6" t="s">
        <v>34</v>
      </c>
      <c r="H935" s="9" t="s">
        <v>35</v>
      </c>
      <c r="I935" s="7" t="str">
        <f t="shared" si="56"/>
        <v>61001002000</v>
      </c>
      <c r="J935" s="7" t="str">
        <f t="shared" si="57"/>
        <v>Материал по ЕГРН</v>
      </c>
      <c r="K935" s="7">
        <f>VLOOKUP(J935,Лист2!A$2:B$4,2,FALSE)</f>
        <v>792</v>
      </c>
      <c r="L935" s="7" t="str">
        <f t="shared" si="58"/>
        <v>ГОТОВ_ИЗМЕНЕН</v>
      </c>
      <c r="M935" s="7">
        <f t="shared" si="59"/>
        <v>0</v>
      </c>
    </row>
    <row r="936" spans="1:13" x14ac:dyDescent="0.25">
      <c r="A936" s="1">
        <v>945259</v>
      </c>
      <c r="B936" s="6" t="s">
        <v>1032</v>
      </c>
      <c r="F936" s="6" t="s">
        <v>9</v>
      </c>
      <c r="G936" s="6" t="s">
        <v>62</v>
      </c>
      <c r="H936" s="9" t="s">
        <v>63</v>
      </c>
      <c r="I936" s="7" t="str">
        <f t="shared" si="56"/>
        <v>61001006002</v>
      </c>
      <c r="J936" s="7" t="str">
        <f t="shared" si="57"/>
        <v>Материал по ЕГРН</v>
      </c>
      <c r="K936" s="7">
        <f>VLOOKUP(J936,Лист2!A$2:B$4,2,FALSE)</f>
        <v>792</v>
      </c>
      <c r="L936" s="7" t="str">
        <f t="shared" si="58"/>
        <v>ГОТОВ_ИЗМЕНЕН</v>
      </c>
      <c r="M936" s="7">
        <f t="shared" si="59"/>
        <v>0</v>
      </c>
    </row>
    <row r="937" spans="1:13" x14ac:dyDescent="0.25">
      <c r="A937" s="1">
        <v>945271</v>
      </c>
      <c r="B937" s="6" t="s">
        <v>1033</v>
      </c>
      <c r="F937" s="6" t="s">
        <v>9</v>
      </c>
      <c r="G937" s="6" t="s">
        <v>43</v>
      </c>
      <c r="H937" s="9" t="s">
        <v>42</v>
      </c>
      <c r="I937" s="7" t="str">
        <f t="shared" si="56"/>
        <v>61001002001</v>
      </c>
      <c r="J937" s="7" t="str">
        <f t="shared" si="57"/>
        <v>Материал по ЕГРН</v>
      </c>
      <c r="K937" s="7">
        <f>VLOOKUP(J937,Лист2!A$2:B$4,2,FALSE)</f>
        <v>792</v>
      </c>
      <c r="L937" s="7" t="str">
        <f t="shared" si="58"/>
        <v>ГОТОВ_ИЗМЕНЕН</v>
      </c>
      <c r="M937" s="7">
        <f t="shared" si="59"/>
        <v>0</v>
      </c>
    </row>
    <row r="938" spans="1:13" x14ac:dyDescent="0.25">
      <c r="A938" s="1">
        <v>945283</v>
      </c>
      <c r="B938" s="6" t="s">
        <v>1034</v>
      </c>
      <c r="F938" s="6" t="s">
        <v>9</v>
      </c>
      <c r="G938" s="6" t="s">
        <v>10</v>
      </c>
      <c r="H938" s="9" t="s">
        <v>11</v>
      </c>
      <c r="I938" s="7" t="str">
        <f t="shared" si="56"/>
        <v>61001003000</v>
      </c>
      <c r="J938" s="7" t="str">
        <f t="shared" si="57"/>
        <v>Материал по ЕГРН</v>
      </c>
      <c r="K938" s="7">
        <f>VLOOKUP(J938,Лист2!A$2:B$4,2,FALSE)</f>
        <v>792</v>
      </c>
      <c r="L938" s="7" t="str">
        <f t="shared" si="58"/>
        <v>ГОТОВ_ИЗМЕНЕН</v>
      </c>
      <c r="M938" s="7">
        <f t="shared" si="59"/>
        <v>0</v>
      </c>
    </row>
    <row r="939" spans="1:13" x14ac:dyDescent="0.25">
      <c r="A939" s="1">
        <v>945295</v>
      </c>
      <c r="B939" s="6" t="s">
        <v>1035</v>
      </c>
      <c r="F939" s="6" t="s">
        <v>9</v>
      </c>
      <c r="G939" s="6" t="s">
        <v>34</v>
      </c>
      <c r="H939" s="9" t="s">
        <v>35</v>
      </c>
      <c r="I939" s="7" t="str">
        <f t="shared" si="56"/>
        <v>61001002000</v>
      </c>
      <c r="J939" s="7" t="str">
        <f t="shared" si="57"/>
        <v>Материал по ЕГРН</v>
      </c>
      <c r="K939" s="7">
        <f>VLOOKUP(J939,Лист2!A$2:B$4,2,FALSE)</f>
        <v>792</v>
      </c>
      <c r="L939" s="7" t="str">
        <f t="shared" si="58"/>
        <v>ГОТОВ_ИЗМЕНЕН</v>
      </c>
      <c r="M939" s="7">
        <f t="shared" si="59"/>
        <v>0</v>
      </c>
    </row>
    <row r="940" spans="1:13" x14ac:dyDescent="0.25">
      <c r="A940" s="1">
        <v>945307</v>
      </c>
      <c r="B940" s="6" t="s">
        <v>1036</v>
      </c>
      <c r="F940" s="6" t="s">
        <v>9</v>
      </c>
      <c r="G940" s="6" t="s">
        <v>90</v>
      </c>
      <c r="H940" s="9" t="s">
        <v>12</v>
      </c>
      <c r="I940" s="7" t="str">
        <f t="shared" si="56"/>
        <v>61001008000</v>
      </c>
      <c r="J940" s="7" t="str">
        <f t="shared" si="57"/>
        <v>Материал по ЕГРН</v>
      </c>
      <c r="K940" s="7">
        <f>VLOOKUP(J940,Лист2!A$2:B$4,2,FALSE)</f>
        <v>792</v>
      </c>
      <c r="L940" s="7" t="str">
        <f t="shared" si="58"/>
        <v>ГОТОВ_ИЗМЕНЕН</v>
      </c>
      <c r="M940" s="7">
        <f t="shared" si="59"/>
        <v>0</v>
      </c>
    </row>
    <row r="941" spans="1:13" x14ac:dyDescent="0.25">
      <c r="A941" s="1">
        <v>945319</v>
      </c>
      <c r="B941" s="6" t="s">
        <v>1037</v>
      </c>
      <c r="F941" s="6" t="s">
        <v>9</v>
      </c>
      <c r="G941" s="6" t="s">
        <v>59</v>
      </c>
      <c r="H941" s="9" t="s">
        <v>60</v>
      </c>
      <c r="I941" s="7" t="str">
        <f t="shared" si="56"/>
        <v>61001001001</v>
      </c>
      <c r="J941" s="7" t="str">
        <f t="shared" si="57"/>
        <v>Материал по ЕГРН</v>
      </c>
      <c r="K941" s="7">
        <f>VLOOKUP(J941,Лист2!A$2:B$4,2,FALSE)</f>
        <v>792</v>
      </c>
      <c r="L941" s="7" t="str">
        <f t="shared" si="58"/>
        <v>ГОТОВ_ИЗМЕНЕН</v>
      </c>
      <c r="M941" s="7">
        <f t="shared" si="59"/>
        <v>0</v>
      </c>
    </row>
    <row r="942" spans="1:13" x14ac:dyDescent="0.25">
      <c r="A942" s="1">
        <v>945331</v>
      </c>
      <c r="B942" s="6" t="s">
        <v>1038</v>
      </c>
      <c r="F942" s="6" t="s">
        <v>9</v>
      </c>
      <c r="G942" s="6" t="s">
        <v>38</v>
      </c>
      <c r="H942" s="9" t="s">
        <v>33</v>
      </c>
      <c r="I942" s="7" t="str">
        <f t="shared" si="56"/>
        <v>61001005000</v>
      </c>
      <c r="J942" s="7" t="str">
        <f t="shared" si="57"/>
        <v>Материал по ЕГРН</v>
      </c>
      <c r="K942" s="7">
        <f>VLOOKUP(J942,Лист2!A$2:B$4,2,FALSE)</f>
        <v>792</v>
      </c>
      <c r="L942" s="7" t="str">
        <f t="shared" si="58"/>
        <v>ГОТОВ_ИЗМЕНЕН</v>
      </c>
      <c r="M942" s="7">
        <f t="shared" si="59"/>
        <v>0</v>
      </c>
    </row>
    <row r="943" spans="1:13" x14ac:dyDescent="0.25">
      <c r="A943" s="1">
        <v>945343</v>
      </c>
      <c r="B943" s="6" t="s">
        <v>1039</v>
      </c>
      <c r="F943" s="6" t="s">
        <v>9</v>
      </c>
      <c r="G943" s="6" t="s">
        <v>43</v>
      </c>
      <c r="H943" s="9" t="s">
        <v>42</v>
      </c>
      <c r="I943" s="7" t="str">
        <f t="shared" si="56"/>
        <v>61001002001</v>
      </c>
      <c r="J943" s="7" t="str">
        <f t="shared" si="57"/>
        <v>Материал по ЕГРН</v>
      </c>
      <c r="K943" s="7">
        <f>VLOOKUP(J943,Лист2!A$2:B$4,2,FALSE)</f>
        <v>792</v>
      </c>
      <c r="L943" s="7" t="str">
        <f t="shared" si="58"/>
        <v>ГОТОВ_ИЗМЕНЕН</v>
      </c>
      <c r="M943" s="7">
        <f t="shared" si="59"/>
        <v>0</v>
      </c>
    </row>
    <row r="944" spans="1:13" x14ac:dyDescent="0.25">
      <c r="A944" s="1">
        <v>945355</v>
      </c>
      <c r="B944" s="6" t="s">
        <v>1040</v>
      </c>
      <c r="F944" s="6" t="s">
        <v>9</v>
      </c>
      <c r="G944" s="6" t="s">
        <v>38</v>
      </c>
      <c r="H944" s="9" t="s">
        <v>33</v>
      </c>
      <c r="I944" s="7" t="str">
        <f t="shared" si="56"/>
        <v>61001005000</v>
      </c>
      <c r="J944" s="7" t="str">
        <f t="shared" si="57"/>
        <v>Материал по ЕГРН</v>
      </c>
      <c r="K944" s="7">
        <f>VLOOKUP(J944,Лист2!A$2:B$4,2,FALSE)</f>
        <v>792</v>
      </c>
      <c r="L944" s="7" t="str">
        <f t="shared" si="58"/>
        <v>ГОТОВ_ИЗМЕНЕН</v>
      </c>
      <c r="M944" s="7">
        <f t="shared" si="59"/>
        <v>0</v>
      </c>
    </row>
    <row r="945" spans="1:13" x14ac:dyDescent="0.25">
      <c r="A945" s="1">
        <v>945367</v>
      </c>
      <c r="B945" s="6" t="s">
        <v>1041</v>
      </c>
      <c r="F945" s="6" t="s">
        <v>9</v>
      </c>
      <c r="G945" s="6" t="s">
        <v>90</v>
      </c>
      <c r="H945" s="9" t="s">
        <v>12</v>
      </c>
      <c r="I945" s="7" t="str">
        <f t="shared" si="56"/>
        <v>61001008000</v>
      </c>
      <c r="J945" s="7" t="str">
        <f t="shared" si="57"/>
        <v>Материал по ЕГРН</v>
      </c>
      <c r="K945" s="7">
        <f>VLOOKUP(J945,Лист2!A$2:B$4,2,FALSE)</f>
        <v>792</v>
      </c>
      <c r="L945" s="7" t="str">
        <f t="shared" si="58"/>
        <v>ГОТОВ_ИЗМЕНЕН</v>
      </c>
      <c r="M945" s="7">
        <f t="shared" si="59"/>
        <v>0</v>
      </c>
    </row>
    <row r="946" spans="1:13" x14ac:dyDescent="0.25">
      <c r="A946" s="1">
        <v>945379</v>
      </c>
      <c r="B946" s="6" t="s">
        <v>1042</v>
      </c>
      <c r="F946" s="6" t="s">
        <v>9</v>
      </c>
      <c r="G946" s="6" t="s">
        <v>38</v>
      </c>
      <c r="H946" s="9" t="s">
        <v>33</v>
      </c>
      <c r="I946" s="7" t="str">
        <f t="shared" si="56"/>
        <v>61001005000</v>
      </c>
      <c r="J946" s="7" t="str">
        <f t="shared" si="57"/>
        <v>Материал по ЕГРН</v>
      </c>
      <c r="K946" s="7">
        <f>VLOOKUP(J946,Лист2!A$2:B$4,2,FALSE)</f>
        <v>792</v>
      </c>
      <c r="L946" s="7" t="str">
        <f t="shared" si="58"/>
        <v>ГОТОВ_ИЗМЕНЕН</v>
      </c>
      <c r="M946" s="7">
        <f t="shared" si="59"/>
        <v>0</v>
      </c>
    </row>
    <row r="947" spans="1:13" x14ac:dyDescent="0.25">
      <c r="A947" s="1">
        <v>945391</v>
      </c>
      <c r="B947" s="6" t="s">
        <v>1043</v>
      </c>
      <c r="F947" s="6" t="s">
        <v>9</v>
      </c>
      <c r="G947" s="6" t="s">
        <v>10</v>
      </c>
      <c r="H947" s="9" t="s">
        <v>11</v>
      </c>
      <c r="I947" s="7" t="str">
        <f t="shared" si="56"/>
        <v>61001003000</v>
      </c>
      <c r="J947" s="7" t="str">
        <f t="shared" si="57"/>
        <v>Материал по ЕГРН</v>
      </c>
      <c r="K947" s="7">
        <f>VLOOKUP(J947,Лист2!A$2:B$4,2,FALSE)</f>
        <v>792</v>
      </c>
      <c r="L947" s="7" t="str">
        <f t="shared" si="58"/>
        <v>ГОТОВ_ИЗМЕНЕН</v>
      </c>
      <c r="M947" s="7">
        <f t="shared" si="59"/>
        <v>0</v>
      </c>
    </row>
    <row r="948" spans="1:13" x14ac:dyDescent="0.25">
      <c r="A948" s="1">
        <v>945403</v>
      </c>
      <c r="B948" s="6" t="s">
        <v>1044</v>
      </c>
      <c r="F948" s="6" t="s">
        <v>9</v>
      </c>
      <c r="G948" s="6" t="s">
        <v>38</v>
      </c>
      <c r="H948" s="9" t="s">
        <v>33</v>
      </c>
      <c r="I948" s="7" t="str">
        <f t="shared" si="56"/>
        <v>61001005000</v>
      </c>
      <c r="J948" s="7" t="str">
        <f t="shared" si="57"/>
        <v>Материал по ЕГРН</v>
      </c>
      <c r="K948" s="7">
        <f>VLOOKUP(J948,Лист2!A$2:B$4,2,FALSE)</f>
        <v>792</v>
      </c>
      <c r="L948" s="7" t="str">
        <f t="shared" si="58"/>
        <v>ГОТОВ_ИЗМЕНЕН</v>
      </c>
      <c r="M948" s="7">
        <f t="shared" si="59"/>
        <v>0</v>
      </c>
    </row>
    <row r="949" spans="1:13" x14ac:dyDescent="0.25">
      <c r="A949" s="1">
        <v>945415</v>
      </c>
      <c r="B949" s="6" t="s">
        <v>1045</v>
      </c>
      <c r="F949" s="6" t="s">
        <v>9</v>
      </c>
      <c r="G949" s="6" t="s">
        <v>43</v>
      </c>
      <c r="H949" s="9" t="s">
        <v>42</v>
      </c>
      <c r="I949" s="7" t="str">
        <f t="shared" si="56"/>
        <v>61001002001</v>
      </c>
      <c r="J949" s="7" t="str">
        <f t="shared" si="57"/>
        <v>Материал по ЕГРН</v>
      </c>
      <c r="K949" s="7">
        <f>VLOOKUP(J949,Лист2!A$2:B$4,2,FALSE)</f>
        <v>792</v>
      </c>
      <c r="L949" s="7" t="str">
        <f t="shared" si="58"/>
        <v>ГОТОВ_ИЗМЕНЕН</v>
      </c>
      <c r="M949" s="7">
        <f t="shared" si="59"/>
        <v>0</v>
      </c>
    </row>
    <row r="950" spans="1:13" x14ac:dyDescent="0.25">
      <c r="A950" s="1">
        <v>945427</v>
      </c>
      <c r="B950" s="6" t="s">
        <v>1046</v>
      </c>
      <c r="F950" s="6" t="s">
        <v>9</v>
      </c>
      <c r="G950" s="6" t="s">
        <v>38</v>
      </c>
      <c r="H950" s="9" t="s">
        <v>33</v>
      </c>
      <c r="I950" s="7" t="str">
        <f t="shared" si="56"/>
        <v>61001005000</v>
      </c>
      <c r="J950" s="7" t="str">
        <f t="shared" si="57"/>
        <v>Материал по ЕГРН</v>
      </c>
      <c r="K950" s="7">
        <f>VLOOKUP(J950,Лист2!A$2:B$4,2,FALSE)</f>
        <v>792</v>
      </c>
      <c r="L950" s="7" t="str">
        <f t="shared" si="58"/>
        <v>ГОТОВ_ИЗМЕНЕН</v>
      </c>
      <c r="M950" s="7">
        <f t="shared" si="59"/>
        <v>0</v>
      </c>
    </row>
    <row r="951" spans="1:13" x14ac:dyDescent="0.25">
      <c r="A951" s="1">
        <v>945439</v>
      </c>
      <c r="B951" s="6" t="s">
        <v>1047</v>
      </c>
      <c r="E951" s="6" t="s">
        <v>8</v>
      </c>
      <c r="F951" s="6" t="s">
        <v>9</v>
      </c>
      <c r="G951" s="6" t="s">
        <v>1048</v>
      </c>
      <c r="H951" s="9" t="s">
        <v>1049</v>
      </c>
      <c r="I951" s="7" t="str">
        <f t="shared" si="56"/>
        <v>61001003000</v>
      </c>
      <c r="J951" s="7" t="str">
        <f t="shared" si="57"/>
        <v>Смешанные по допущению</v>
      </c>
      <c r="K951" s="7">
        <f>VLOOKUP(J951,Лист2!A$2:B$4,2,FALSE)</f>
        <v>793</v>
      </c>
      <c r="L951" s="7" t="str">
        <f t="shared" si="58"/>
        <v>ГОТОВ_ИЗМЕНЕН</v>
      </c>
      <c r="M951" s="7">
        <f t="shared" si="59"/>
        <v>0</v>
      </c>
    </row>
    <row r="952" spans="1:13" x14ac:dyDescent="0.25">
      <c r="A952" s="1">
        <v>945451</v>
      </c>
      <c r="B952" s="6" t="s">
        <v>1050</v>
      </c>
      <c r="F952" s="6" t="s">
        <v>9</v>
      </c>
      <c r="G952" s="6" t="s">
        <v>34</v>
      </c>
      <c r="H952" s="9" t="s">
        <v>35</v>
      </c>
      <c r="I952" s="7" t="str">
        <f t="shared" si="56"/>
        <v>61001002000</v>
      </c>
      <c r="J952" s="7" t="str">
        <f t="shared" si="57"/>
        <v>Материал по ЕГРН</v>
      </c>
      <c r="K952" s="7">
        <f>VLOOKUP(J952,Лист2!A$2:B$4,2,FALSE)</f>
        <v>792</v>
      </c>
      <c r="L952" s="7" t="str">
        <f t="shared" si="58"/>
        <v>ГОТОВ_ИЗМЕНЕН</v>
      </c>
      <c r="M952" s="7">
        <f t="shared" si="59"/>
        <v>0</v>
      </c>
    </row>
    <row r="953" spans="1:13" x14ac:dyDescent="0.25">
      <c r="A953" s="1">
        <v>945463</v>
      </c>
      <c r="B953" s="6" t="s">
        <v>1051</v>
      </c>
      <c r="F953" s="6" t="s">
        <v>9</v>
      </c>
      <c r="G953" s="6" t="s">
        <v>90</v>
      </c>
      <c r="H953" s="9" t="s">
        <v>12</v>
      </c>
      <c r="I953" s="7" t="str">
        <f t="shared" si="56"/>
        <v>61001008000</v>
      </c>
      <c r="J953" s="7" t="str">
        <f t="shared" si="57"/>
        <v>Материал по ЕГРН</v>
      </c>
      <c r="K953" s="7">
        <f>VLOOKUP(J953,Лист2!A$2:B$4,2,FALSE)</f>
        <v>792</v>
      </c>
      <c r="L953" s="7" t="str">
        <f t="shared" si="58"/>
        <v>ГОТОВ_ИЗМЕНЕН</v>
      </c>
      <c r="M953" s="7">
        <f t="shared" si="59"/>
        <v>0</v>
      </c>
    </row>
    <row r="954" spans="1:13" x14ac:dyDescent="0.25">
      <c r="A954" s="1">
        <v>945475</v>
      </c>
      <c r="B954" s="6" t="s">
        <v>1052</v>
      </c>
      <c r="F954" s="6" t="s">
        <v>9</v>
      </c>
      <c r="G954" s="6" t="s">
        <v>38</v>
      </c>
      <c r="H954" s="9" t="s">
        <v>33</v>
      </c>
      <c r="I954" s="7" t="str">
        <f t="shared" si="56"/>
        <v>61001005000</v>
      </c>
      <c r="J954" s="7" t="str">
        <f t="shared" si="57"/>
        <v>Материал по ЕГРН</v>
      </c>
      <c r="K954" s="7">
        <f>VLOOKUP(J954,Лист2!A$2:B$4,2,FALSE)</f>
        <v>792</v>
      </c>
      <c r="L954" s="7" t="str">
        <f t="shared" si="58"/>
        <v>ГОТОВ_ИЗМЕНЕН</v>
      </c>
      <c r="M954" s="7">
        <f t="shared" si="59"/>
        <v>0</v>
      </c>
    </row>
    <row r="955" spans="1:13" x14ac:dyDescent="0.25">
      <c r="A955" s="1">
        <v>945487</v>
      </c>
      <c r="B955" s="6" t="s">
        <v>1053</v>
      </c>
      <c r="F955" s="6" t="s">
        <v>9</v>
      </c>
      <c r="G955" s="6" t="s">
        <v>38</v>
      </c>
      <c r="H955" s="9" t="s">
        <v>33</v>
      </c>
      <c r="I955" s="7" t="str">
        <f t="shared" si="56"/>
        <v>61001005000</v>
      </c>
      <c r="J955" s="7" t="str">
        <f t="shared" si="57"/>
        <v>Материал по ЕГРН</v>
      </c>
      <c r="K955" s="7">
        <f>VLOOKUP(J955,Лист2!A$2:B$4,2,FALSE)</f>
        <v>792</v>
      </c>
      <c r="L955" s="7" t="str">
        <f t="shared" si="58"/>
        <v>ГОТОВ_ИЗМЕНЕН</v>
      </c>
      <c r="M955" s="7">
        <f t="shared" si="59"/>
        <v>0</v>
      </c>
    </row>
    <row r="956" spans="1:13" x14ac:dyDescent="0.25">
      <c r="A956" s="1">
        <v>194775</v>
      </c>
      <c r="B956" s="6" t="s">
        <v>1054</v>
      </c>
      <c r="C956" s="9" t="s">
        <v>60</v>
      </c>
      <c r="D956" s="6" t="s">
        <v>20</v>
      </c>
      <c r="E956" s="6" t="s">
        <v>37</v>
      </c>
      <c r="F956" s="6" t="s">
        <v>9</v>
      </c>
      <c r="G956" s="6" t="s">
        <v>59</v>
      </c>
      <c r="H956" s="9" t="s">
        <v>60</v>
      </c>
      <c r="I956" s="7" t="str">
        <f t="shared" si="56"/>
        <v>61001001001</v>
      </c>
      <c r="J956" s="7" t="str">
        <f t="shared" si="57"/>
        <v>Материал по ЕГРН</v>
      </c>
      <c r="K956" s="7">
        <f>VLOOKUP(J956,Лист2!A$2:B$4,2,FALSE)</f>
        <v>792</v>
      </c>
      <c r="L956" s="7" t="str">
        <f t="shared" si="58"/>
        <v>ГОТОВ</v>
      </c>
      <c r="M956" s="7" t="str">
        <f t="shared" si="59"/>
        <v>61001001001</v>
      </c>
    </row>
    <row r="957" spans="1:13" x14ac:dyDescent="0.25">
      <c r="A957" s="1">
        <v>341264</v>
      </c>
      <c r="B957" s="6" t="s">
        <v>1055</v>
      </c>
      <c r="C957" s="9" t="s">
        <v>12</v>
      </c>
      <c r="D957" s="6" t="s">
        <v>20</v>
      </c>
      <c r="E957" s="6" t="s">
        <v>37</v>
      </c>
      <c r="F957" s="6" t="s">
        <v>9</v>
      </c>
      <c r="G957" s="6" t="s">
        <v>90</v>
      </c>
      <c r="H957" s="9" t="s">
        <v>12</v>
      </c>
      <c r="I957" s="7" t="str">
        <f t="shared" si="56"/>
        <v>61001008000</v>
      </c>
      <c r="J957" s="7" t="str">
        <f t="shared" si="57"/>
        <v>Материал по ЕГРН</v>
      </c>
      <c r="K957" s="7">
        <f>VLOOKUP(J957,Лист2!A$2:B$4,2,FALSE)</f>
        <v>792</v>
      </c>
      <c r="L957" s="7" t="str">
        <f t="shared" si="58"/>
        <v>ГОТОВ</v>
      </c>
      <c r="M957" s="7" t="str">
        <f t="shared" si="59"/>
        <v>61001008000</v>
      </c>
    </row>
    <row r="958" spans="1:13" x14ac:dyDescent="0.25">
      <c r="A958" s="1">
        <v>787836</v>
      </c>
      <c r="B958" s="6" t="s">
        <v>1056</v>
      </c>
      <c r="C958" s="9" t="s">
        <v>33</v>
      </c>
      <c r="D958" s="6" t="s">
        <v>20</v>
      </c>
      <c r="E958" s="6" t="s">
        <v>37</v>
      </c>
      <c r="F958" s="6" t="s">
        <v>9</v>
      </c>
      <c r="G958" s="6" t="s">
        <v>38</v>
      </c>
      <c r="H958" s="9" t="s">
        <v>33</v>
      </c>
      <c r="I958" s="7" t="str">
        <f t="shared" si="56"/>
        <v>61001005000</v>
      </c>
      <c r="J958" s="7" t="str">
        <f t="shared" si="57"/>
        <v>Материал по ЕГРН</v>
      </c>
      <c r="K958" s="7">
        <f>VLOOKUP(J958,Лист2!A$2:B$4,2,FALSE)</f>
        <v>792</v>
      </c>
      <c r="L958" s="7" t="str">
        <f t="shared" si="58"/>
        <v>ГОТОВ</v>
      </c>
      <c r="M958" s="7" t="str">
        <f t="shared" si="59"/>
        <v>61001005000</v>
      </c>
    </row>
    <row r="959" spans="1:13" x14ac:dyDescent="0.25">
      <c r="A959" s="1">
        <v>943620</v>
      </c>
      <c r="B959" s="6" t="s">
        <v>1057</v>
      </c>
      <c r="F959" s="6" t="s">
        <v>9</v>
      </c>
      <c r="G959" s="6" t="s">
        <v>34</v>
      </c>
      <c r="H959" s="9" t="s">
        <v>35</v>
      </c>
      <c r="I959" s="7" t="str">
        <f t="shared" si="56"/>
        <v>61001002000</v>
      </c>
      <c r="J959" s="7" t="str">
        <f t="shared" si="57"/>
        <v>Материал по ЕГРН</v>
      </c>
      <c r="K959" s="7">
        <f>VLOOKUP(J959,Лист2!A$2:B$4,2,FALSE)</f>
        <v>792</v>
      </c>
      <c r="L959" s="7" t="str">
        <f t="shared" si="58"/>
        <v>ГОТОВ_ИЗМЕНЕН</v>
      </c>
      <c r="M959" s="7">
        <f t="shared" si="59"/>
        <v>0</v>
      </c>
    </row>
    <row r="960" spans="1:13" x14ac:dyDescent="0.25">
      <c r="A960" s="1">
        <v>943632</v>
      </c>
      <c r="B960" s="6" t="s">
        <v>1058</v>
      </c>
      <c r="F960" s="6" t="s">
        <v>9</v>
      </c>
      <c r="G960" s="6" t="s">
        <v>38</v>
      </c>
      <c r="H960" s="9" t="s">
        <v>33</v>
      </c>
      <c r="I960" s="7" t="str">
        <f t="shared" si="56"/>
        <v>61001005000</v>
      </c>
      <c r="J960" s="7" t="str">
        <f t="shared" si="57"/>
        <v>Материал по ЕГРН</v>
      </c>
      <c r="K960" s="7">
        <f>VLOOKUP(J960,Лист2!A$2:B$4,2,FALSE)</f>
        <v>792</v>
      </c>
      <c r="L960" s="7" t="str">
        <f t="shared" si="58"/>
        <v>ГОТОВ_ИЗМЕНЕН</v>
      </c>
      <c r="M960" s="7">
        <f t="shared" si="59"/>
        <v>0</v>
      </c>
    </row>
    <row r="961" spans="1:13" x14ac:dyDescent="0.25">
      <c r="A961" s="1">
        <v>943644</v>
      </c>
      <c r="B961" s="6" t="s">
        <v>1059</v>
      </c>
      <c r="F961" s="6" t="s">
        <v>9</v>
      </c>
      <c r="G961" s="6" t="s">
        <v>794</v>
      </c>
      <c r="H961" s="9" t="s">
        <v>795</v>
      </c>
      <c r="I961" s="7" t="str">
        <f t="shared" si="56"/>
        <v>61001003000</v>
      </c>
      <c r="J961" s="7" t="str">
        <f t="shared" si="57"/>
        <v>Смешанные по допущению</v>
      </c>
      <c r="K961" s="7">
        <f>VLOOKUP(J961,Лист2!A$2:B$4,2,FALSE)</f>
        <v>793</v>
      </c>
      <c r="L961" s="7" t="str">
        <f t="shared" si="58"/>
        <v>ГОТОВ_ИЗМЕНЕН</v>
      </c>
      <c r="M961" s="7">
        <f t="shared" si="59"/>
        <v>0</v>
      </c>
    </row>
    <row r="962" spans="1:13" x14ac:dyDescent="0.25">
      <c r="A962" s="1">
        <v>943656</v>
      </c>
      <c r="B962" s="6" t="s">
        <v>1060</v>
      </c>
      <c r="F962" s="6" t="s">
        <v>9</v>
      </c>
      <c r="G962" s="6" t="s">
        <v>750</v>
      </c>
      <c r="H962" s="9" t="s">
        <v>751</v>
      </c>
      <c r="I962" s="7" t="str">
        <f t="shared" si="56"/>
        <v>61001004000</v>
      </c>
      <c r="J962" s="7" t="str">
        <f t="shared" si="57"/>
        <v>Материал по ЕГРН</v>
      </c>
      <c r="K962" s="7">
        <f>VLOOKUP(J962,Лист2!A$2:B$4,2,FALSE)</f>
        <v>792</v>
      </c>
      <c r="L962" s="7" t="str">
        <f t="shared" si="58"/>
        <v>ГОТОВ_ИЗМЕНЕН</v>
      </c>
      <c r="M962" s="7">
        <f t="shared" si="59"/>
        <v>0</v>
      </c>
    </row>
    <row r="963" spans="1:13" x14ac:dyDescent="0.25">
      <c r="A963" s="1">
        <v>943668</v>
      </c>
      <c r="B963" s="6" t="s">
        <v>1061</v>
      </c>
      <c r="F963" s="6" t="s">
        <v>9</v>
      </c>
      <c r="G963" s="6" t="s">
        <v>62</v>
      </c>
      <c r="H963" s="9" t="s">
        <v>63</v>
      </c>
      <c r="I963" s="7" t="str">
        <f t="shared" si="56"/>
        <v>61001006002</v>
      </c>
      <c r="J963" s="7" t="str">
        <f t="shared" si="57"/>
        <v>Материал по ЕГРН</v>
      </c>
      <c r="K963" s="7">
        <f>VLOOKUP(J963,Лист2!A$2:B$4,2,FALSE)</f>
        <v>792</v>
      </c>
      <c r="L963" s="7" t="str">
        <f t="shared" si="58"/>
        <v>ГОТОВ_ИЗМЕНЕН</v>
      </c>
      <c r="M963" s="7">
        <f t="shared" si="59"/>
        <v>0</v>
      </c>
    </row>
    <row r="964" spans="1:13" x14ac:dyDescent="0.25">
      <c r="A964" s="1">
        <v>943680</v>
      </c>
      <c r="B964" s="6" t="s">
        <v>1062</v>
      </c>
      <c r="F964" s="6" t="s">
        <v>9</v>
      </c>
      <c r="G964" s="6" t="s">
        <v>62</v>
      </c>
      <c r="H964" s="9" t="s">
        <v>63</v>
      </c>
      <c r="I964" s="7" t="str">
        <f t="shared" si="56"/>
        <v>61001006002</v>
      </c>
      <c r="J964" s="7" t="str">
        <f t="shared" si="57"/>
        <v>Материал по ЕГРН</v>
      </c>
      <c r="K964" s="7">
        <f>VLOOKUP(J964,Лист2!A$2:B$4,2,FALSE)</f>
        <v>792</v>
      </c>
      <c r="L964" s="7" t="str">
        <f t="shared" si="58"/>
        <v>ГОТОВ_ИЗМЕНЕН</v>
      </c>
      <c r="M964" s="7">
        <f t="shared" si="59"/>
        <v>0</v>
      </c>
    </row>
    <row r="965" spans="1:13" x14ac:dyDescent="0.25">
      <c r="A965" s="1">
        <v>943692</v>
      </c>
      <c r="B965" s="6" t="s">
        <v>1063</v>
      </c>
      <c r="F965" s="6" t="s">
        <v>9</v>
      </c>
      <c r="G965" s="6" t="s">
        <v>1064</v>
      </c>
      <c r="H965" s="9" t="s">
        <v>1065</v>
      </c>
      <c r="I965" s="7" t="str">
        <f t="shared" ref="I965:I1028" si="60">IF(LEN(H965)=11,H965,IF(LEN(H965)=0,"61001005000","61001003000"))</f>
        <v>61001003000</v>
      </c>
      <c r="J965" s="7" t="str">
        <f t="shared" ref="J965:J1028" si="61">IF(LEN(H965)=11,"Материал по ЕГРН",IF(LEN(H965)=0,"Прочие по допущению","Смешанные по допущению"))</f>
        <v>Смешанные по допущению</v>
      </c>
      <c r="K965" s="7">
        <f>VLOOKUP(J965,Лист2!A$2:B$4,2,FALSE)</f>
        <v>793</v>
      </c>
      <c r="L965" s="7" t="str">
        <f t="shared" ref="L965:L1028" si="62">IF(I965=C965,"ГОТОВ","ГОТОВ_ИЗМЕНЕН")</f>
        <v>ГОТОВ_ИЗМЕНЕН</v>
      </c>
      <c r="M965" s="7">
        <f t="shared" ref="M965:M1028" si="63">C965</f>
        <v>0</v>
      </c>
    </row>
    <row r="966" spans="1:13" x14ac:dyDescent="0.25">
      <c r="A966" s="1">
        <v>943704</v>
      </c>
      <c r="B966" s="6" t="s">
        <v>1066</v>
      </c>
      <c r="F966" s="6" t="s">
        <v>9</v>
      </c>
      <c r="G966" s="6" t="s">
        <v>90</v>
      </c>
      <c r="H966" s="9" t="s">
        <v>12</v>
      </c>
      <c r="I966" s="7" t="str">
        <f t="shared" si="60"/>
        <v>61001008000</v>
      </c>
      <c r="J966" s="7" t="str">
        <f t="shared" si="61"/>
        <v>Материал по ЕГРН</v>
      </c>
      <c r="K966" s="7">
        <f>VLOOKUP(J966,Лист2!A$2:B$4,2,FALSE)</f>
        <v>792</v>
      </c>
      <c r="L966" s="7" t="str">
        <f t="shared" si="62"/>
        <v>ГОТОВ_ИЗМЕНЕН</v>
      </c>
      <c r="M966" s="7">
        <f t="shared" si="63"/>
        <v>0</v>
      </c>
    </row>
    <row r="967" spans="1:13" x14ac:dyDescent="0.25">
      <c r="A967" s="1">
        <v>943716</v>
      </c>
      <c r="B967" s="6" t="s">
        <v>1067</v>
      </c>
      <c r="F967" s="6" t="s">
        <v>9</v>
      </c>
      <c r="G967" s="6" t="s">
        <v>38</v>
      </c>
      <c r="H967" s="9" t="s">
        <v>33</v>
      </c>
      <c r="I967" s="7" t="str">
        <f t="shared" si="60"/>
        <v>61001005000</v>
      </c>
      <c r="J967" s="7" t="str">
        <f t="shared" si="61"/>
        <v>Материал по ЕГРН</v>
      </c>
      <c r="K967" s="7">
        <f>VLOOKUP(J967,Лист2!A$2:B$4,2,FALSE)</f>
        <v>792</v>
      </c>
      <c r="L967" s="7" t="str">
        <f t="shared" si="62"/>
        <v>ГОТОВ_ИЗМЕНЕН</v>
      </c>
      <c r="M967" s="7">
        <f t="shared" si="63"/>
        <v>0</v>
      </c>
    </row>
    <row r="968" spans="1:13" x14ac:dyDescent="0.25">
      <c r="A968" s="1">
        <v>943728</v>
      </c>
      <c r="B968" s="6" t="s">
        <v>1068</v>
      </c>
      <c r="F968" s="6" t="s">
        <v>9</v>
      </c>
      <c r="G968" s="6" t="s">
        <v>38</v>
      </c>
      <c r="H968" s="9" t="s">
        <v>33</v>
      </c>
      <c r="I968" s="7" t="str">
        <f t="shared" si="60"/>
        <v>61001005000</v>
      </c>
      <c r="J968" s="7" t="str">
        <f t="shared" si="61"/>
        <v>Материал по ЕГРН</v>
      </c>
      <c r="K968" s="7">
        <f>VLOOKUP(J968,Лист2!A$2:B$4,2,FALSE)</f>
        <v>792</v>
      </c>
      <c r="L968" s="7" t="str">
        <f t="shared" si="62"/>
        <v>ГОТОВ_ИЗМЕНЕН</v>
      </c>
      <c r="M968" s="7">
        <f t="shared" si="63"/>
        <v>0</v>
      </c>
    </row>
    <row r="969" spans="1:13" x14ac:dyDescent="0.25">
      <c r="A969" s="1">
        <v>943740</v>
      </c>
      <c r="B969" s="6" t="s">
        <v>1069</v>
      </c>
      <c r="F969" s="6" t="s">
        <v>9</v>
      </c>
      <c r="G969" s="6" t="s">
        <v>62</v>
      </c>
      <c r="H969" s="9" t="s">
        <v>63</v>
      </c>
      <c r="I969" s="7" t="str">
        <f t="shared" si="60"/>
        <v>61001006002</v>
      </c>
      <c r="J969" s="7" t="str">
        <f t="shared" si="61"/>
        <v>Материал по ЕГРН</v>
      </c>
      <c r="K969" s="7">
        <f>VLOOKUP(J969,Лист2!A$2:B$4,2,FALSE)</f>
        <v>792</v>
      </c>
      <c r="L969" s="7" t="str">
        <f t="shared" si="62"/>
        <v>ГОТОВ_ИЗМЕНЕН</v>
      </c>
      <c r="M969" s="7">
        <f t="shared" si="63"/>
        <v>0</v>
      </c>
    </row>
    <row r="970" spans="1:13" x14ac:dyDescent="0.25">
      <c r="A970" s="1">
        <v>943752</v>
      </c>
      <c r="B970" s="6" t="s">
        <v>1070</v>
      </c>
      <c r="F970" s="6" t="s">
        <v>9</v>
      </c>
      <c r="G970" s="6" t="s">
        <v>170</v>
      </c>
      <c r="H970" s="9" t="s">
        <v>171</v>
      </c>
      <c r="I970" s="7" t="str">
        <f t="shared" si="60"/>
        <v>61001001000</v>
      </c>
      <c r="J970" s="7" t="str">
        <f t="shared" si="61"/>
        <v>Материал по ЕГРН</v>
      </c>
      <c r="K970" s="7">
        <f>VLOOKUP(J970,Лист2!A$2:B$4,2,FALSE)</f>
        <v>792</v>
      </c>
      <c r="L970" s="7" t="str">
        <f t="shared" si="62"/>
        <v>ГОТОВ_ИЗМЕНЕН</v>
      </c>
      <c r="M970" s="7">
        <f t="shared" si="63"/>
        <v>0</v>
      </c>
    </row>
    <row r="971" spans="1:13" x14ac:dyDescent="0.25">
      <c r="A971" s="1">
        <v>943764</v>
      </c>
      <c r="B971" s="6" t="s">
        <v>1071</v>
      </c>
      <c r="F971" s="6" t="s">
        <v>9</v>
      </c>
      <c r="G971" s="6" t="s">
        <v>34</v>
      </c>
      <c r="H971" s="9" t="s">
        <v>35</v>
      </c>
      <c r="I971" s="7" t="str">
        <f t="shared" si="60"/>
        <v>61001002000</v>
      </c>
      <c r="J971" s="7" t="str">
        <f t="shared" si="61"/>
        <v>Материал по ЕГРН</v>
      </c>
      <c r="K971" s="7">
        <f>VLOOKUP(J971,Лист2!A$2:B$4,2,FALSE)</f>
        <v>792</v>
      </c>
      <c r="L971" s="7" t="str">
        <f t="shared" si="62"/>
        <v>ГОТОВ_ИЗМЕНЕН</v>
      </c>
      <c r="M971" s="7">
        <f t="shared" si="63"/>
        <v>0</v>
      </c>
    </row>
    <row r="972" spans="1:13" x14ac:dyDescent="0.25">
      <c r="A972" s="1">
        <v>943776</v>
      </c>
      <c r="B972" s="6" t="s">
        <v>1072</v>
      </c>
      <c r="F972" s="6" t="s">
        <v>9</v>
      </c>
      <c r="G972" s="6" t="s">
        <v>38</v>
      </c>
      <c r="H972" s="9" t="s">
        <v>33</v>
      </c>
      <c r="I972" s="7" t="str">
        <f t="shared" si="60"/>
        <v>61001005000</v>
      </c>
      <c r="J972" s="7" t="str">
        <f t="shared" si="61"/>
        <v>Материал по ЕГРН</v>
      </c>
      <c r="K972" s="7">
        <f>VLOOKUP(J972,Лист2!A$2:B$4,2,FALSE)</f>
        <v>792</v>
      </c>
      <c r="L972" s="7" t="str">
        <f t="shared" si="62"/>
        <v>ГОТОВ_ИЗМЕНЕН</v>
      </c>
      <c r="M972" s="7">
        <f t="shared" si="63"/>
        <v>0</v>
      </c>
    </row>
    <row r="973" spans="1:13" x14ac:dyDescent="0.25">
      <c r="A973" s="1">
        <v>943788</v>
      </c>
      <c r="B973" s="6" t="s">
        <v>1073</v>
      </c>
      <c r="F973" s="6" t="s">
        <v>9</v>
      </c>
      <c r="G973" s="6" t="s">
        <v>34</v>
      </c>
      <c r="H973" s="9" t="s">
        <v>35</v>
      </c>
      <c r="I973" s="7" t="str">
        <f t="shared" si="60"/>
        <v>61001002000</v>
      </c>
      <c r="J973" s="7" t="str">
        <f t="shared" si="61"/>
        <v>Материал по ЕГРН</v>
      </c>
      <c r="K973" s="7">
        <f>VLOOKUP(J973,Лист2!A$2:B$4,2,FALSE)</f>
        <v>792</v>
      </c>
      <c r="L973" s="7" t="str">
        <f t="shared" si="62"/>
        <v>ГОТОВ_ИЗМЕНЕН</v>
      </c>
      <c r="M973" s="7">
        <f t="shared" si="63"/>
        <v>0</v>
      </c>
    </row>
    <row r="974" spans="1:13" x14ac:dyDescent="0.25">
      <c r="A974" s="1">
        <v>943800</v>
      </c>
      <c r="B974" s="6" t="s">
        <v>1074</v>
      </c>
      <c r="F974" s="6" t="s">
        <v>9</v>
      </c>
      <c r="G974" s="6" t="s">
        <v>38</v>
      </c>
      <c r="H974" s="9" t="s">
        <v>33</v>
      </c>
      <c r="I974" s="7" t="str">
        <f t="shared" si="60"/>
        <v>61001005000</v>
      </c>
      <c r="J974" s="7" t="str">
        <f t="shared" si="61"/>
        <v>Материал по ЕГРН</v>
      </c>
      <c r="K974" s="7">
        <f>VLOOKUP(J974,Лист2!A$2:B$4,2,FALSE)</f>
        <v>792</v>
      </c>
      <c r="L974" s="7" t="str">
        <f t="shared" si="62"/>
        <v>ГОТОВ_ИЗМЕНЕН</v>
      </c>
      <c r="M974" s="7">
        <f t="shared" si="63"/>
        <v>0</v>
      </c>
    </row>
    <row r="975" spans="1:13" x14ac:dyDescent="0.25">
      <c r="A975" s="1">
        <v>943812</v>
      </c>
      <c r="B975" s="6" t="s">
        <v>1075</v>
      </c>
      <c r="F975" s="6" t="s">
        <v>9</v>
      </c>
      <c r="G975" s="6" t="s">
        <v>146</v>
      </c>
      <c r="H975" s="9" t="s">
        <v>147</v>
      </c>
      <c r="I975" s="7" t="str">
        <f t="shared" si="60"/>
        <v>61001000000</v>
      </c>
      <c r="J975" s="7" t="str">
        <f t="shared" si="61"/>
        <v>Материал по ЕГРН</v>
      </c>
      <c r="K975" s="7">
        <f>VLOOKUP(J975,Лист2!A$2:B$4,2,FALSE)</f>
        <v>792</v>
      </c>
      <c r="L975" s="7" t="str">
        <f t="shared" si="62"/>
        <v>ГОТОВ_ИЗМЕНЕН</v>
      </c>
      <c r="M975" s="7">
        <f t="shared" si="63"/>
        <v>0</v>
      </c>
    </row>
    <row r="976" spans="1:13" x14ac:dyDescent="0.25">
      <c r="A976" s="1">
        <v>943824</v>
      </c>
      <c r="B976" s="6" t="s">
        <v>1076</v>
      </c>
      <c r="F976" s="6" t="s">
        <v>9</v>
      </c>
      <c r="G976" s="6" t="s">
        <v>34</v>
      </c>
      <c r="H976" s="9" t="s">
        <v>35</v>
      </c>
      <c r="I976" s="7" t="str">
        <f t="shared" si="60"/>
        <v>61001002000</v>
      </c>
      <c r="J976" s="7" t="str">
        <f t="shared" si="61"/>
        <v>Материал по ЕГРН</v>
      </c>
      <c r="K976" s="7">
        <f>VLOOKUP(J976,Лист2!A$2:B$4,2,FALSE)</f>
        <v>792</v>
      </c>
      <c r="L976" s="7" t="str">
        <f t="shared" si="62"/>
        <v>ГОТОВ_ИЗМЕНЕН</v>
      </c>
      <c r="M976" s="7">
        <f t="shared" si="63"/>
        <v>0</v>
      </c>
    </row>
    <row r="977" spans="1:13" x14ac:dyDescent="0.25">
      <c r="A977" s="1">
        <v>943836</v>
      </c>
      <c r="B977" s="6" t="s">
        <v>1077</v>
      </c>
      <c r="F977" s="6" t="s">
        <v>9</v>
      </c>
      <c r="G977" s="6" t="s">
        <v>38</v>
      </c>
      <c r="H977" s="9" t="s">
        <v>33</v>
      </c>
      <c r="I977" s="7" t="str">
        <f t="shared" si="60"/>
        <v>61001005000</v>
      </c>
      <c r="J977" s="7" t="str">
        <f t="shared" si="61"/>
        <v>Материал по ЕГРН</v>
      </c>
      <c r="K977" s="7">
        <f>VLOOKUP(J977,Лист2!A$2:B$4,2,FALSE)</f>
        <v>792</v>
      </c>
      <c r="L977" s="7" t="str">
        <f t="shared" si="62"/>
        <v>ГОТОВ_ИЗМЕНЕН</v>
      </c>
      <c r="M977" s="7">
        <f t="shared" si="63"/>
        <v>0</v>
      </c>
    </row>
    <row r="978" spans="1:13" x14ac:dyDescent="0.25">
      <c r="A978" s="1">
        <v>943848</v>
      </c>
      <c r="B978" s="6" t="s">
        <v>1078</v>
      </c>
      <c r="F978" s="6" t="s">
        <v>9</v>
      </c>
      <c r="G978" s="6" t="s">
        <v>34</v>
      </c>
      <c r="H978" s="9" t="s">
        <v>35</v>
      </c>
      <c r="I978" s="7" t="str">
        <f t="shared" si="60"/>
        <v>61001002000</v>
      </c>
      <c r="J978" s="7" t="str">
        <f t="shared" si="61"/>
        <v>Материал по ЕГРН</v>
      </c>
      <c r="K978" s="7">
        <f>VLOOKUP(J978,Лист2!A$2:B$4,2,FALSE)</f>
        <v>792</v>
      </c>
      <c r="L978" s="7" t="str">
        <f t="shared" si="62"/>
        <v>ГОТОВ_ИЗМЕНЕН</v>
      </c>
      <c r="M978" s="7">
        <f t="shared" si="63"/>
        <v>0</v>
      </c>
    </row>
    <row r="979" spans="1:13" x14ac:dyDescent="0.25">
      <c r="A979" s="1">
        <v>943860</v>
      </c>
      <c r="B979" s="6" t="s">
        <v>1079</v>
      </c>
      <c r="F979" s="6" t="s">
        <v>9</v>
      </c>
      <c r="G979" s="6" t="s">
        <v>62</v>
      </c>
      <c r="H979" s="9" t="s">
        <v>63</v>
      </c>
      <c r="I979" s="7" t="str">
        <f t="shared" si="60"/>
        <v>61001006002</v>
      </c>
      <c r="J979" s="7" t="str">
        <f t="shared" si="61"/>
        <v>Материал по ЕГРН</v>
      </c>
      <c r="K979" s="7">
        <f>VLOOKUP(J979,Лист2!A$2:B$4,2,FALSE)</f>
        <v>792</v>
      </c>
      <c r="L979" s="7" t="str">
        <f t="shared" si="62"/>
        <v>ГОТОВ_ИЗМЕНЕН</v>
      </c>
      <c r="M979" s="7">
        <f t="shared" si="63"/>
        <v>0</v>
      </c>
    </row>
    <row r="980" spans="1:13" x14ac:dyDescent="0.25">
      <c r="A980" s="1">
        <v>943872</v>
      </c>
      <c r="B980" s="6" t="s">
        <v>1080</v>
      </c>
      <c r="F980" s="6" t="s">
        <v>9</v>
      </c>
      <c r="G980" s="6" t="s">
        <v>38</v>
      </c>
      <c r="H980" s="9" t="s">
        <v>33</v>
      </c>
      <c r="I980" s="7" t="str">
        <f t="shared" si="60"/>
        <v>61001005000</v>
      </c>
      <c r="J980" s="7" t="str">
        <f t="shared" si="61"/>
        <v>Материал по ЕГРН</v>
      </c>
      <c r="K980" s="7">
        <f>VLOOKUP(J980,Лист2!A$2:B$4,2,FALSE)</f>
        <v>792</v>
      </c>
      <c r="L980" s="7" t="str">
        <f t="shared" si="62"/>
        <v>ГОТОВ_ИЗМЕНЕН</v>
      </c>
      <c r="M980" s="7">
        <f t="shared" si="63"/>
        <v>0</v>
      </c>
    </row>
    <row r="981" spans="1:13" x14ac:dyDescent="0.25">
      <c r="A981" s="1">
        <v>943884</v>
      </c>
      <c r="B981" s="6" t="s">
        <v>1081</v>
      </c>
      <c r="F981" s="6" t="s">
        <v>9</v>
      </c>
      <c r="G981" s="6" t="s">
        <v>62</v>
      </c>
      <c r="H981" s="9" t="s">
        <v>63</v>
      </c>
      <c r="I981" s="7" t="str">
        <f t="shared" si="60"/>
        <v>61001006002</v>
      </c>
      <c r="J981" s="7" t="str">
        <f t="shared" si="61"/>
        <v>Материал по ЕГРН</v>
      </c>
      <c r="K981" s="7">
        <f>VLOOKUP(J981,Лист2!A$2:B$4,2,FALSE)</f>
        <v>792</v>
      </c>
      <c r="L981" s="7" t="str">
        <f t="shared" si="62"/>
        <v>ГОТОВ_ИЗМЕНЕН</v>
      </c>
      <c r="M981" s="7">
        <f t="shared" si="63"/>
        <v>0</v>
      </c>
    </row>
    <row r="982" spans="1:13" x14ac:dyDescent="0.25">
      <c r="A982" s="1">
        <v>943896</v>
      </c>
      <c r="B982" s="6" t="s">
        <v>1082</v>
      </c>
      <c r="F982" s="6" t="s">
        <v>9</v>
      </c>
      <c r="G982" s="6" t="s">
        <v>38</v>
      </c>
      <c r="H982" s="9" t="s">
        <v>33</v>
      </c>
      <c r="I982" s="7" t="str">
        <f t="shared" si="60"/>
        <v>61001005000</v>
      </c>
      <c r="J982" s="7" t="str">
        <f t="shared" si="61"/>
        <v>Материал по ЕГРН</v>
      </c>
      <c r="K982" s="7">
        <f>VLOOKUP(J982,Лист2!A$2:B$4,2,FALSE)</f>
        <v>792</v>
      </c>
      <c r="L982" s="7" t="str">
        <f t="shared" si="62"/>
        <v>ГОТОВ_ИЗМЕНЕН</v>
      </c>
      <c r="M982" s="7">
        <f t="shared" si="63"/>
        <v>0</v>
      </c>
    </row>
    <row r="983" spans="1:13" x14ac:dyDescent="0.25">
      <c r="A983" s="1">
        <v>943908</v>
      </c>
      <c r="B983" s="6" t="s">
        <v>1083</v>
      </c>
      <c r="F983" s="6" t="s">
        <v>9</v>
      </c>
      <c r="G983" s="6" t="s">
        <v>65</v>
      </c>
      <c r="H983" s="9" t="s">
        <v>66</v>
      </c>
      <c r="I983" s="7" t="str">
        <f t="shared" si="60"/>
        <v>61001002003</v>
      </c>
      <c r="J983" s="7" t="str">
        <f t="shared" si="61"/>
        <v>Материал по ЕГРН</v>
      </c>
      <c r="K983" s="7">
        <f>VLOOKUP(J983,Лист2!A$2:B$4,2,FALSE)</f>
        <v>792</v>
      </c>
      <c r="L983" s="7" t="str">
        <f t="shared" si="62"/>
        <v>ГОТОВ_ИЗМЕНЕН</v>
      </c>
      <c r="M983" s="7">
        <f t="shared" si="63"/>
        <v>0</v>
      </c>
    </row>
    <row r="984" spans="1:13" x14ac:dyDescent="0.25">
      <c r="A984" s="1">
        <v>943920</v>
      </c>
      <c r="B984" s="6" t="s">
        <v>1084</v>
      </c>
      <c r="F984" s="6" t="s">
        <v>9</v>
      </c>
      <c r="G984" s="6" t="s">
        <v>38</v>
      </c>
      <c r="H984" s="9" t="s">
        <v>33</v>
      </c>
      <c r="I984" s="7" t="str">
        <f t="shared" si="60"/>
        <v>61001005000</v>
      </c>
      <c r="J984" s="7" t="str">
        <f t="shared" si="61"/>
        <v>Материал по ЕГРН</v>
      </c>
      <c r="K984" s="7">
        <f>VLOOKUP(J984,Лист2!A$2:B$4,2,FALSE)</f>
        <v>792</v>
      </c>
      <c r="L984" s="7" t="str">
        <f t="shared" si="62"/>
        <v>ГОТОВ_ИЗМЕНЕН</v>
      </c>
      <c r="M984" s="7">
        <f t="shared" si="63"/>
        <v>0</v>
      </c>
    </row>
    <row r="985" spans="1:13" x14ac:dyDescent="0.25">
      <c r="A985" s="1">
        <v>943932</v>
      </c>
      <c r="B985" s="6" t="s">
        <v>1085</v>
      </c>
      <c r="F985" s="6" t="s">
        <v>9</v>
      </c>
      <c r="G985" s="6" t="s">
        <v>59</v>
      </c>
      <c r="H985" s="9" t="s">
        <v>60</v>
      </c>
      <c r="I985" s="7" t="str">
        <f t="shared" si="60"/>
        <v>61001001001</v>
      </c>
      <c r="J985" s="7" t="str">
        <f t="shared" si="61"/>
        <v>Материал по ЕГРН</v>
      </c>
      <c r="K985" s="7">
        <f>VLOOKUP(J985,Лист2!A$2:B$4,2,FALSE)</f>
        <v>792</v>
      </c>
      <c r="L985" s="7" t="str">
        <f t="shared" si="62"/>
        <v>ГОТОВ_ИЗМЕНЕН</v>
      </c>
      <c r="M985" s="7">
        <f t="shared" si="63"/>
        <v>0</v>
      </c>
    </row>
    <row r="986" spans="1:13" x14ac:dyDescent="0.25">
      <c r="A986" s="1">
        <v>943944</v>
      </c>
      <c r="B986" s="6" t="s">
        <v>1086</v>
      </c>
      <c r="F986" s="6" t="s">
        <v>9</v>
      </c>
      <c r="G986" s="6" t="s">
        <v>34</v>
      </c>
      <c r="H986" s="9" t="s">
        <v>35</v>
      </c>
      <c r="I986" s="7" t="str">
        <f t="shared" si="60"/>
        <v>61001002000</v>
      </c>
      <c r="J986" s="7" t="str">
        <f t="shared" si="61"/>
        <v>Материал по ЕГРН</v>
      </c>
      <c r="K986" s="7">
        <f>VLOOKUP(J986,Лист2!A$2:B$4,2,FALSE)</f>
        <v>792</v>
      </c>
      <c r="L986" s="7" t="str">
        <f t="shared" si="62"/>
        <v>ГОТОВ_ИЗМЕНЕН</v>
      </c>
      <c r="M986" s="7">
        <f t="shared" si="63"/>
        <v>0</v>
      </c>
    </row>
    <row r="987" spans="1:13" x14ac:dyDescent="0.25">
      <c r="A987" s="1">
        <v>125455</v>
      </c>
      <c r="B987" s="6" t="s">
        <v>1087</v>
      </c>
      <c r="C987" s="9" t="s">
        <v>33</v>
      </c>
      <c r="D987" s="6" t="s">
        <v>20</v>
      </c>
      <c r="E987" s="6" t="s">
        <v>37</v>
      </c>
      <c r="F987" s="6" t="s">
        <v>9</v>
      </c>
      <c r="G987" s="6" t="s">
        <v>38</v>
      </c>
      <c r="H987" s="9" t="s">
        <v>33</v>
      </c>
      <c r="I987" s="7" t="str">
        <f t="shared" si="60"/>
        <v>61001005000</v>
      </c>
      <c r="J987" s="7" t="str">
        <f t="shared" si="61"/>
        <v>Материал по ЕГРН</v>
      </c>
      <c r="K987" s="7">
        <f>VLOOKUP(J987,Лист2!A$2:B$4,2,FALSE)</f>
        <v>792</v>
      </c>
      <c r="L987" s="7" t="str">
        <f t="shared" si="62"/>
        <v>ГОТОВ</v>
      </c>
      <c r="M987" s="7" t="str">
        <f t="shared" si="63"/>
        <v>61001005000</v>
      </c>
    </row>
    <row r="988" spans="1:13" x14ac:dyDescent="0.25">
      <c r="A988" s="1">
        <v>519385</v>
      </c>
      <c r="B988" s="6" t="s">
        <v>1088</v>
      </c>
      <c r="C988" s="9" t="s">
        <v>33</v>
      </c>
      <c r="D988" s="6" t="s">
        <v>20</v>
      </c>
      <c r="E988" s="6" t="s">
        <v>37</v>
      </c>
      <c r="F988" s="6" t="s">
        <v>9</v>
      </c>
      <c r="G988" s="6" t="s">
        <v>38</v>
      </c>
      <c r="H988" s="9" t="s">
        <v>33</v>
      </c>
      <c r="I988" s="7" t="str">
        <f t="shared" si="60"/>
        <v>61001005000</v>
      </c>
      <c r="J988" s="7" t="str">
        <f t="shared" si="61"/>
        <v>Материал по ЕГРН</v>
      </c>
      <c r="K988" s="7">
        <f>VLOOKUP(J988,Лист2!A$2:B$4,2,FALSE)</f>
        <v>792</v>
      </c>
      <c r="L988" s="7" t="str">
        <f t="shared" si="62"/>
        <v>ГОТОВ</v>
      </c>
      <c r="M988" s="7" t="str">
        <f t="shared" si="63"/>
        <v>61001005000</v>
      </c>
    </row>
    <row r="989" spans="1:13" x14ac:dyDescent="0.25">
      <c r="A989" s="1">
        <v>529496</v>
      </c>
      <c r="B989" s="6" t="s">
        <v>1089</v>
      </c>
      <c r="C989" s="9" t="s">
        <v>33</v>
      </c>
      <c r="D989" s="6" t="s">
        <v>20</v>
      </c>
      <c r="E989" s="6" t="s">
        <v>37</v>
      </c>
      <c r="F989" s="6" t="s">
        <v>9</v>
      </c>
      <c r="G989" s="6" t="s">
        <v>38</v>
      </c>
      <c r="H989" s="9" t="s">
        <v>33</v>
      </c>
      <c r="I989" s="7" t="str">
        <f t="shared" si="60"/>
        <v>61001005000</v>
      </c>
      <c r="J989" s="7" t="str">
        <f t="shared" si="61"/>
        <v>Материал по ЕГРН</v>
      </c>
      <c r="K989" s="7">
        <f>VLOOKUP(J989,Лист2!A$2:B$4,2,FALSE)</f>
        <v>792</v>
      </c>
      <c r="L989" s="7" t="str">
        <f t="shared" si="62"/>
        <v>ГОТОВ</v>
      </c>
      <c r="M989" s="7" t="str">
        <f t="shared" si="63"/>
        <v>61001005000</v>
      </c>
    </row>
    <row r="990" spans="1:13" x14ac:dyDescent="0.25">
      <c r="A990" s="1">
        <v>740108</v>
      </c>
      <c r="B990" s="6" t="s">
        <v>1090</v>
      </c>
      <c r="C990" s="9" t="s">
        <v>42</v>
      </c>
      <c r="D990" s="6" t="s">
        <v>20</v>
      </c>
      <c r="E990" s="6" t="s">
        <v>37</v>
      </c>
      <c r="F990" s="6" t="s">
        <v>9</v>
      </c>
      <c r="G990" s="6" t="s">
        <v>43</v>
      </c>
      <c r="H990" s="9" t="s">
        <v>42</v>
      </c>
      <c r="I990" s="7" t="str">
        <f t="shared" si="60"/>
        <v>61001002001</v>
      </c>
      <c r="J990" s="7" t="str">
        <f t="shared" si="61"/>
        <v>Материал по ЕГРН</v>
      </c>
      <c r="K990" s="7">
        <f>VLOOKUP(J990,Лист2!A$2:B$4,2,FALSE)</f>
        <v>792</v>
      </c>
      <c r="L990" s="7" t="str">
        <f t="shared" si="62"/>
        <v>ГОТОВ</v>
      </c>
      <c r="M990" s="7" t="str">
        <f t="shared" si="63"/>
        <v>61001002001</v>
      </c>
    </row>
    <row r="991" spans="1:13" x14ac:dyDescent="0.25">
      <c r="A991" s="1">
        <v>943956</v>
      </c>
      <c r="B991" s="6" t="s">
        <v>1091</v>
      </c>
      <c r="F991" s="6" t="s">
        <v>9</v>
      </c>
      <c r="G991" s="6" t="s">
        <v>38</v>
      </c>
      <c r="H991" s="9" t="s">
        <v>33</v>
      </c>
      <c r="I991" s="7" t="str">
        <f t="shared" si="60"/>
        <v>61001005000</v>
      </c>
      <c r="J991" s="7" t="str">
        <f t="shared" si="61"/>
        <v>Материал по ЕГРН</v>
      </c>
      <c r="K991" s="7">
        <f>VLOOKUP(J991,Лист2!A$2:B$4,2,FALSE)</f>
        <v>792</v>
      </c>
      <c r="L991" s="7" t="str">
        <f t="shared" si="62"/>
        <v>ГОТОВ_ИЗМЕНЕН</v>
      </c>
      <c r="M991" s="7">
        <f t="shared" si="63"/>
        <v>0</v>
      </c>
    </row>
    <row r="992" spans="1:13" x14ac:dyDescent="0.25">
      <c r="A992" s="1">
        <v>943968</v>
      </c>
      <c r="B992" s="6" t="s">
        <v>1092</v>
      </c>
      <c r="F992" s="6" t="s">
        <v>9</v>
      </c>
      <c r="G992" s="6" t="s">
        <v>65</v>
      </c>
      <c r="H992" s="9" t="s">
        <v>66</v>
      </c>
      <c r="I992" s="7" t="str">
        <f t="shared" si="60"/>
        <v>61001002003</v>
      </c>
      <c r="J992" s="7" t="str">
        <f t="shared" si="61"/>
        <v>Материал по ЕГРН</v>
      </c>
      <c r="K992" s="7">
        <f>VLOOKUP(J992,Лист2!A$2:B$4,2,FALSE)</f>
        <v>792</v>
      </c>
      <c r="L992" s="7" t="str">
        <f t="shared" si="62"/>
        <v>ГОТОВ_ИЗМЕНЕН</v>
      </c>
      <c r="M992" s="7">
        <f t="shared" si="63"/>
        <v>0</v>
      </c>
    </row>
    <row r="993" spans="1:13" x14ac:dyDescent="0.25">
      <c r="A993" s="1">
        <v>943980</v>
      </c>
      <c r="B993" s="6" t="s">
        <v>1093</v>
      </c>
      <c r="F993" s="6" t="s">
        <v>9</v>
      </c>
      <c r="G993" s="6" t="s">
        <v>10</v>
      </c>
      <c r="H993" s="9" t="s">
        <v>11</v>
      </c>
      <c r="I993" s="7" t="str">
        <f t="shared" si="60"/>
        <v>61001003000</v>
      </c>
      <c r="J993" s="7" t="str">
        <f t="shared" si="61"/>
        <v>Материал по ЕГРН</v>
      </c>
      <c r="K993" s="7">
        <f>VLOOKUP(J993,Лист2!A$2:B$4,2,FALSE)</f>
        <v>792</v>
      </c>
      <c r="L993" s="7" t="str">
        <f t="shared" si="62"/>
        <v>ГОТОВ_ИЗМЕНЕН</v>
      </c>
      <c r="M993" s="7">
        <f t="shared" si="63"/>
        <v>0</v>
      </c>
    </row>
    <row r="994" spans="1:13" x14ac:dyDescent="0.25">
      <c r="A994" s="1">
        <v>943992</v>
      </c>
      <c r="B994" s="6" t="s">
        <v>1094</v>
      </c>
      <c r="F994" s="6" t="s">
        <v>9</v>
      </c>
      <c r="G994" s="6" t="s">
        <v>38</v>
      </c>
      <c r="H994" s="9" t="s">
        <v>33</v>
      </c>
      <c r="I994" s="7" t="str">
        <f t="shared" si="60"/>
        <v>61001005000</v>
      </c>
      <c r="J994" s="7" t="str">
        <f t="shared" si="61"/>
        <v>Материал по ЕГРН</v>
      </c>
      <c r="K994" s="7">
        <f>VLOOKUP(J994,Лист2!A$2:B$4,2,FALSE)</f>
        <v>792</v>
      </c>
      <c r="L994" s="7" t="str">
        <f t="shared" si="62"/>
        <v>ГОТОВ_ИЗМЕНЕН</v>
      </c>
      <c r="M994" s="7">
        <f t="shared" si="63"/>
        <v>0</v>
      </c>
    </row>
    <row r="995" spans="1:13" x14ac:dyDescent="0.25">
      <c r="A995" s="1">
        <v>944004</v>
      </c>
      <c r="B995" s="6" t="s">
        <v>1095</v>
      </c>
      <c r="F995" s="6" t="s">
        <v>9</v>
      </c>
      <c r="G995" s="6" t="s">
        <v>38</v>
      </c>
      <c r="H995" s="9" t="s">
        <v>33</v>
      </c>
      <c r="I995" s="7" t="str">
        <f t="shared" si="60"/>
        <v>61001005000</v>
      </c>
      <c r="J995" s="7" t="str">
        <f t="shared" si="61"/>
        <v>Материал по ЕГРН</v>
      </c>
      <c r="K995" s="7">
        <f>VLOOKUP(J995,Лист2!A$2:B$4,2,FALSE)</f>
        <v>792</v>
      </c>
      <c r="L995" s="7" t="str">
        <f t="shared" si="62"/>
        <v>ГОТОВ_ИЗМЕНЕН</v>
      </c>
      <c r="M995" s="7">
        <f t="shared" si="63"/>
        <v>0</v>
      </c>
    </row>
    <row r="996" spans="1:13" x14ac:dyDescent="0.25">
      <c r="A996" s="1">
        <v>944016</v>
      </c>
      <c r="B996" s="6" t="s">
        <v>1096</v>
      </c>
      <c r="F996" s="6" t="s">
        <v>9</v>
      </c>
      <c r="G996" s="6" t="s">
        <v>62</v>
      </c>
      <c r="H996" s="9" t="s">
        <v>63</v>
      </c>
      <c r="I996" s="7" t="str">
        <f t="shared" si="60"/>
        <v>61001006002</v>
      </c>
      <c r="J996" s="7" t="str">
        <f t="shared" si="61"/>
        <v>Материал по ЕГРН</v>
      </c>
      <c r="K996" s="7">
        <f>VLOOKUP(J996,Лист2!A$2:B$4,2,FALSE)</f>
        <v>792</v>
      </c>
      <c r="L996" s="7" t="str">
        <f t="shared" si="62"/>
        <v>ГОТОВ_ИЗМЕНЕН</v>
      </c>
      <c r="M996" s="7">
        <f t="shared" si="63"/>
        <v>0</v>
      </c>
    </row>
    <row r="997" spans="1:13" x14ac:dyDescent="0.25">
      <c r="A997" s="1">
        <v>944028</v>
      </c>
      <c r="B997" s="6" t="s">
        <v>1097</v>
      </c>
      <c r="F997" s="6" t="s">
        <v>9</v>
      </c>
      <c r="G997" s="6" t="s">
        <v>10</v>
      </c>
      <c r="H997" s="9" t="s">
        <v>11</v>
      </c>
      <c r="I997" s="7" t="str">
        <f t="shared" si="60"/>
        <v>61001003000</v>
      </c>
      <c r="J997" s="7" t="str">
        <f t="shared" si="61"/>
        <v>Материал по ЕГРН</v>
      </c>
      <c r="K997" s="7">
        <f>VLOOKUP(J997,Лист2!A$2:B$4,2,FALSE)</f>
        <v>792</v>
      </c>
      <c r="L997" s="7" t="str">
        <f t="shared" si="62"/>
        <v>ГОТОВ_ИЗМЕНЕН</v>
      </c>
      <c r="M997" s="7">
        <f t="shared" si="63"/>
        <v>0</v>
      </c>
    </row>
    <row r="998" spans="1:13" x14ac:dyDescent="0.25">
      <c r="A998" s="1">
        <v>944040</v>
      </c>
      <c r="B998" s="6" t="s">
        <v>1098</v>
      </c>
      <c r="F998" s="6" t="s">
        <v>9</v>
      </c>
      <c r="G998" s="6" t="s">
        <v>90</v>
      </c>
      <c r="H998" s="9" t="s">
        <v>12</v>
      </c>
      <c r="I998" s="7" t="str">
        <f t="shared" si="60"/>
        <v>61001008000</v>
      </c>
      <c r="J998" s="7" t="str">
        <f t="shared" si="61"/>
        <v>Материал по ЕГРН</v>
      </c>
      <c r="K998" s="7">
        <f>VLOOKUP(J998,Лист2!A$2:B$4,2,FALSE)</f>
        <v>792</v>
      </c>
      <c r="L998" s="7" t="str">
        <f t="shared" si="62"/>
        <v>ГОТОВ_ИЗМЕНЕН</v>
      </c>
      <c r="M998" s="7">
        <f t="shared" si="63"/>
        <v>0</v>
      </c>
    </row>
    <row r="999" spans="1:13" x14ac:dyDescent="0.25">
      <c r="A999" s="1">
        <v>944052</v>
      </c>
      <c r="B999" s="6" t="s">
        <v>1099</v>
      </c>
      <c r="F999" s="6" t="s">
        <v>9</v>
      </c>
      <c r="G999" s="6" t="s">
        <v>10</v>
      </c>
      <c r="H999" s="9" t="s">
        <v>11</v>
      </c>
      <c r="I999" s="7" t="str">
        <f t="shared" si="60"/>
        <v>61001003000</v>
      </c>
      <c r="J999" s="7" t="str">
        <f t="shared" si="61"/>
        <v>Материал по ЕГРН</v>
      </c>
      <c r="K999" s="7">
        <f>VLOOKUP(J999,Лист2!A$2:B$4,2,FALSE)</f>
        <v>792</v>
      </c>
      <c r="L999" s="7" t="str">
        <f t="shared" si="62"/>
        <v>ГОТОВ_ИЗМЕНЕН</v>
      </c>
      <c r="M999" s="7">
        <f t="shared" si="63"/>
        <v>0</v>
      </c>
    </row>
    <row r="1000" spans="1:13" x14ac:dyDescent="0.25">
      <c r="A1000" s="1">
        <v>944064</v>
      </c>
      <c r="B1000" s="6" t="s">
        <v>1100</v>
      </c>
      <c r="F1000" s="6" t="s">
        <v>9</v>
      </c>
      <c r="G1000" s="6" t="s">
        <v>34</v>
      </c>
      <c r="H1000" s="9" t="s">
        <v>35</v>
      </c>
      <c r="I1000" s="7" t="str">
        <f t="shared" si="60"/>
        <v>61001002000</v>
      </c>
      <c r="J1000" s="7" t="str">
        <f t="shared" si="61"/>
        <v>Материал по ЕГРН</v>
      </c>
      <c r="K1000" s="7">
        <f>VLOOKUP(J1000,Лист2!A$2:B$4,2,FALSE)</f>
        <v>792</v>
      </c>
      <c r="L1000" s="7" t="str">
        <f t="shared" si="62"/>
        <v>ГОТОВ_ИЗМЕНЕН</v>
      </c>
      <c r="M1000" s="7">
        <f t="shared" si="63"/>
        <v>0</v>
      </c>
    </row>
    <row r="1001" spans="1:13" x14ac:dyDescent="0.25">
      <c r="A1001" s="1">
        <v>944076</v>
      </c>
      <c r="B1001" s="6" t="s">
        <v>1101</v>
      </c>
      <c r="F1001" s="6" t="s">
        <v>9</v>
      </c>
      <c r="G1001" s="6" t="s">
        <v>38</v>
      </c>
      <c r="H1001" s="9" t="s">
        <v>33</v>
      </c>
      <c r="I1001" s="7" t="str">
        <f t="shared" si="60"/>
        <v>61001005000</v>
      </c>
      <c r="J1001" s="7" t="str">
        <f t="shared" si="61"/>
        <v>Материал по ЕГРН</v>
      </c>
      <c r="K1001" s="7">
        <f>VLOOKUP(J1001,Лист2!A$2:B$4,2,FALSE)</f>
        <v>792</v>
      </c>
      <c r="L1001" s="7" t="str">
        <f t="shared" si="62"/>
        <v>ГОТОВ_ИЗМЕНЕН</v>
      </c>
      <c r="M1001" s="7">
        <f t="shared" si="63"/>
        <v>0</v>
      </c>
    </row>
    <row r="1002" spans="1:13" x14ac:dyDescent="0.25">
      <c r="A1002" s="1">
        <v>944088</v>
      </c>
      <c r="B1002" s="6" t="s">
        <v>1102</v>
      </c>
      <c r="F1002" s="6" t="s">
        <v>9</v>
      </c>
      <c r="G1002" s="6" t="s">
        <v>34</v>
      </c>
      <c r="H1002" s="9" t="s">
        <v>35</v>
      </c>
      <c r="I1002" s="7" t="str">
        <f t="shared" si="60"/>
        <v>61001002000</v>
      </c>
      <c r="J1002" s="7" t="str">
        <f t="shared" si="61"/>
        <v>Материал по ЕГРН</v>
      </c>
      <c r="K1002" s="7">
        <f>VLOOKUP(J1002,Лист2!A$2:B$4,2,FALSE)</f>
        <v>792</v>
      </c>
      <c r="L1002" s="7" t="str">
        <f t="shared" si="62"/>
        <v>ГОТОВ_ИЗМЕНЕН</v>
      </c>
      <c r="M1002" s="7">
        <f t="shared" si="63"/>
        <v>0</v>
      </c>
    </row>
    <row r="1003" spans="1:13" x14ac:dyDescent="0.25">
      <c r="A1003" s="1">
        <v>944100</v>
      </c>
      <c r="B1003" s="6" t="s">
        <v>1103</v>
      </c>
      <c r="F1003" s="6" t="s">
        <v>9</v>
      </c>
      <c r="G1003" s="6" t="s">
        <v>170</v>
      </c>
      <c r="H1003" s="9" t="s">
        <v>171</v>
      </c>
      <c r="I1003" s="7" t="str">
        <f t="shared" si="60"/>
        <v>61001001000</v>
      </c>
      <c r="J1003" s="7" t="str">
        <f t="shared" si="61"/>
        <v>Материал по ЕГРН</v>
      </c>
      <c r="K1003" s="7">
        <f>VLOOKUP(J1003,Лист2!A$2:B$4,2,FALSE)</f>
        <v>792</v>
      </c>
      <c r="L1003" s="7" t="str">
        <f t="shared" si="62"/>
        <v>ГОТОВ_ИЗМЕНЕН</v>
      </c>
      <c r="M1003" s="7">
        <f t="shared" si="63"/>
        <v>0</v>
      </c>
    </row>
    <row r="1004" spans="1:13" x14ac:dyDescent="0.25">
      <c r="A1004" s="1">
        <v>944112</v>
      </c>
      <c r="B1004" s="6" t="s">
        <v>1104</v>
      </c>
      <c r="F1004" s="6" t="s">
        <v>9</v>
      </c>
      <c r="G1004" s="6" t="s">
        <v>62</v>
      </c>
      <c r="H1004" s="9" t="s">
        <v>63</v>
      </c>
      <c r="I1004" s="7" t="str">
        <f t="shared" si="60"/>
        <v>61001006002</v>
      </c>
      <c r="J1004" s="7" t="str">
        <f t="shared" si="61"/>
        <v>Материал по ЕГРН</v>
      </c>
      <c r="K1004" s="7">
        <f>VLOOKUP(J1004,Лист2!A$2:B$4,2,FALSE)</f>
        <v>792</v>
      </c>
      <c r="L1004" s="7" t="str">
        <f t="shared" si="62"/>
        <v>ГОТОВ_ИЗМЕНЕН</v>
      </c>
      <c r="M1004" s="7">
        <f t="shared" si="63"/>
        <v>0</v>
      </c>
    </row>
    <row r="1005" spans="1:13" x14ac:dyDescent="0.25">
      <c r="A1005" s="1">
        <v>944124</v>
      </c>
      <c r="B1005" s="6" t="s">
        <v>1105</v>
      </c>
      <c r="F1005" s="6" t="s">
        <v>9</v>
      </c>
      <c r="G1005" s="6" t="s">
        <v>90</v>
      </c>
      <c r="H1005" s="9" t="s">
        <v>12</v>
      </c>
      <c r="I1005" s="7" t="str">
        <f t="shared" si="60"/>
        <v>61001008000</v>
      </c>
      <c r="J1005" s="7" t="str">
        <f t="shared" si="61"/>
        <v>Материал по ЕГРН</v>
      </c>
      <c r="K1005" s="7">
        <f>VLOOKUP(J1005,Лист2!A$2:B$4,2,FALSE)</f>
        <v>792</v>
      </c>
      <c r="L1005" s="7" t="str">
        <f t="shared" si="62"/>
        <v>ГОТОВ_ИЗМЕНЕН</v>
      </c>
      <c r="M1005" s="7">
        <f t="shared" si="63"/>
        <v>0</v>
      </c>
    </row>
    <row r="1006" spans="1:13" x14ac:dyDescent="0.25">
      <c r="A1006" s="1">
        <v>944136</v>
      </c>
      <c r="B1006" s="6" t="s">
        <v>1106</v>
      </c>
      <c r="F1006" s="6" t="s">
        <v>9</v>
      </c>
      <c r="G1006" s="6" t="s">
        <v>38</v>
      </c>
      <c r="H1006" s="9" t="s">
        <v>33</v>
      </c>
      <c r="I1006" s="7" t="str">
        <f t="shared" si="60"/>
        <v>61001005000</v>
      </c>
      <c r="J1006" s="7" t="str">
        <f t="shared" si="61"/>
        <v>Материал по ЕГРН</v>
      </c>
      <c r="K1006" s="7">
        <f>VLOOKUP(J1006,Лист2!A$2:B$4,2,FALSE)</f>
        <v>792</v>
      </c>
      <c r="L1006" s="7" t="str">
        <f t="shared" si="62"/>
        <v>ГОТОВ_ИЗМЕНЕН</v>
      </c>
      <c r="M1006" s="7">
        <f t="shared" si="63"/>
        <v>0</v>
      </c>
    </row>
    <row r="1007" spans="1:13" x14ac:dyDescent="0.25">
      <c r="A1007" s="1">
        <v>944148</v>
      </c>
      <c r="B1007" s="6" t="s">
        <v>1107</v>
      </c>
      <c r="F1007" s="6" t="s">
        <v>9</v>
      </c>
      <c r="G1007" s="6" t="s">
        <v>43</v>
      </c>
      <c r="H1007" s="9" t="s">
        <v>42</v>
      </c>
      <c r="I1007" s="7" t="str">
        <f t="shared" si="60"/>
        <v>61001002001</v>
      </c>
      <c r="J1007" s="7" t="str">
        <f t="shared" si="61"/>
        <v>Материал по ЕГРН</v>
      </c>
      <c r="K1007" s="7">
        <f>VLOOKUP(J1007,Лист2!A$2:B$4,2,FALSE)</f>
        <v>792</v>
      </c>
      <c r="L1007" s="7" t="str">
        <f t="shared" si="62"/>
        <v>ГОТОВ_ИЗМЕНЕН</v>
      </c>
      <c r="M1007" s="7">
        <f t="shared" si="63"/>
        <v>0</v>
      </c>
    </row>
    <row r="1008" spans="1:13" x14ac:dyDescent="0.25">
      <c r="A1008" s="1">
        <v>944160</v>
      </c>
      <c r="B1008" s="6" t="s">
        <v>1108</v>
      </c>
      <c r="F1008" s="6" t="s">
        <v>9</v>
      </c>
      <c r="G1008" s="6" t="s">
        <v>170</v>
      </c>
      <c r="H1008" s="9" t="s">
        <v>171</v>
      </c>
      <c r="I1008" s="7" t="str">
        <f t="shared" si="60"/>
        <v>61001001000</v>
      </c>
      <c r="J1008" s="7" t="str">
        <f t="shared" si="61"/>
        <v>Материал по ЕГРН</v>
      </c>
      <c r="K1008" s="7">
        <f>VLOOKUP(J1008,Лист2!A$2:B$4,2,FALSE)</f>
        <v>792</v>
      </c>
      <c r="L1008" s="7" t="str">
        <f t="shared" si="62"/>
        <v>ГОТОВ_ИЗМЕНЕН</v>
      </c>
      <c r="M1008" s="7">
        <f t="shared" si="63"/>
        <v>0</v>
      </c>
    </row>
    <row r="1009" spans="1:13" x14ac:dyDescent="0.25">
      <c r="A1009" s="1">
        <v>944172</v>
      </c>
      <c r="B1009" s="6" t="s">
        <v>1109</v>
      </c>
      <c r="F1009" s="6" t="s">
        <v>9</v>
      </c>
      <c r="G1009" s="6" t="s">
        <v>34</v>
      </c>
      <c r="H1009" s="9" t="s">
        <v>35</v>
      </c>
      <c r="I1009" s="7" t="str">
        <f t="shared" si="60"/>
        <v>61001002000</v>
      </c>
      <c r="J1009" s="7" t="str">
        <f t="shared" si="61"/>
        <v>Материал по ЕГРН</v>
      </c>
      <c r="K1009" s="7">
        <f>VLOOKUP(J1009,Лист2!A$2:B$4,2,FALSE)</f>
        <v>792</v>
      </c>
      <c r="L1009" s="7" t="str">
        <f t="shared" si="62"/>
        <v>ГОТОВ_ИЗМЕНЕН</v>
      </c>
      <c r="M1009" s="7">
        <f t="shared" si="63"/>
        <v>0</v>
      </c>
    </row>
    <row r="1010" spans="1:13" x14ac:dyDescent="0.25">
      <c r="A1010" s="1">
        <v>944184</v>
      </c>
      <c r="B1010" s="6" t="s">
        <v>1110</v>
      </c>
      <c r="F1010" s="6" t="s">
        <v>9</v>
      </c>
      <c r="G1010" s="6" t="s">
        <v>90</v>
      </c>
      <c r="H1010" s="9" t="s">
        <v>12</v>
      </c>
      <c r="I1010" s="7" t="str">
        <f t="shared" si="60"/>
        <v>61001008000</v>
      </c>
      <c r="J1010" s="7" t="str">
        <f t="shared" si="61"/>
        <v>Материал по ЕГРН</v>
      </c>
      <c r="K1010" s="7">
        <f>VLOOKUP(J1010,Лист2!A$2:B$4,2,FALSE)</f>
        <v>792</v>
      </c>
      <c r="L1010" s="7" t="str">
        <f t="shared" si="62"/>
        <v>ГОТОВ_ИЗМЕНЕН</v>
      </c>
      <c r="M1010" s="7">
        <f t="shared" si="63"/>
        <v>0</v>
      </c>
    </row>
    <row r="1011" spans="1:13" x14ac:dyDescent="0.25">
      <c r="A1011" s="1">
        <v>944196</v>
      </c>
      <c r="B1011" s="6" t="s">
        <v>1111</v>
      </c>
      <c r="F1011" s="6" t="s">
        <v>9</v>
      </c>
      <c r="G1011" s="6" t="s">
        <v>34</v>
      </c>
      <c r="H1011" s="9" t="s">
        <v>35</v>
      </c>
      <c r="I1011" s="7" t="str">
        <f t="shared" si="60"/>
        <v>61001002000</v>
      </c>
      <c r="J1011" s="7" t="str">
        <f t="shared" si="61"/>
        <v>Материал по ЕГРН</v>
      </c>
      <c r="K1011" s="7">
        <f>VLOOKUP(J1011,Лист2!A$2:B$4,2,FALSE)</f>
        <v>792</v>
      </c>
      <c r="L1011" s="7" t="str">
        <f t="shared" si="62"/>
        <v>ГОТОВ_ИЗМЕНЕН</v>
      </c>
      <c r="M1011" s="7">
        <f t="shared" si="63"/>
        <v>0</v>
      </c>
    </row>
    <row r="1012" spans="1:13" x14ac:dyDescent="0.25">
      <c r="A1012" s="1">
        <v>944208</v>
      </c>
      <c r="B1012" s="6" t="s">
        <v>1112</v>
      </c>
      <c r="F1012" s="6" t="s">
        <v>9</v>
      </c>
      <c r="G1012" s="6" t="s">
        <v>10</v>
      </c>
      <c r="H1012" s="9" t="s">
        <v>11</v>
      </c>
      <c r="I1012" s="7" t="str">
        <f t="shared" si="60"/>
        <v>61001003000</v>
      </c>
      <c r="J1012" s="7" t="str">
        <f t="shared" si="61"/>
        <v>Материал по ЕГРН</v>
      </c>
      <c r="K1012" s="7">
        <f>VLOOKUP(J1012,Лист2!A$2:B$4,2,FALSE)</f>
        <v>792</v>
      </c>
      <c r="L1012" s="7" t="str">
        <f t="shared" si="62"/>
        <v>ГОТОВ_ИЗМЕНЕН</v>
      </c>
      <c r="M1012" s="7">
        <f t="shared" si="63"/>
        <v>0</v>
      </c>
    </row>
    <row r="1013" spans="1:13" x14ac:dyDescent="0.25">
      <c r="A1013" s="1">
        <v>944220</v>
      </c>
      <c r="B1013" s="6" t="s">
        <v>1113</v>
      </c>
      <c r="F1013" s="6" t="s">
        <v>9</v>
      </c>
      <c r="G1013" s="6" t="s">
        <v>34</v>
      </c>
      <c r="H1013" s="9" t="s">
        <v>35</v>
      </c>
      <c r="I1013" s="7" t="str">
        <f t="shared" si="60"/>
        <v>61001002000</v>
      </c>
      <c r="J1013" s="7" t="str">
        <f t="shared" si="61"/>
        <v>Материал по ЕГРН</v>
      </c>
      <c r="K1013" s="7">
        <f>VLOOKUP(J1013,Лист2!A$2:B$4,2,FALSE)</f>
        <v>792</v>
      </c>
      <c r="L1013" s="7" t="str">
        <f t="shared" si="62"/>
        <v>ГОТОВ_ИЗМЕНЕН</v>
      </c>
      <c r="M1013" s="7">
        <f t="shared" si="63"/>
        <v>0</v>
      </c>
    </row>
    <row r="1014" spans="1:13" x14ac:dyDescent="0.25">
      <c r="A1014" s="1">
        <v>944232</v>
      </c>
      <c r="B1014" s="6" t="s">
        <v>1114</v>
      </c>
      <c r="F1014" s="6" t="s">
        <v>9</v>
      </c>
      <c r="G1014" s="6" t="s">
        <v>139</v>
      </c>
      <c r="H1014" s="9" t="s">
        <v>140</v>
      </c>
      <c r="I1014" s="7" t="str">
        <f t="shared" si="60"/>
        <v>61001999000</v>
      </c>
      <c r="J1014" s="7" t="str">
        <f t="shared" si="61"/>
        <v>Материал по ЕГРН</v>
      </c>
      <c r="K1014" s="7">
        <f>VLOOKUP(J1014,Лист2!A$2:B$4,2,FALSE)</f>
        <v>792</v>
      </c>
      <c r="L1014" s="7" t="str">
        <f t="shared" si="62"/>
        <v>ГОТОВ_ИЗМЕНЕН</v>
      </c>
      <c r="M1014" s="7">
        <f t="shared" si="63"/>
        <v>0</v>
      </c>
    </row>
    <row r="1015" spans="1:13" x14ac:dyDescent="0.25">
      <c r="A1015" s="1">
        <v>944244</v>
      </c>
      <c r="B1015" s="6" t="s">
        <v>1115</v>
      </c>
      <c r="F1015" s="6" t="s">
        <v>9</v>
      </c>
      <c r="G1015" s="6" t="s">
        <v>62</v>
      </c>
      <c r="H1015" s="9" t="s">
        <v>63</v>
      </c>
      <c r="I1015" s="7" t="str">
        <f t="shared" si="60"/>
        <v>61001006002</v>
      </c>
      <c r="J1015" s="7" t="str">
        <f t="shared" si="61"/>
        <v>Материал по ЕГРН</v>
      </c>
      <c r="K1015" s="7">
        <f>VLOOKUP(J1015,Лист2!A$2:B$4,2,FALSE)</f>
        <v>792</v>
      </c>
      <c r="L1015" s="7" t="str">
        <f t="shared" si="62"/>
        <v>ГОТОВ_ИЗМЕНЕН</v>
      </c>
      <c r="M1015" s="7">
        <f t="shared" si="63"/>
        <v>0</v>
      </c>
    </row>
    <row r="1016" spans="1:13" x14ac:dyDescent="0.25">
      <c r="A1016" s="1">
        <v>944256</v>
      </c>
      <c r="B1016" s="6" t="s">
        <v>1116</v>
      </c>
      <c r="F1016" s="6" t="s">
        <v>9</v>
      </c>
      <c r="G1016" s="6" t="s">
        <v>38</v>
      </c>
      <c r="H1016" s="9" t="s">
        <v>33</v>
      </c>
      <c r="I1016" s="7" t="str">
        <f t="shared" si="60"/>
        <v>61001005000</v>
      </c>
      <c r="J1016" s="7" t="str">
        <f t="shared" si="61"/>
        <v>Материал по ЕГРН</v>
      </c>
      <c r="K1016" s="7">
        <f>VLOOKUP(J1016,Лист2!A$2:B$4,2,FALSE)</f>
        <v>792</v>
      </c>
      <c r="L1016" s="7" t="str">
        <f t="shared" si="62"/>
        <v>ГОТОВ_ИЗМЕНЕН</v>
      </c>
      <c r="M1016" s="7">
        <f t="shared" si="63"/>
        <v>0</v>
      </c>
    </row>
    <row r="1017" spans="1:13" x14ac:dyDescent="0.25">
      <c r="A1017" s="1">
        <v>944268</v>
      </c>
      <c r="B1017" s="6" t="s">
        <v>1117</v>
      </c>
      <c r="F1017" s="6" t="s">
        <v>9</v>
      </c>
      <c r="G1017" s="6" t="s">
        <v>34</v>
      </c>
      <c r="H1017" s="9" t="s">
        <v>35</v>
      </c>
      <c r="I1017" s="7" t="str">
        <f t="shared" si="60"/>
        <v>61001002000</v>
      </c>
      <c r="J1017" s="7" t="str">
        <f t="shared" si="61"/>
        <v>Материал по ЕГРН</v>
      </c>
      <c r="K1017" s="7">
        <f>VLOOKUP(J1017,Лист2!A$2:B$4,2,FALSE)</f>
        <v>792</v>
      </c>
      <c r="L1017" s="7" t="str">
        <f t="shared" si="62"/>
        <v>ГОТОВ_ИЗМЕНЕН</v>
      </c>
      <c r="M1017" s="7">
        <f t="shared" si="63"/>
        <v>0</v>
      </c>
    </row>
    <row r="1018" spans="1:13" x14ac:dyDescent="0.25">
      <c r="A1018" s="1">
        <v>254235</v>
      </c>
      <c r="B1018" s="6" t="s">
        <v>1118</v>
      </c>
      <c r="C1018" s="9" t="s">
        <v>33</v>
      </c>
      <c r="D1018" s="6" t="s">
        <v>20</v>
      </c>
      <c r="E1018" s="6" t="s">
        <v>37</v>
      </c>
      <c r="F1018" s="6" t="s">
        <v>9</v>
      </c>
      <c r="G1018" s="6" t="s">
        <v>38</v>
      </c>
      <c r="H1018" s="9" t="s">
        <v>33</v>
      </c>
      <c r="I1018" s="7" t="str">
        <f t="shared" si="60"/>
        <v>61001005000</v>
      </c>
      <c r="J1018" s="7" t="str">
        <f t="shared" si="61"/>
        <v>Материал по ЕГРН</v>
      </c>
      <c r="K1018" s="7">
        <f>VLOOKUP(J1018,Лист2!A$2:B$4,2,FALSE)</f>
        <v>792</v>
      </c>
      <c r="L1018" s="7" t="str">
        <f t="shared" si="62"/>
        <v>ГОТОВ</v>
      </c>
      <c r="M1018" s="7" t="str">
        <f t="shared" si="63"/>
        <v>61001005000</v>
      </c>
    </row>
    <row r="1019" spans="1:13" x14ac:dyDescent="0.25">
      <c r="A1019" s="1">
        <v>438341</v>
      </c>
      <c r="B1019" s="6" t="s">
        <v>1119</v>
      </c>
      <c r="C1019" s="9" t="s">
        <v>33</v>
      </c>
      <c r="D1019" s="6" t="s">
        <v>20</v>
      </c>
      <c r="E1019" s="6" t="s">
        <v>8</v>
      </c>
      <c r="F1019" s="6" t="s">
        <v>9</v>
      </c>
      <c r="G1019" s="6" t="s">
        <v>34</v>
      </c>
      <c r="H1019" s="9" t="s">
        <v>35</v>
      </c>
      <c r="I1019" s="7" t="str">
        <f t="shared" si="60"/>
        <v>61001002000</v>
      </c>
      <c r="J1019" s="7" t="str">
        <f t="shared" si="61"/>
        <v>Материал по ЕГРН</v>
      </c>
      <c r="K1019" s="7">
        <f>VLOOKUP(J1019,Лист2!A$2:B$4,2,FALSE)</f>
        <v>792</v>
      </c>
      <c r="L1019" s="7" t="str">
        <f t="shared" si="62"/>
        <v>ГОТОВ_ИЗМЕНЕН</v>
      </c>
      <c r="M1019" s="7" t="str">
        <f t="shared" si="63"/>
        <v>61001005000</v>
      </c>
    </row>
    <row r="1020" spans="1:13" x14ac:dyDescent="0.25">
      <c r="A1020" s="1">
        <v>787986</v>
      </c>
      <c r="B1020" s="6" t="s">
        <v>1120</v>
      </c>
      <c r="C1020" s="9" t="s">
        <v>33</v>
      </c>
      <c r="D1020" s="6" t="s">
        <v>20</v>
      </c>
      <c r="E1020" s="6" t="s">
        <v>37</v>
      </c>
      <c r="F1020" s="6" t="s">
        <v>9</v>
      </c>
      <c r="G1020" s="6" t="s">
        <v>38</v>
      </c>
      <c r="H1020" s="9" t="s">
        <v>33</v>
      </c>
      <c r="I1020" s="7" t="str">
        <f t="shared" si="60"/>
        <v>61001005000</v>
      </c>
      <c r="J1020" s="7" t="str">
        <f t="shared" si="61"/>
        <v>Материал по ЕГРН</v>
      </c>
      <c r="K1020" s="7">
        <f>VLOOKUP(J1020,Лист2!A$2:B$4,2,FALSE)</f>
        <v>792</v>
      </c>
      <c r="L1020" s="7" t="str">
        <f t="shared" si="62"/>
        <v>ГОТОВ</v>
      </c>
      <c r="M1020" s="7" t="str">
        <f t="shared" si="63"/>
        <v>61001005000</v>
      </c>
    </row>
    <row r="1021" spans="1:13" x14ac:dyDescent="0.25">
      <c r="A1021" s="1">
        <v>945785</v>
      </c>
      <c r="B1021" s="6" t="s">
        <v>1121</v>
      </c>
      <c r="F1021" s="6" t="s">
        <v>9</v>
      </c>
      <c r="G1021" s="6" t="s">
        <v>10</v>
      </c>
      <c r="H1021" s="9" t="s">
        <v>11</v>
      </c>
      <c r="I1021" s="7" t="str">
        <f t="shared" si="60"/>
        <v>61001003000</v>
      </c>
      <c r="J1021" s="7" t="str">
        <f t="shared" si="61"/>
        <v>Материал по ЕГРН</v>
      </c>
      <c r="K1021" s="7">
        <f>VLOOKUP(J1021,Лист2!A$2:B$4,2,FALSE)</f>
        <v>792</v>
      </c>
      <c r="L1021" s="7" t="str">
        <f t="shared" si="62"/>
        <v>ГОТОВ_ИЗМЕНЕН</v>
      </c>
      <c r="M1021" s="7">
        <f t="shared" si="63"/>
        <v>0</v>
      </c>
    </row>
    <row r="1022" spans="1:13" x14ac:dyDescent="0.25">
      <c r="A1022" s="1">
        <v>945797</v>
      </c>
      <c r="B1022" s="6" t="s">
        <v>1122</v>
      </c>
      <c r="F1022" s="6" t="s">
        <v>9</v>
      </c>
      <c r="G1022" s="6" t="s">
        <v>34</v>
      </c>
      <c r="H1022" s="9" t="s">
        <v>35</v>
      </c>
      <c r="I1022" s="7" t="str">
        <f t="shared" si="60"/>
        <v>61001002000</v>
      </c>
      <c r="J1022" s="7" t="str">
        <f t="shared" si="61"/>
        <v>Материал по ЕГРН</v>
      </c>
      <c r="K1022" s="7">
        <f>VLOOKUP(J1022,Лист2!A$2:B$4,2,FALSE)</f>
        <v>792</v>
      </c>
      <c r="L1022" s="7" t="str">
        <f t="shared" si="62"/>
        <v>ГОТОВ_ИЗМЕНЕН</v>
      </c>
      <c r="M1022" s="7">
        <f t="shared" si="63"/>
        <v>0</v>
      </c>
    </row>
    <row r="1023" spans="1:13" x14ac:dyDescent="0.25">
      <c r="A1023" s="1">
        <v>945809</v>
      </c>
      <c r="B1023" s="6" t="s">
        <v>1123</v>
      </c>
      <c r="F1023" s="6" t="s">
        <v>9</v>
      </c>
      <c r="G1023" s="6" t="s">
        <v>180</v>
      </c>
      <c r="H1023" s="9" t="s">
        <v>181</v>
      </c>
      <c r="I1023" s="7" t="str">
        <f t="shared" si="60"/>
        <v>61001009000</v>
      </c>
      <c r="J1023" s="7" t="str">
        <f t="shared" si="61"/>
        <v>Материал по ЕГРН</v>
      </c>
      <c r="K1023" s="7">
        <f>VLOOKUP(J1023,Лист2!A$2:B$4,2,FALSE)</f>
        <v>792</v>
      </c>
      <c r="L1023" s="7" t="str">
        <f t="shared" si="62"/>
        <v>ГОТОВ_ИЗМЕНЕН</v>
      </c>
      <c r="M1023" s="7">
        <f t="shared" si="63"/>
        <v>0</v>
      </c>
    </row>
    <row r="1024" spans="1:13" x14ac:dyDescent="0.25">
      <c r="A1024" s="1">
        <v>321456</v>
      </c>
      <c r="B1024" s="6" t="s">
        <v>1124</v>
      </c>
      <c r="C1024" s="9" t="s">
        <v>60</v>
      </c>
      <c r="D1024" s="6" t="s">
        <v>20</v>
      </c>
      <c r="E1024" s="6" t="s">
        <v>37</v>
      </c>
      <c r="F1024" s="6" t="s">
        <v>9</v>
      </c>
      <c r="G1024" s="6" t="s">
        <v>59</v>
      </c>
      <c r="H1024" s="9" t="s">
        <v>60</v>
      </c>
      <c r="I1024" s="7" t="str">
        <f t="shared" si="60"/>
        <v>61001001001</v>
      </c>
      <c r="J1024" s="7" t="str">
        <f t="shared" si="61"/>
        <v>Материал по ЕГРН</v>
      </c>
      <c r="K1024" s="7">
        <f>VLOOKUP(J1024,Лист2!A$2:B$4,2,FALSE)</f>
        <v>792</v>
      </c>
      <c r="L1024" s="7" t="str">
        <f t="shared" si="62"/>
        <v>ГОТОВ</v>
      </c>
      <c r="M1024" s="7" t="str">
        <f t="shared" si="63"/>
        <v>61001001001</v>
      </c>
    </row>
    <row r="1025" spans="1:13" x14ac:dyDescent="0.25">
      <c r="A1025" s="1">
        <v>515683</v>
      </c>
      <c r="B1025" s="6" t="s">
        <v>1125</v>
      </c>
      <c r="C1025" s="9" t="s">
        <v>33</v>
      </c>
      <c r="D1025" s="6" t="s">
        <v>20</v>
      </c>
      <c r="E1025" s="6" t="s">
        <v>37</v>
      </c>
      <c r="F1025" s="6" t="s">
        <v>9</v>
      </c>
      <c r="G1025" s="6" t="s">
        <v>38</v>
      </c>
      <c r="H1025" s="9" t="s">
        <v>33</v>
      </c>
      <c r="I1025" s="7" t="str">
        <f t="shared" si="60"/>
        <v>61001005000</v>
      </c>
      <c r="J1025" s="7" t="str">
        <f t="shared" si="61"/>
        <v>Материал по ЕГРН</v>
      </c>
      <c r="K1025" s="7">
        <f>VLOOKUP(J1025,Лист2!A$2:B$4,2,FALSE)</f>
        <v>792</v>
      </c>
      <c r="L1025" s="7" t="str">
        <f t="shared" si="62"/>
        <v>ГОТОВ</v>
      </c>
      <c r="M1025" s="7" t="str">
        <f t="shared" si="63"/>
        <v>61001005000</v>
      </c>
    </row>
    <row r="1026" spans="1:13" x14ac:dyDescent="0.25">
      <c r="A1026" s="1">
        <v>524357</v>
      </c>
      <c r="B1026" s="6" t="s">
        <v>1126</v>
      </c>
      <c r="C1026" s="9" t="s">
        <v>33</v>
      </c>
      <c r="D1026" s="6" t="s">
        <v>20</v>
      </c>
      <c r="E1026" s="6" t="s">
        <v>37</v>
      </c>
      <c r="F1026" s="6" t="s">
        <v>9</v>
      </c>
      <c r="G1026" s="6" t="s">
        <v>38</v>
      </c>
      <c r="H1026" s="9" t="s">
        <v>33</v>
      </c>
      <c r="I1026" s="7" t="str">
        <f t="shared" si="60"/>
        <v>61001005000</v>
      </c>
      <c r="J1026" s="7" t="str">
        <f t="shared" si="61"/>
        <v>Материал по ЕГРН</v>
      </c>
      <c r="K1026" s="7">
        <f>VLOOKUP(J1026,Лист2!A$2:B$4,2,FALSE)</f>
        <v>792</v>
      </c>
      <c r="L1026" s="7" t="str">
        <f t="shared" si="62"/>
        <v>ГОТОВ</v>
      </c>
      <c r="M1026" s="7" t="str">
        <f t="shared" si="63"/>
        <v>61001005000</v>
      </c>
    </row>
    <row r="1027" spans="1:13" x14ac:dyDescent="0.25">
      <c r="A1027" s="1">
        <v>531034</v>
      </c>
      <c r="B1027" s="6" t="s">
        <v>1127</v>
      </c>
      <c r="C1027" s="9" t="s">
        <v>33</v>
      </c>
      <c r="D1027" s="6" t="s">
        <v>20</v>
      </c>
      <c r="E1027" s="6" t="s">
        <v>37</v>
      </c>
      <c r="F1027" s="6" t="s">
        <v>9</v>
      </c>
      <c r="G1027" s="6" t="s">
        <v>38</v>
      </c>
      <c r="H1027" s="9" t="s">
        <v>33</v>
      </c>
      <c r="I1027" s="7" t="str">
        <f t="shared" si="60"/>
        <v>61001005000</v>
      </c>
      <c r="J1027" s="7" t="str">
        <f t="shared" si="61"/>
        <v>Материал по ЕГРН</v>
      </c>
      <c r="K1027" s="7">
        <f>VLOOKUP(J1027,Лист2!A$2:B$4,2,FALSE)</f>
        <v>792</v>
      </c>
      <c r="L1027" s="7" t="str">
        <f t="shared" si="62"/>
        <v>ГОТОВ</v>
      </c>
      <c r="M1027" s="7" t="str">
        <f t="shared" si="63"/>
        <v>61001005000</v>
      </c>
    </row>
    <row r="1028" spans="1:13" x14ac:dyDescent="0.25">
      <c r="A1028" s="1">
        <v>740377</v>
      </c>
      <c r="B1028" s="6" t="s">
        <v>1128</v>
      </c>
      <c r="C1028" s="9" t="s">
        <v>60</v>
      </c>
      <c r="D1028" s="6" t="s">
        <v>20</v>
      </c>
      <c r="E1028" s="6" t="s">
        <v>37</v>
      </c>
      <c r="F1028" s="6" t="s">
        <v>9</v>
      </c>
      <c r="G1028" s="6" t="s">
        <v>59</v>
      </c>
      <c r="H1028" s="9" t="s">
        <v>60</v>
      </c>
      <c r="I1028" s="7" t="str">
        <f t="shared" si="60"/>
        <v>61001001001</v>
      </c>
      <c r="J1028" s="7" t="str">
        <f t="shared" si="61"/>
        <v>Материал по ЕГРН</v>
      </c>
      <c r="K1028" s="7">
        <f>VLOOKUP(J1028,Лист2!A$2:B$4,2,FALSE)</f>
        <v>792</v>
      </c>
      <c r="L1028" s="7" t="str">
        <f t="shared" si="62"/>
        <v>ГОТОВ</v>
      </c>
      <c r="M1028" s="7" t="str">
        <f t="shared" si="63"/>
        <v>61001001001</v>
      </c>
    </row>
    <row r="1029" spans="1:13" x14ac:dyDescent="0.25">
      <c r="A1029" s="1">
        <v>226485</v>
      </c>
      <c r="B1029" s="6" t="s">
        <v>1129</v>
      </c>
      <c r="C1029" s="9" t="s">
        <v>42</v>
      </c>
      <c r="D1029" s="6" t="s">
        <v>20</v>
      </c>
      <c r="E1029" s="6" t="s">
        <v>37</v>
      </c>
      <c r="F1029" s="6" t="s">
        <v>9</v>
      </c>
      <c r="G1029" s="6" t="s">
        <v>43</v>
      </c>
      <c r="H1029" s="9" t="s">
        <v>42</v>
      </c>
      <c r="I1029" s="7" t="str">
        <f t="shared" ref="I1029:I1092" si="64">IF(LEN(H1029)=11,H1029,IF(LEN(H1029)=0,"61001005000","61001003000"))</f>
        <v>61001002001</v>
      </c>
      <c r="J1029" s="7" t="str">
        <f t="shared" ref="J1029:J1092" si="65">IF(LEN(H1029)=11,"Материал по ЕГРН",IF(LEN(H1029)=0,"Прочие по допущению","Смешанные по допущению"))</f>
        <v>Материал по ЕГРН</v>
      </c>
      <c r="K1029" s="7">
        <f>VLOOKUP(J1029,Лист2!A$2:B$4,2,FALSE)</f>
        <v>792</v>
      </c>
      <c r="L1029" s="7" t="str">
        <f t="shared" ref="L1029:L1092" si="66">IF(I1029=C1029,"ГОТОВ","ГОТОВ_ИЗМЕНЕН")</f>
        <v>ГОТОВ</v>
      </c>
      <c r="M1029" s="7" t="str">
        <f t="shared" ref="M1029:M1092" si="67">C1029</f>
        <v>61001002001</v>
      </c>
    </row>
    <row r="1030" spans="1:13" x14ac:dyDescent="0.25">
      <c r="A1030" s="1">
        <v>317562</v>
      </c>
      <c r="B1030" s="6" t="s">
        <v>1130</v>
      </c>
      <c r="C1030" s="9" t="s">
        <v>33</v>
      </c>
      <c r="D1030" s="6" t="s">
        <v>20</v>
      </c>
      <c r="E1030" s="6" t="s">
        <v>37</v>
      </c>
      <c r="F1030" s="6" t="s">
        <v>9</v>
      </c>
      <c r="G1030" s="6" t="s">
        <v>38</v>
      </c>
      <c r="H1030" s="9" t="s">
        <v>33</v>
      </c>
      <c r="I1030" s="7" t="str">
        <f t="shared" si="64"/>
        <v>61001005000</v>
      </c>
      <c r="J1030" s="7" t="str">
        <f t="shared" si="65"/>
        <v>Материал по ЕГРН</v>
      </c>
      <c r="K1030" s="7">
        <f>VLOOKUP(J1030,Лист2!A$2:B$4,2,FALSE)</f>
        <v>792</v>
      </c>
      <c r="L1030" s="7" t="str">
        <f t="shared" si="66"/>
        <v>ГОТОВ</v>
      </c>
      <c r="M1030" s="7" t="str">
        <f t="shared" si="67"/>
        <v>61001005000</v>
      </c>
    </row>
    <row r="1031" spans="1:13" x14ac:dyDescent="0.25">
      <c r="A1031" s="1">
        <v>541031</v>
      </c>
      <c r="B1031" s="6" t="s">
        <v>1131</v>
      </c>
      <c r="C1031" s="9" t="s">
        <v>35</v>
      </c>
      <c r="D1031" s="6" t="s">
        <v>20</v>
      </c>
      <c r="E1031" s="6" t="s">
        <v>37</v>
      </c>
      <c r="F1031" s="6" t="s">
        <v>9</v>
      </c>
      <c r="G1031" s="6" t="s">
        <v>34</v>
      </c>
      <c r="H1031" s="9" t="s">
        <v>35</v>
      </c>
      <c r="I1031" s="7" t="str">
        <f t="shared" si="64"/>
        <v>61001002000</v>
      </c>
      <c r="J1031" s="7" t="str">
        <f t="shared" si="65"/>
        <v>Материал по ЕГРН</v>
      </c>
      <c r="K1031" s="7">
        <f>VLOOKUP(J1031,Лист2!A$2:B$4,2,FALSE)</f>
        <v>792</v>
      </c>
      <c r="L1031" s="7" t="str">
        <f t="shared" si="66"/>
        <v>ГОТОВ</v>
      </c>
      <c r="M1031" s="7" t="str">
        <f t="shared" si="67"/>
        <v>61001002000</v>
      </c>
    </row>
    <row r="1032" spans="1:13" x14ac:dyDescent="0.25">
      <c r="A1032" s="1">
        <v>874431</v>
      </c>
      <c r="B1032" s="6" t="s">
        <v>1132</v>
      </c>
      <c r="C1032" s="9" t="s">
        <v>33</v>
      </c>
      <c r="D1032" s="6" t="s">
        <v>20</v>
      </c>
      <c r="E1032" s="6" t="s">
        <v>37</v>
      </c>
      <c r="F1032" s="6" t="s">
        <v>9</v>
      </c>
      <c r="G1032" s="6" t="s">
        <v>38</v>
      </c>
      <c r="H1032" s="9" t="s">
        <v>33</v>
      </c>
      <c r="I1032" s="7" t="str">
        <f t="shared" si="64"/>
        <v>61001005000</v>
      </c>
      <c r="J1032" s="7" t="str">
        <f t="shared" si="65"/>
        <v>Материал по ЕГРН</v>
      </c>
      <c r="K1032" s="7">
        <f>VLOOKUP(J1032,Лист2!A$2:B$4,2,FALSE)</f>
        <v>792</v>
      </c>
      <c r="L1032" s="7" t="str">
        <f t="shared" si="66"/>
        <v>ГОТОВ</v>
      </c>
      <c r="M1032" s="7" t="str">
        <f t="shared" si="67"/>
        <v>61001005000</v>
      </c>
    </row>
    <row r="1033" spans="1:13" x14ac:dyDescent="0.25">
      <c r="A1033" s="1">
        <v>307765</v>
      </c>
      <c r="B1033" s="6" t="s">
        <v>1133</v>
      </c>
      <c r="C1033" s="9" t="s">
        <v>12</v>
      </c>
      <c r="D1033" s="6" t="s">
        <v>20</v>
      </c>
      <c r="E1033" s="6" t="s">
        <v>37</v>
      </c>
      <c r="F1033" s="6" t="s">
        <v>9</v>
      </c>
      <c r="G1033" s="6" t="s">
        <v>90</v>
      </c>
      <c r="H1033" s="9" t="s">
        <v>12</v>
      </c>
      <c r="I1033" s="7" t="str">
        <f t="shared" si="64"/>
        <v>61001008000</v>
      </c>
      <c r="J1033" s="7" t="str">
        <f t="shared" si="65"/>
        <v>Материал по ЕГРН</v>
      </c>
      <c r="K1033" s="7">
        <f>VLOOKUP(J1033,Лист2!A$2:B$4,2,FALSE)</f>
        <v>792</v>
      </c>
      <c r="L1033" s="7" t="str">
        <f t="shared" si="66"/>
        <v>ГОТОВ</v>
      </c>
      <c r="M1033" s="7" t="str">
        <f t="shared" si="67"/>
        <v>61001008000</v>
      </c>
    </row>
    <row r="1034" spans="1:13" x14ac:dyDescent="0.25">
      <c r="A1034" s="1">
        <v>733248</v>
      </c>
      <c r="B1034" s="6" t="s">
        <v>1134</v>
      </c>
      <c r="C1034" s="9" t="s">
        <v>33</v>
      </c>
      <c r="D1034" s="6" t="s">
        <v>20</v>
      </c>
      <c r="E1034" s="6" t="s">
        <v>8</v>
      </c>
      <c r="F1034" s="6" t="s">
        <v>9</v>
      </c>
      <c r="G1034" s="6" t="s">
        <v>10</v>
      </c>
      <c r="H1034" s="9" t="s">
        <v>11</v>
      </c>
      <c r="I1034" s="7" t="str">
        <f t="shared" si="64"/>
        <v>61001003000</v>
      </c>
      <c r="J1034" s="7" t="str">
        <f t="shared" si="65"/>
        <v>Материал по ЕГРН</v>
      </c>
      <c r="K1034" s="7">
        <f>VLOOKUP(J1034,Лист2!A$2:B$4,2,FALSE)</f>
        <v>792</v>
      </c>
      <c r="L1034" s="7" t="str">
        <f t="shared" si="66"/>
        <v>ГОТОВ_ИЗМЕНЕН</v>
      </c>
      <c r="M1034" s="7" t="str">
        <f t="shared" si="67"/>
        <v>61001005000</v>
      </c>
    </row>
    <row r="1035" spans="1:13" x14ac:dyDescent="0.25">
      <c r="A1035" s="1">
        <v>787664</v>
      </c>
      <c r="B1035" s="6" t="s">
        <v>1135</v>
      </c>
      <c r="C1035" s="9" t="s">
        <v>33</v>
      </c>
      <c r="D1035" s="6" t="s">
        <v>20</v>
      </c>
      <c r="E1035" s="6" t="s">
        <v>37</v>
      </c>
      <c r="F1035" s="6" t="s">
        <v>9</v>
      </c>
      <c r="G1035" s="6" t="s">
        <v>38</v>
      </c>
      <c r="H1035" s="9" t="s">
        <v>33</v>
      </c>
      <c r="I1035" s="7" t="str">
        <f t="shared" si="64"/>
        <v>61001005000</v>
      </c>
      <c r="J1035" s="7" t="str">
        <f t="shared" si="65"/>
        <v>Материал по ЕГРН</v>
      </c>
      <c r="K1035" s="7">
        <f>VLOOKUP(J1035,Лист2!A$2:B$4,2,FALSE)</f>
        <v>792</v>
      </c>
      <c r="L1035" s="7" t="str">
        <f t="shared" si="66"/>
        <v>ГОТОВ</v>
      </c>
      <c r="M1035" s="7" t="str">
        <f t="shared" si="67"/>
        <v>61001005000</v>
      </c>
    </row>
    <row r="1036" spans="1:13" x14ac:dyDescent="0.25">
      <c r="A1036" s="1">
        <v>943418</v>
      </c>
      <c r="B1036" s="6" t="s">
        <v>1136</v>
      </c>
      <c r="F1036" s="6" t="s">
        <v>9</v>
      </c>
      <c r="G1036" s="6" t="s">
        <v>10</v>
      </c>
      <c r="H1036" s="9" t="s">
        <v>11</v>
      </c>
      <c r="I1036" s="7" t="str">
        <f t="shared" si="64"/>
        <v>61001003000</v>
      </c>
      <c r="J1036" s="7" t="str">
        <f t="shared" si="65"/>
        <v>Материал по ЕГРН</v>
      </c>
      <c r="K1036" s="7">
        <f>VLOOKUP(J1036,Лист2!A$2:B$4,2,FALSE)</f>
        <v>792</v>
      </c>
      <c r="L1036" s="7" t="str">
        <f t="shared" si="66"/>
        <v>ГОТОВ_ИЗМЕНЕН</v>
      </c>
      <c r="M1036" s="7">
        <f t="shared" si="67"/>
        <v>0</v>
      </c>
    </row>
    <row r="1037" spans="1:13" x14ac:dyDescent="0.25">
      <c r="A1037" s="1">
        <v>943430</v>
      </c>
      <c r="B1037" s="6" t="s">
        <v>1137</v>
      </c>
      <c r="F1037" s="6" t="s">
        <v>9</v>
      </c>
      <c r="G1037" s="6" t="s">
        <v>38</v>
      </c>
      <c r="H1037" s="9" t="s">
        <v>33</v>
      </c>
      <c r="I1037" s="7" t="str">
        <f t="shared" si="64"/>
        <v>61001005000</v>
      </c>
      <c r="J1037" s="7" t="str">
        <f t="shared" si="65"/>
        <v>Материал по ЕГРН</v>
      </c>
      <c r="K1037" s="7">
        <f>VLOOKUP(J1037,Лист2!A$2:B$4,2,FALSE)</f>
        <v>792</v>
      </c>
      <c r="L1037" s="7" t="str">
        <f t="shared" si="66"/>
        <v>ГОТОВ_ИЗМЕНЕН</v>
      </c>
      <c r="M1037" s="7">
        <f t="shared" si="67"/>
        <v>0</v>
      </c>
    </row>
    <row r="1038" spans="1:13" x14ac:dyDescent="0.25">
      <c r="A1038" s="1">
        <v>943442</v>
      </c>
      <c r="B1038" s="6" t="s">
        <v>1138</v>
      </c>
      <c r="F1038" s="6" t="s">
        <v>9</v>
      </c>
      <c r="G1038" s="6" t="s">
        <v>38</v>
      </c>
      <c r="H1038" s="9" t="s">
        <v>33</v>
      </c>
      <c r="I1038" s="7" t="str">
        <f t="shared" si="64"/>
        <v>61001005000</v>
      </c>
      <c r="J1038" s="7" t="str">
        <f t="shared" si="65"/>
        <v>Материал по ЕГРН</v>
      </c>
      <c r="K1038" s="7">
        <f>VLOOKUP(J1038,Лист2!A$2:B$4,2,FALSE)</f>
        <v>792</v>
      </c>
      <c r="L1038" s="7" t="str">
        <f t="shared" si="66"/>
        <v>ГОТОВ_ИЗМЕНЕН</v>
      </c>
      <c r="M1038" s="7">
        <f t="shared" si="67"/>
        <v>0</v>
      </c>
    </row>
    <row r="1039" spans="1:13" x14ac:dyDescent="0.25">
      <c r="A1039" s="1">
        <v>943454</v>
      </c>
      <c r="B1039" s="6" t="s">
        <v>1139</v>
      </c>
      <c r="F1039" s="6" t="s">
        <v>9</v>
      </c>
      <c r="G1039" s="6" t="s">
        <v>62</v>
      </c>
      <c r="H1039" s="9" t="s">
        <v>63</v>
      </c>
      <c r="I1039" s="7" t="str">
        <f t="shared" si="64"/>
        <v>61001006002</v>
      </c>
      <c r="J1039" s="7" t="str">
        <f t="shared" si="65"/>
        <v>Материал по ЕГРН</v>
      </c>
      <c r="K1039" s="7">
        <f>VLOOKUP(J1039,Лист2!A$2:B$4,2,FALSE)</f>
        <v>792</v>
      </c>
      <c r="L1039" s="7" t="str">
        <f t="shared" si="66"/>
        <v>ГОТОВ_ИЗМЕНЕН</v>
      </c>
      <c r="M1039" s="7">
        <f t="shared" si="67"/>
        <v>0</v>
      </c>
    </row>
    <row r="1040" spans="1:13" x14ac:dyDescent="0.25">
      <c r="A1040" s="1">
        <v>943466</v>
      </c>
      <c r="B1040" s="6" t="s">
        <v>1140</v>
      </c>
      <c r="F1040" s="6" t="s">
        <v>9</v>
      </c>
      <c r="G1040" s="6" t="s">
        <v>38</v>
      </c>
      <c r="H1040" s="9" t="s">
        <v>33</v>
      </c>
      <c r="I1040" s="7" t="str">
        <f t="shared" si="64"/>
        <v>61001005000</v>
      </c>
      <c r="J1040" s="7" t="str">
        <f t="shared" si="65"/>
        <v>Материал по ЕГРН</v>
      </c>
      <c r="K1040" s="7">
        <f>VLOOKUP(J1040,Лист2!A$2:B$4,2,FALSE)</f>
        <v>792</v>
      </c>
      <c r="L1040" s="7" t="str">
        <f t="shared" si="66"/>
        <v>ГОТОВ_ИЗМЕНЕН</v>
      </c>
      <c r="M1040" s="7">
        <f t="shared" si="67"/>
        <v>0</v>
      </c>
    </row>
    <row r="1041" spans="1:13" x14ac:dyDescent="0.25">
      <c r="A1041" s="1">
        <v>943478</v>
      </c>
      <c r="B1041" s="6" t="s">
        <v>1141</v>
      </c>
      <c r="F1041" s="6" t="s">
        <v>9</v>
      </c>
      <c r="G1041" s="6" t="s">
        <v>34</v>
      </c>
      <c r="H1041" s="9" t="s">
        <v>35</v>
      </c>
      <c r="I1041" s="7" t="str">
        <f t="shared" si="64"/>
        <v>61001002000</v>
      </c>
      <c r="J1041" s="7" t="str">
        <f t="shared" si="65"/>
        <v>Материал по ЕГРН</v>
      </c>
      <c r="K1041" s="7">
        <f>VLOOKUP(J1041,Лист2!A$2:B$4,2,FALSE)</f>
        <v>792</v>
      </c>
      <c r="L1041" s="7" t="str">
        <f t="shared" si="66"/>
        <v>ГОТОВ_ИЗМЕНЕН</v>
      </c>
      <c r="M1041" s="7">
        <f t="shared" si="67"/>
        <v>0</v>
      </c>
    </row>
    <row r="1042" spans="1:13" x14ac:dyDescent="0.25">
      <c r="A1042" s="1">
        <v>943490</v>
      </c>
      <c r="B1042" s="6" t="s">
        <v>1142</v>
      </c>
      <c r="F1042" s="6" t="s">
        <v>9</v>
      </c>
      <c r="G1042" s="6" t="s">
        <v>10</v>
      </c>
      <c r="H1042" s="9" t="s">
        <v>11</v>
      </c>
      <c r="I1042" s="7" t="str">
        <f t="shared" si="64"/>
        <v>61001003000</v>
      </c>
      <c r="J1042" s="7" t="str">
        <f t="shared" si="65"/>
        <v>Материал по ЕГРН</v>
      </c>
      <c r="K1042" s="7">
        <f>VLOOKUP(J1042,Лист2!A$2:B$4,2,FALSE)</f>
        <v>792</v>
      </c>
      <c r="L1042" s="7" t="str">
        <f t="shared" si="66"/>
        <v>ГОТОВ_ИЗМЕНЕН</v>
      </c>
      <c r="M1042" s="7">
        <f t="shared" si="67"/>
        <v>0</v>
      </c>
    </row>
    <row r="1043" spans="1:13" x14ac:dyDescent="0.25">
      <c r="A1043" s="1">
        <v>943502</v>
      </c>
      <c r="B1043" s="6" t="s">
        <v>1143</v>
      </c>
      <c r="F1043" s="6" t="s">
        <v>9</v>
      </c>
      <c r="G1043" s="6" t="s">
        <v>38</v>
      </c>
      <c r="H1043" s="9" t="s">
        <v>33</v>
      </c>
      <c r="I1043" s="7" t="str">
        <f t="shared" si="64"/>
        <v>61001005000</v>
      </c>
      <c r="J1043" s="7" t="str">
        <f t="shared" si="65"/>
        <v>Материал по ЕГРН</v>
      </c>
      <c r="K1043" s="7">
        <f>VLOOKUP(J1043,Лист2!A$2:B$4,2,FALSE)</f>
        <v>792</v>
      </c>
      <c r="L1043" s="7" t="str">
        <f t="shared" si="66"/>
        <v>ГОТОВ_ИЗМЕНЕН</v>
      </c>
      <c r="M1043" s="7">
        <f t="shared" si="67"/>
        <v>0</v>
      </c>
    </row>
    <row r="1044" spans="1:13" x14ac:dyDescent="0.25">
      <c r="A1044" s="1">
        <v>943514</v>
      </c>
      <c r="B1044" s="6" t="s">
        <v>1144</v>
      </c>
      <c r="F1044" s="6" t="s">
        <v>9</v>
      </c>
      <c r="G1044" s="6" t="s">
        <v>1145</v>
      </c>
      <c r="H1044" s="9" t="s">
        <v>511</v>
      </c>
      <c r="I1044" s="7" t="str">
        <f t="shared" si="64"/>
        <v>61001003000</v>
      </c>
      <c r="J1044" s="7" t="str">
        <f t="shared" si="65"/>
        <v>Смешанные по допущению</v>
      </c>
      <c r="K1044" s="7">
        <f>VLOOKUP(J1044,Лист2!A$2:B$4,2,FALSE)</f>
        <v>793</v>
      </c>
      <c r="L1044" s="7" t="str">
        <f t="shared" si="66"/>
        <v>ГОТОВ_ИЗМЕНЕН</v>
      </c>
      <c r="M1044" s="7">
        <f t="shared" si="67"/>
        <v>0</v>
      </c>
    </row>
    <row r="1045" spans="1:13" x14ac:dyDescent="0.25">
      <c r="A1045" s="1">
        <v>943526</v>
      </c>
      <c r="B1045" s="6" t="s">
        <v>1146</v>
      </c>
      <c r="F1045" s="6" t="s">
        <v>9</v>
      </c>
      <c r="G1045" s="6" t="s">
        <v>34</v>
      </c>
      <c r="H1045" s="9" t="s">
        <v>35</v>
      </c>
      <c r="I1045" s="7" t="str">
        <f t="shared" si="64"/>
        <v>61001002000</v>
      </c>
      <c r="J1045" s="7" t="str">
        <f t="shared" si="65"/>
        <v>Материал по ЕГРН</v>
      </c>
      <c r="K1045" s="7">
        <f>VLOOKUP(J1045,Лист2!A$2:B$4,2,FALSE)</f>
        <v>792</v>
      </c>
      <c r="L1045" s="7" t="str">
        <f t="shared" si="66"/>
        <v>ГОТОВ_ИЗМЕНЕН</v>
      </c>
      <c r="M1045" s="7">
        <f t="shared" si="67"/>
        <v>0</v>
      </c>
    </row>
    <row r="1046" spans="1:13" x14ac:dyDescent="0.25">
      <c r="A1046" s="1">
        <v>943538</v>
      </c>
      <c r="B1046" s="6" t="s">
        <v>1147</v>
      </c>
      <c r="F1046" s="6" t="s">
        <v>9</v>
      </c>
      <c r="G1046" s="6" t="s">
        <v>38</v>
      </c>
      <c r="H1046" s="9" t="s">
        <v>33</v>
      </c>
      <c r="I1046" s="7" t="str">
        <f t="shared" si="64"/>
        <v>61001005000</v>
      </c>
      <c r="J1046" s="7" t="str">
        <f t="shared" si="65"/>
        <v>Материал по ЕГРН</v>
      </c>
      <c r="K1046" s="7">
        <f>VLOOKUP(J1046,Лист2!A$2:B$4,2,FALSE)</f>
        <v>792</v>
      </c>
      <c r="L1046" s="7" t="str">
        <f t="shared" si="66"/>
        <v>ГОТОВ_ИЗМЕНЕН</v>
      </c>
      <c r="M1046" s="7">
        <f t="shared" si="67"/>
        <v>0</v>
      </c>
    </row>
    <row r="1047" spans="1:13" x14ac:dyDescent="0.25">
      <c r="A1047" s="1">
        <v>943550</v>
      </c>
      <c r="B1047" s="6" t="s">
        <v>1148</v>
      </c>
      <c r="F1047" s="6" t="s">
        <v>9</v>
      </c>
      <c r="G1047" s="6" t="s">
        <v>59</v>
      </c>
      <c r="H1047" s="9" t="s">
        <v>60</v>
      </c>
      <c r="I1047" s="7" t="str">
        <f t="shared" si="64"/>
        <v>61001001001</v>
      </c>
      <c r="J1047" s="7" t="str">
        <f t="shared" si="65"/>
        <v>Материал по ЕГРН</v>
      </c>
      <c r="K1047" s="7">
        <f>VLOOKUP(J1047,Лист2!A$2:B$4,2,FALSE)</f>
        <v>792</v>
      </c>
      <c r="L1047" s="7" t="str">
        <f t="shared" si="66"/>
        <v>ГОТОВ_ИЗМЕНЕН</v>
      </c>
      <c r="M1047" s="7">
        <f t="shared" si="67"/>
        <v>0</v>
      </c>
    </row>
    <row r="1048" spans="1:13" x14ac:dyDescent="0.25">
      <c r="A1048" s="1">
        <v>943562</v>
      </c>
      <c r="B1048" s="6" t="s">
        <v>1149</v>
      </c>
      <c r="F1048" s="6" t="s">
        <v>9</v>
      </c>
      <c r="G1048" s="6" t="s">
        <v>38</v>
      </c>
      <c r="H1048" s="9" t="s">
        <v>33</v>
      </c>
      <c r="I1048" s="7" t="str">
        <f t="shared" si="64"/>
        <v>61001005000</v>
      </c>
      <c r="J1048" s="7" t="str">
        <f t="shared" si="65"/>
        <v>Материал по ЕГРН</v>
      </c>
      <c r="K1048" s="7">
        <f>VLOOKUP(J1048,Лист2!A$2:B$4,2,FALSE)</f>
        <v>792</v>
      </c>
      <c r="L1048" s="7" t="str">
        <f t="shared" si="66"/>
        <v>ГОТОВ_ИЗМЕНЕН</v>
      </c>
      <c r="M1048" s="7">
        <f t="shared" si="67"/>
        <v>0</v>
      </c>
    </row>
    <row r="1049" spans="1:13" x14ac:dyDescent="0.25">
      <c r="A1049" s="1">
        <v>943574</v>
      </c>
      <c r="B1049" s="6" t="s">
        <v>1150</v>
      </c>
      <c r="F1049" s="6" t="s">
        <v>9</v>
      </c>
      <c r="G1049" s="6" t="s">
        <v>59</v>
      </c>
      <c r="H1049" s="9" t="s">
        <v>60</v>
      </c>
      <c r="I1049" s="7" t="str">
        <f t="shared" si="64"/>
        <v>61001001001</v>
      </c>
      <c r="J1049" s="7" t="str">
        <f t="shared" si="65"/>
        <v>Материал по ЕГРН</v>
      </c>
      <c r="K1049" s="7">
        <f>VLOOKUP(J1049,Лист2!A$2:B$4,2,FALSE)</f>
        <v>792</v>
      </c>
      <c r="L1049" s="7" t="str">
        <f t="shared" si="66"/>
        <v>ГОТОВ_ИЗМЕНЕН</v>
      </c>
      <c r="M1049" s="7">
        <f t="shared" si="67"/>
        <v>0</v>
      </c>
    </row>
    <row r="1050" spans="1:13" x14ac:dyDescent="0.25">
      <c r="A1050" s="1">
        <v>943586</v>
      </c>
      <c r="B1050" s="6" t="s">
        <v>1151</v>
      </c>
      <c r="F1050" s="6" t="s">
        <v>9</v>
      </c>
      <c r="G1050" s="6" t="s">
        <v>38</v>
      </c>
      <c r="H1050" s="9" t="s">
        <v>33</v>
      </c>
      <c r="I1050" s="7" t="str">
        <f t="shared" si="64"/>
        <v>61001005000</v>
      </c>
      <c r="J1050" s="7" t="str">
        <f t="shared" si="65"/>
        <v>Материал по ЕГРН</v>
      </c>
      <c r="K1050" s="7">
        <f>VLOOKUP(J1050,Лист2!A$2:B$4,2,FALSE)</f>
        <v>792</v>
      </c>
      <c r="L1050" s="7" t="str">
        <f t="shared" si="66"/>
        <v>ГОТОВ_ИЗМЕНЕН</v>
      </c>
      <c r="M1050" s="7">
        <f t="shared" si="67"/>
        <v>0</v>
      </c>
    </row>
    <row r="1051" spans="1:13" x14ac:dyDescent="0.25">
      <c r="A1051" s="1">
        <v>943598</v>
      </c>
      <c r="B1051" s="6" t="s">
        <v>1152</v>
      </c>
      <c r="F1051" s="6" t="s">
        <v>9</v>
      </c>
      <c r="G1051" s="6" t="s">
        <v>59</v>
      </c>
      <c r="H1051" s="9" t="s">
        <v>60</v>
      </c>
      <c r="I1051" s="7" t="str">
        <f t="shared" si="64"/>
        <v>61001001001</v>
      </c>
      <c r="J1051" s="7" t="str">
        <f t="shared" si="65"/>
        <v>Материал по ЕГРН</v>
      </c>
      <c r="K1051" s="7">
        <f>VLOOKUP(J1051,Лист2!A$2:B$4,2,FALSE)</f>
        <v>792</v>
      </c>
      <c r="L1051" s="7" t="str">
        <f t="shared" si="66"/>
        <v>ГОТОВ_ИЗМЕНЕН</v>
      </c>
      <c r="M1051" s="7">
        <f t="shared" si="67"/>
        <v>0</v>
      </c>
    </row>
    <row r="1052" spans="1:13" x14ac:dyDescent="0.25">
      <c r="A1052" s="1">
        <v>943610</v>
      </c>
      <c r="B1052" s="6" t="s">
        <v>1153</v>
      </c>
      <c r="F1052" s="6" t="s">
        <v>9</v>
      </c>
      <c r="G1052" s="6" t="s">
        <v>59</v>
      </c>
      <c r="H1052" s="9" t="s">
        <v>60</v>
      </c>
      <c r="I1052" s="7" t="str">
        <f t="shared" si="64"/>
        <v>61001001001</v>
      </c>
      <c r="J1052" s="7" t="str">
        <f t="shared" si="65"/>
        <v>Материал по ЕГРН</v>
      </c>
      <c r="K1052" s="7">
        <f>VLOOKUP(J1052,Лист2!A$2:B$4,2,FALSE)</f>
        <v>792</v>
      </c>
      <c r="L1052" s="7" t="str">
        <f t="shared" si="66"/>
        <v>ГОТОВ_ИЗМЕНЕН</v>
      </c>
      <c r="M1052" s="7">
        <f t="shared" si="67"/>
        <v>0</v>
      </c>
    </row>
    <row r="1053" spans="1:13" x14ac:dyDescent="0.25">
      <c r="A1053" s="1">
        <v>176559</v>
      </c>
      <c r="B1053" s="6" t="s">
        <v>1154</v>
      </c>
      <c r="C1053" s="9" t="s">
        <v>33</v>
      </c>
      <c r="D1053" s="6" t="s">
        <v>20</v>
      </c>
      <c r="E1053" s="6" t="s">
        <v>37</v>
      </c>
      <c r="F1053" s="6" t="s">
        <v>9</v>
      </c>
      <c r="G1053" s="6" t="s">
        <v>38</v>
      </c>
      <c r="H1053" s="9" t="s">
        <v>33</v>
      </c>
      <c r="I1053" s="7" t="str">
        <f t="shared" si="64"/>
        <v>61001005000</v>
      </c>
      <c r="J1053" s="7" t="str">
        <f t="shared" si="65"/>
        <v>Материал по ЕГРН</v>
      </c>
      <c r="K1053" s="7">
        <f>VLOOKUP(J1053,Лист2!A$2:B$4,2,FALSE)</f>
        <v>792</v>
      </c>
      <c r="L1053" s="7" t="str">
        <f t="shared" si="66"/>
        <v>ГОТОВ</v>
      </c>
      <c r="M1053" s="7" t="str">
        <f t="shared" si="67"/>
        <v>61001005000</v>
      </c>
    </row>
    <row r="1054" spans="1:13" x14ac:dyDescent="0.25">
      <c r="A1054" s="1">
        <v>340329</v>
      </c>
      <c r="B1054" s="6" t="s">
        <v>1155</v>
      </c>
      <c r="C1054" s="9" t="s">
        <v>42</v>
      </c>
      <c r="D1054" s="6" t="s">
        <v>20</v>
      </c>
      <c r="E1054" s="6" t="s">
        <v>37</v>
      </c>
      <c r="F1054" s="6" t="s">
        <v>9</v>
      </c>
      <c r="G1054" s="6" t="s">
        <v>43</v>
      </c>
      <c r="H1054" s="9" t="s">
        <v>42</v>
      </c>
      <c r="I1054" s="7" t="str">
        <f t="shared" si="64"/>
        <v>61001002001</v>
      </c>
      <c r="J1054" s="7" t="str">
        <f t="shared" si="65"/>
        <v>Материал по ЕГРН</v>
      </c>
      <c r="K1054" s="7">
        <f>VLOOKUP(J1054,Лист2!A$2:B$4,2,FALSE)</f>
        <v>792</v>
      </c>
      <c r="L1054" s="7" t="str">
        <f t="shared" si="66"/>
        <v>ГОТОВ</v>
      </c>
      <c r="M1054" s="7" t="str">
        <f t="shared" si="67"/>
        <v>61001002001</v>
      </c>
    </row>
    <row r="1055" spans="1:13" x14ac:dyDescent="0.25">
      <c r="A1055" s="1">
        <v>520883</v>
      </c>
      <c r="B1055" s="6" t="s">
        <v>1156</v>
      </c>
      <c r="C1055" s="9" t="s">
        <v>33</v>
      </c>
      <c r="D1055" s="6" t="s">
        <v>20</v>
      </c>
      <c r="E1055" s="6" t="s">
        <v>37</v>
      </c>
      <c r="F1055" s="6" t="s">
        <v>9</v>
      </c>
      <c r="G1055" s="6" t="s">
        <v>38</v>
      </c>
      <c r="H1055" s="9" t="s">
        <v>33</v>
      </c>
      <c r="I1055" s="7" t="str">
        <f t="shared" si="64"/>
        <v>61001005000</v>
      </c>
      <c r="J1055" s="7" t="str">
        <f t="shared" si="65"/>
        <v>Материал по ЕГРН</v>
      </c>
      <c r="K1055" s="7">
        <f>VLOOKUP(J1055,Лист2!A$2:B$4,2,FALSE)</f>
        <v>792</v>
      </c>
      <c r="L1055" s="7" t="str">
        <f t="shared" si="66"/>
        <v>ГОТОВ</v>
      </c>
      <c r="M1055" s="7" t="str">
        <f t="shared" si="67"/>
        <v>61001005000</v>
      </c>
    </row>
    <row r="1056" spans="1:13" x14ac:dyDescent="0.25">
      <c r="A1056" s="1">
        <v>527697</v>
      </c>
      <c r="B1056" s="6" t="s">
        <v>1157</v>
      </c>
      <c r="C1056" s="9" t="s">
        <v>33</v>
      </c>
      <c r="D1056" s="6" t="s">
        <v>20</v>
      </c>
      <c r="E1056" s="6" t="s">
        <v>37</v>
      </c>
      <c r="F1056" s="6" t="s">
        <v>9</v>
      </c>
      <c r="G1056" s="6" t="s">
        <v>38</v>
      </c>
      <c r="H1056" s="9" t="s">
        <v>33</v>
      </c>
      <c r="I1056" s="7" t="str">
        <f t="shared" si="64"/>
        <v>61001005000</v>
      </c>
      <c r="J1056" s="7" t="str">
        <f t="shared" si="65"/>
        <v>Материал по ЕГРН</v>
      </c>
      <c r="K1056" s="7">
        <f>VLOOKUP(J1056,Лист2!A$2:B$4,2,FALSE)</f>
        <v>792</v>
      </c>
      <c r="L1056" s="7" t="str">
        <f t="shared" si="66"/>
        <v>ГОТОВ</v>
      </c>
      <c r="M1056" s="7" t="str">
        <f t="shared" si="67"/>
        <v>61001005000</v>
      </c>
    </row>
    <row r="1057" spans="1:13" x14ac:dyDescent="0.25">
      <c r="A1057" s="1">
        <v>826758</v>
      </c>
      <c r="B1057" s="6" t="s">
        <v>1158</v>
      </c>
      <c r="C1057" s="9" t="s">
        <v>60</v>
      </c>
      <c r="D1057" s="6" t="s">
        <v>20</v>
      </c>
      <c r="E1057" s="6" t="s">
        <v>37</v>
      </c>
      <c r="F1057" s="6" t="s">
        <v>9</v>
      </c>
      <c r="G1057" s="6" t="s">
        <v>59</v>
      </c>
      <c r="H1057" s="9" t="s">
        <v>60</v>
      </c>
      <c r="I1057" s="7" t="str">
        <f t="shared" si="64"/>
        <v>61001001001</v>
      </c>
      <c r="J1057" s="7" t="str">
        <f t="shared" si="65"/>
        <v>Материал по ЕГРН</v>
      </c>
      <c r="K1057" s="7">
        <f>VLOOKUP(J1057,Лист2!A$2:B$4,2,FALSE)</f>
        <v>792</v>
      </c>
      <c r="L1057" s="7" t="str">
        <f t="shared" si="66"/>
        <v>ГОТОВ</v>
      </c>
      <c r="M1057" s="7" t="str">
        <f t="shared" si="67"/>
        <v>61001001001</v>
      </c>
    </row>
    <row r="1058" spans="1:13" x14ac:dyDescent="0.25">
      <c r="A1058" s="1">
        <v>944647</v>
      </c>
      <c r="B1058" s="6" t="s">
        <v>1159</v>
      </c>
      <c r="F1058" s="6" t="s">
        <v>9</v>
      </c>
      <c r="G1058" s="6" t="s">
        <v>59</v>
      </c>
      <c r="H1058" s="9" t="s">
        <v>60</v>
      </c>
      <c r="I1058" s="7" t="str">
        <f t="shared" si="64"/>
        <v>61001001001</v>
      </c>
      <c r="J1058" s="7" t="str">
        <f t="shared" si="65"/>
        <v>Материал по ЕГРН</v>
      </c>
      <c r="K1058" s="7">
        <f>VLOOKUP(J1058,Лист2!A$2:B$4,2,FALSE)</f>
        <v>792</v>
      </c>
      <c r="L1058" s="7" t="str">
        <f t="shared" si="66"/>
        <v>ГОТОВ_ИЗМЕНЕН</v>
      </c>
      <c r="M1058" s="7">
        <f t="shared" si="67"/>
        <v>0</v>
      </c>
    </row>
    <row r="1059" spans="1:13" x14ac:dyDescent="0.25">
      <c r="A1059" s="1">
        <v>944659</v>
      </c>
      <c r="B1059" s="6" t="s">
        <v>1160</v>
      </c>
      <c r="F1059" s="6" t="s">
        <v>9</v>
      </c>
      <c r="G1059" s="6" t="s">
        <v>34</v>
      </c>
      <c r="H1059" s="9" t="s">
        <v>35</v>
      </c>
      <c r="I1059" s="7" t="str">
        <f t="shared" si="64"/>
        <v>61001002000</v>
      </c>
      <c r="J1059" s="7" t="str">
        <f t="shared" si="65"/>
        <v>Материал по ЕГРН</v>
      </c>
      <c r="K1059" s="7">
        <f>VLOOKUP(J1059,Лист2!A$2:B$4,2,FALSE)</f>
        <v>792</v>
      </c>
      <c r="L1059" s="7" t="str">
        <f t="shared" si="66"/>
        <v>ГОТОВ_ИЗМЕНЕН</v>
      </c>
      <c r="M1059" s="7">
        <f t="shared" si="67"/>
        <v>0</v>
      </c>
    </row>
    <row r="1060" spans="1:13" x14ac:dyDescent="0.25">
      <c r="A1060" s="1">
        <v>944671</v>
      </c>
      <c r="B1060" s="6" t="s">
        <v>1161</v>
      </c>
      <c r="F1060" s="6" t="s">
        <v>9</v>
      </c>
      <c r="G1060" s="6" t="s">
        <v>10</v>
      </c>
      <c r="H1060" s="9" t="s">
        <v>11</v>
      </c>
      <c r="I1060" s="7" t="str">
        <f t="shared" si="64"/>
        <v>61001003000</v>
      </c>
      <c r="J1060" s="7" t="str">
        <f t="shared" si="65"/>
        <v>Материал по ЕГРН</v>
      </c>
      <c r="K1060" s="7">
        <f>VLOOKUP(J1060,Лист2!A$2:B$4,2,FALSE)</f>
        <v>792</v>
      </c>
      <c r="L1060" s="7" t="str">
        <f t="shared" si="66"/>
        <v>ГОТОВ_ИЗМЕНЕН</v>
      </c>
      <c r="M1060" s="7">
        <f t="shared" si="67"/>
        <v>0</v>
      </c>
    </row>
    <row r="1061" spans="1:13" x14ac:dyDescent="0.25">
      <c r="A1061" s="1">
        <v>944683</v>
      </c>
      <c r="B1061" s="6" t="s">
        <v>1162</v>
      </c>
      <c r="F1061" s="6" t="s">
        <v>9</v>
      </c>
      <c r="G1061" s="6" t="s">
        <v>59</v>
      </c>
      <c r="H1061" s="9" t="s">
        <v>60</v>
      </c>
      <c r="I1061" s="7" t="str">
        <f t="shared" si="64"/>
        <v>61001001001</v>
      </c>
      <c r="J1061" s="7" t="str">
        <f t="shared" si="65"/>
        <v>Материал по ЕГРН</v>
      </c>
      <c r="K1061" s="7">
        <f>VLOOKUP(J1061,Лист2!A$2:B$4,2,FALSE)</f>
        <v>792</v>
      </c>
      <c r="L1061" s="7" t="str">
        <f t="shared" si="66"/>
        <v>ГОТОВ_ИЗМЕНЕН</v>
      </c>
      <c r="M1061" s="7">
        <f t="shared" si="67"/>
        <v>0</v>
      </c>
    </row>
    <row r="1062" spans="1:13" x14ac:dyDescent="0.25">
      <c r="A1062" s="1">
        <v>944695</v>
      </c>
      <c r="B1062" s="6" t="s">
        <v>1163</v>
      </c>
      <c r="F1062" s="6" t="s">
        <v>9</v>
      </c>
      <c r="G1062" s="6" t="s">
        <v>62</v>
      </c>
      <c r="H1062" s="9" t="s">
        <v>63</v>
      </c>
      <c r="I1062" s="7" t="str">
        <f t="shared" si="64"/>
        <v>61001006002</v>
      </c>
      <c r="J1062" s="7" t="str">
        <f t="shared" si="65"/>
        <v>Материал по ЕГРН</v>
      </c>
      <c r="K1062" s="7">
        <f>VLOOKUP(J1062,Лист2!A$2:B$4,2,FALSE)</f>
        <v>792</v>
      </c>
      <c r="L1062" s="7" t="str">
        <f t="shared" si="66"/>
        <v>ГОТОВ_ИЗМЕНЕН</v>
      </c>
      <c r="M1062" s="7">
        <f t="shared" si="67"/>
        <v>0</v>
      </c>
    </row>
    <row r="1063" spans="1:13" x14ac:dyDescent="0.25">
      <c r="A1063" s="1">
        <v>944707</v>
      </c>
      <c r="B1063" s="6" t="s">
        <v>1164</v>
      </c>
      <c r="F1063" s="6" t="s">
        <v>9</v>
      </c>
      <c r="G1063" s="6" t="s">
        <v>62</v>
      </c>
      <c r="H1063" s="9" t="s">
        <v>63</v>
      </c>
      <c r="I1063" s="7" t="str">
        <f t="shared" si="64"/>
        <v>61001006002</v>
      </c>
      <c r="J1063" s="7" t="str">
        <f t="shared" si="65"/>
        <v>Материал по ЕГРН</v>
      </c>
      <c r="K1063" s="7">
        <f>VLOOKUP(J1063,Лист2!A$2:B$4,2,FALSE)</f>
        <v>792</v>
      </c>
      <c r="L1063" s="7" t="str">
        <f t="shared" si="66"/>
        <v>ГОТОВ_ИЗМЕНЕН</v>
      </c>
      <c r="M1063" s="7">
        <f t="shared" si="67"/>
        <v>0</v>
      </c>
    </row>
    <row r="1064" spans="1:13" x14ac:dyDescent="0.25">
      <c r="A1064" s="1">
        <v>944719</v>
      </c>
      <c r="B1064" s="6" t="s">
        <v>1165</v>
      </c>
      <c r="F1064" s="6" t="s">
        <v>9</v>
      </c>
      <c r="G1064" s="6" t="s">
        <v>38</v>
      </c>
      <c r="H1064" s="9" t="s">
        <v>33</v>
      </c>
      <c r="I1064" s="7" t="str">
        <f t="shared" si="64"/>
        <v>61001005000</v>
      </c>
      <c r="J1064" s="7" t="str">
        <f t="shared" si="65"/>
        <v>Материал по ЕГРН</v>
      </c>
      <c r="K1064" s="7">
        <f>VLOOKUP(J1064,Лист2!A$2:B$4,2,FALSE)</f>
        <v>792</v>
      </c>
      <c r="L1064" s="7" t="str">
        <f t="shared" si="66"/>
        <v>ГОТОВ_ИЗМЕНЕН</v>
      </c>
      <c r="M1064" s="7">
        <f t="shared" si="67"/>
        <v>0</v>
      </c>
    </row>
    <row r="1065" spans="1:13" x14ac:dyDescent="0.25">
      <c r="A1065" s="1">
        <v>944731</v>
      </c>
      <c r="B1065" s="6" t="s">
        <v>1166</v>
      </c>
      <c r="F1065" s="6" t="s">
        <v>9</v>
      </c>
      <c r="G1065" s="6" t="s">
        <v>73</v>
      </c>
      <c r="H1065" s="9" t="s">
        <v>74</v>
      </c>
      <c r="I1065" s="7" t="str">
        <f t="shared" si="64"/>
        <v>61001006000</v>
      </c>
      <c r="J1065" s="7" t="str">
        <f t="shared" si="65"/>
        <v>Материал по ЕГРН</v>
      </c>
      <c r="K1065" s="7">
        <f>VLOOKUP(J1065,Лист2!A$2:B$4,2,FALSE)</f>
        <v>792</v>
      </c>
      <c r="L1065" s="7" t="str">
        <f t="shared" si="66"/>
        <v>ГОТОВ_ИЗМЕНЕН</v>
      </c>
      <c r="M1065" s="7">
        <f t="shared" si="67"/>
        <v>0</v>
      </c>
    </row>
    <row r="1066" spans="1:13" x14ac:dyDescent="0.25">
      <c r="A1066" s="1">
        <v>944743</v>
      </c>
      <c r="B1066" s="6" t="s">
        <v>1167</v>
      </c>
      <c r="F1066" s="6" t="s">
        <v>9</v>
      </c>
      <c r="G1066" s="6" t="s">
        <v>38</v>
      </c>
      <c r="H1066" s="9" t="s">
        <v>33</v>
      </c>
      <c r="I1066" s="7" t="str">
        <f t="shared" si="64"/>
        <v>61001005000</v>
      </c>
      <c r="J1066" s="7" t="str">
        <f t="shared" si="65"/>
        <v>Материал по ЕГРН</v>
      </c>
      <c r="K1066" s="7">
        <f>VLOOKUP(J1066,Лист2!A$2:B$4,2,FALSE)</f>
        <v>792</v>
      </c>
      <c r="L1066" s="7" t="str">
        <f t="shared" si="66"/>
        <v>ГОТОВ_ИЗМЕНЕН</v>
      </c>
      <c r="M1066" s="7">
        <f t="shared" si="67"/>
        <v>0</v>
      </c>
    </row>
    <row r="1067" spans="1:13" x14ac:dyDescent="0.25">
      <c r="A1067" s="1">
        <v>944755</v>
      </c>
      <c r="B1067" s="6" t="s">
        <v>1168</v>
      </c>
      <c r="F1067" s="6" t="s">
        <v>9</v>
      </c>
      <c r="G1067" s="6" t="s">
        <v>38</v>
      </c>
      <c r="H1067" s="9" t="s">
        <v>33</v>
      </c>
      <c r="I1067" s="7" t="str">
        <f t="shared" si="64"/>
        <v>61001005000</v>
      </c>
      <c r="J1067" s="7" t="str">
        <f t="shared" si="65"/>
        <v>Материал по ЕГРН</v>
      </c>
      <c r="K1067" s="7">
        <f>VLOOKUP(J1067,Лист2!A$2:B$4,2,FALSE)</f>
        <v>792</v>
      </c>
      <c r="L1067" s="7" t="str">
        <f t="shared" si="66"/>
        <v>ГОТОВ_ИЗМЕНЕН</v>
      </c>
      <c r="M1067" s="7">
        <f t="shared" si="67"/>
        <v>0</v>
      </c>
    </row>
    <row r="1068" spans="1:13" x14ac:dyDescent="0.25">
      <c r="A1068" s="1">
        <v>944767</v>
      </c>
      <c r="B1068" s="6" t="s">
        <v>1169</v>
      </c>
      <c r="F1068" s="6" t="s">
        <v>9</v>
      </c>
      <c r="G1068" s="6" t="s">
        <v>38</v>
      </c>
      <c r="H1068" s="9" t="s">
        <v>33</v>
      </c>
      <c r="I1068" s="7" t="str">
        <f t="shared" si="64"/>
        <v>61001005000</v>
      </c>
      <c r="J1068" s="7" t="str">
        <f t="shared" si="65"/>
        <v>Материал по ЕГРН</v>
      </c>
      <c r="K1068" s="7">
        <f>VLOOKUP(J1068,Лист2!A$2:B$4,2,FALSE)</f>
        <v>792</v>
      </c>
      <c r="L1068" s="7" t="str">
        <f t="shared" si="66"/>
        <v>ГОТОВ_ИЗМЕНЕН</v>
      </c>
      <c r="M1068" s="7">
        <f t="shared" si="67"/>
        <v>0</v>
      </c>
    </row>
    <row r="1069" spans="1:13" x14ac:dyDescent="0.25">
      <c r="A1069" s="1">
        <v>944779</v>
      </c>
      <c r="B1069" s="6" t="s">
        <v>1170</v>
      </c>
      <c r="F1069" s="6" t="s">
        <v>9</v>
      </c>
      <c r="G1069" s="6" t="s">
        <v>10</v>
      </c>
      <c r="H1069" s="9" t="s">
        <v>11</v>
      </c>
      <c r="I1069" s="7" t="str">
        <f t="shared" si="64"/>
        <v>61001003000</v>
      </c>
      <c r="J1069" s="7" t="str">
        <f t="shared" si="65"/>
        <v>Материал по ЕГРН</v>
      </c>
      <c r="K1069" s="7">
        <f>VLOOKUP(J1069,Лист2!A$2:B$4,2,FALSE)</f>
        <v>792</v>
      </c>
      <c r="L1069" s="7" t="str">
        <f t="shared" si="66"/>
        <v>ГОТОВ_ИЗМЕНЕН</v>
      </c>
      <c r="M1069" s="7">
        <f t="shared" si="67"/>
        <v>0</v>
      </c>
    </row>
    <row r="1070" spans="1:13" x14ac:dyDescent="0.25">
      <c r="A1070" s="1">
        <v>944791</v>
      </c>
      <c r="B1070" s="6" t="s">
        <v>1171</v>
      </c>
      <c r="F1070" s="6" t="s">
        <v>9</v>
      </c>
      <c r="G1070" s="6" t="s">
        <v>59</v>
      </c>
      <c r="H1070" s="9" t="s">
        <v>60</v>
      </c>
      <c r="I1070" s="7" t="str">
        <f t="shared" si="64"/>
        <v>61001001001</v>
      </c>
      <c r="J1070" s="7" t="str">
        <f t="shared" si="65"/>
        <v>Материал по ЕГРН</v>
      </c>
      <c r="K1070" s="7">
        <f>VLOOKUP(J1070,Лист2!A$2:B$4,2,FALSE)</f>
        <v>792</v>
      </c>
      <c r="L1070" s="7" t="str">
        <f t="shared" si="66"/>
        <v>ГОТОВ_ИЗМЕНЕН</v>
      </c>
      <c r="M1070" s="7">
        <f t="shared" si="67"/>
        <v>0</v>
      </c>
    </row>
    <row r="1071" spans="1:13" x14ac:dyDescent="0.25">
      <c r="A1071" s="1">
        <v>944803</v>
      </c>
      <c r="B1071" s="6" t="s">
        <v>1172</v>
      </c>
      <c r="F1071" s="6" t="s">
        <v>9</v>
      </c>
      <c r="G1071" s="6" t="s">
        <v>59</v>
      </c>
      <c r="H1071" s="9" t="s">
        <v>60</v>
      </c>
      <c r="I1071" s="7" t="str">
        <f t="shared" si="64"/>
        <v>61001001001</v>
      </c>
      <c r="J1071" s="7" t="str">
        <f t="shared" si="65"/>
        <v>Материал по ЕГРН</v>
      </c>
      <c r="K1071" s="7">
        <f>VLOOKUP(J1071,Лист2!A$2:B$4,2,FALSE)</f>
        <v>792</v>
      </c>
      <c r="L1071" s="7" t="str">
        <f t="shared" si="66"/>
        <v>ГОТОВ_ИЗМЕНЕН</v>
      </c>
      <c r="M1071" s="7">
        <f t="shared" si="67"/>
        <v>0</v>
      </c>
    </row>
    <row r="1072" spans="1:13" x14ac:dyDescent="0.25">
      <c r="A1072" s="1">
        <v>944815</v>
      </c>
      <c r="B1072" s="6" t="s">
        <v>1173</v>
      </c>
      <c r="F1072" s="6" t="s">
        <v>9</v>
      </c>
      <c r="G1072" s="6" t="s">
        <v>38</v>
      </c>
      <c r="H1072" s="9" t="s">
        <v>33</v>
      </c>
      <c r="I1072" s="7" t="str">
        <f t="shared" si="64"/>
        <v>61001005000</v>
      </c>
      <c r="J1072" s="7" t="str">
        <f t="shared" si="65"/>
        <v>Материал по ЕГРН</v>
      </c>
      <c r="K1072" s="7">
        <f>VLOOKUP(J1072,Лист2!A$2:B$4,2,FALSE)</f>
        <v>792</v>
      </c>
      <c r="L1072" s="7" t="str">
        <f t="shared" si="66"/>
        <v>ГОТОВ_ИЗМЕНЕН</v>
      </c>
      <c r="M1072" s="7">
        <f t="shared" si="67"/>
        <v>0</v>
      </c>
    </row>
    <row r="1073" spans="1:13" x14ac:dyDescent="0.25">
      <c r="A1073" s="1">
        <v>944827</v>
      </c>
      <c r="B1073" s="6" t="s">
        <v>1174</v>
      </c>
      <c r="F1073" s="6" t="s">
        <v>9</v>
      </c>
      <c r="G1073" s="6" t="s">
        <v>38</v>
      </c>
      <c r="H1073" s="9" t="s">
        <v>33</v>
      </c>
      <c r="I1073" s="7" t="str">
        <f t="shared" si="64"/>
        <v>61001005000</v>
      </c>
      <c r="J1073" s="7" t="str">
        <f t="shared" si="65"/>
        <v>Материал по ЕГРН</v>
      </c>
      <c r="K1073" s="7">
        <f>VLOOKUP(J1073,Лист2!A$2:B$4,2,FALSE)</f>
        <v>792</v>
      </c>
      <c r="L1073" s="7" t="str">
        <f t="shared" si="66"/>
        <v>ГОТОВ_ИЗМЕНЕН</v>
      </c>
      <c r="M1073" s="7">
        <f t="shared" si="67"/>
        <v>0</v>
      </c>
    </row>
    <row r="1074" spans="1:13" x14ac:dyDescent="0.25">
      <c r="A1074" s="1">
        <v>944839</v>
      </c>
      <c r="B1074" s="6" t="s">
        <v>1175</v>
      </c>
      <c r="F1074" s="6" t="s">
        <v>9</v>
      </c>
      <c r="G1074" s="6" t="s">
        <v>38</v>
      </c>
      <c r="H1074" s="9" t="s">
        <v>33</v>
      </c>
      <c r="I1074" s="7" t="str">
        <f t="shared" si="64"/>
        <v>61001005000</v>
      </c>
      <c r="J1074" s="7" t="str">
        <f t="shared" si="65"/>
        <v>Материал по ЕГРН</v>
      </c>
      <c r="K1074" s="7">
        <f>VLOOKUP(J1074,Лист2!A$2:B$4,2,FALSE)</f>
        <v>792</v>
      </c>
      <c r="L1074" s="7" t="str">
        <f t="shared" si="66"/>
        <v>ГОТОВ_ИЗМЕНЕН</v>
      </c>
      <c r="M1074" s="7">
        <f t="shared" si="67"/>
        <v>0</v>
      </c>
    </row>
    <row r="1075" spans="1:13" x14ac:dyDescent="0.25">
      <c r="A1075" s="1">
        <v>944851</v>
      </c>
      <c r="B1075" s="6" t="s">
        <v>1176</v>
      </c>
      <c r="F1075" s="6" t="s">
        <v>9</v>
      </c>
      <c r="G1075" s="6" t="s">
        <v>38</v>
      </c>
      <c r="H1075" s="9" t="s">
        <v>33</v>
      </c>
      <c r="I1075" s="7" t="str">
        <f t="shared" si="64"/>
        <v>61001005000</v>
      </c>
      <c r="J1075" s="7" t="str">
        <f t="shared" si="65"/>
        <v>Материал по ЕГРН</v>
      </c>
      <c r="K1075" s="7">
        <f>VLOOKUP(J1075,Лист2!A$2:B$4,2,FALSE)</f>
        <v>792</v>
      </c>
      <c r="L1075" s="7" t="str">
        <f t="shared" si="66"/>
        <v>ГОТОВ_ИЗМЕНЕН</v>
      </c>
      <c r="M1075" s="7">
        <f t="shared" si="67"/>
        <v>0</v>
      </c>
    </row>
    <row r="1076" spans="1:13" x14ac:dyDescent="0.25">
      <c r="A1076" s="1">
        <v>944863</v>
      </c>
      <c r="B1076" s="6" t="s">
        <v>1177</v>
      </c>
      <c r="F1076" s="6" t="s">
        <v>9</v>
      </c>
      <c r="G1076" s="6" t="s">
        <v>10</v>
      </c>
      <c r="H1076" s="9" t="s">
        <v>11</v>
      </c>
      <c r="I1076" s="7" t="str">
        <f t="shared" si="64"/>
        <v>61001003000</v>
      </c>
      <c r="J1076" s="7" t="str">
        <f t="shared" si="65"/>
        <v>Материал по ЕГРН</v>
      </c>
      <c r="K1076" s="7">
        <f>VLOOKUP(J1076,Лист2!A$2:B$4,2,FALSE)</f>
        <v>792</v>
      </c>
      <c r="L1076" s="7" t="str">
        <f t="shared" si="66"/>
        <v>ГОТОВ_ИЗМЕНЕН</v>
      </c>
      <c r="M1076" s="7">
        <f t="shared" si="67"/>
        <v>0</v>
      </c>
    </row>
    <row r="1077" spans="1:13" x14ac:dyDescent="0.25">
      <c r="A1077" s="1">
        <v>944875</v>
      </c>
      <c r="B1077" s="6" t="s">
        <v>1178</v>
      </c>
      <c r="F1077" s="6" t="s">
        <v>9</v>
      </c>
      <c r="G1077" s="6" t="s">
        <v>38</v>
      </c>
      <c r="H1077" s="9" t="s">
        <v>33</v>
      </c>
      <c r="I1077" s="7" t="str">
        <f t="shared" si="64"/>
        <v>61001005000</v>
      </c>
      <c r="J1077" s="7" t="str">
        <f t="shared" si="65"/>
        <v>Материал по ЕГРН</v>
      </c>
      <c r="K1077" s="7">
        <f>VLOOKUP(J1077,Лист2!A$2:B$4,2,FALSE)</f>
        <v>792</v>
      </c>
      <c r="L1077" s="7" t="str">
        <f t="shared" si="66"/>
        <v>ГОТОВ_ИЗМЕНЕН</v>
      </c>
      <c r="M1077" s="7">
        <f t="shared" si="67"/>
        <v>0</v>
      </c>
    </row>
    <row r="1078" spans="1:13" x14ac:dyDescent="0.25">
      <c r="A1078" s="1">
        <v>944887</v>
      </c>
      <c r="B1078" s="6" t="s">
        <v>1179</v>
      </c>
      <c r="F1078" s="6" t="s">
        <v>9</v>
      </c>
      <c r="G1078" s="6" t="s">
        <v>10</v>
      </c>
      <c r="H1078" s="9" t="s">
        <v>11</v>
      </c>
      <c r="I1078" s="7" t="str">
        <f t="shared" si="64"/>
        <v>61001003000</v>
      </c>
      <c r="J1078" s="7" t="str">
        <f t="shared" si="65"/>
        <v>Материал по ЕГРН</v>
      </c>
      <c r="K1078" s="7">
        <f>VLOOKUP(J1078,Лист2!A$2:B$4,2,FALSE)</f>
        <v>792</v>
      </c>
      <c r="L1078" s="7" t="str">
        <f t="shared" si="66"/>
        <v>ГОТОВ_ИЗМЕНЕН</v>
      </c>
      <c r="M1078" s="7">
        <f t="shared" si="67"/>
        <v>0</v>
      </c>
    </row>
    <row r="1079" spans="1:13" x14ac:dyDescent="0.25">
      <c r="A1079" s="1">
        <v>944899</v>
      </c>
      <c r="B1079" s="6" t="s">
        <v>1180</v>
      </c>
      <c r="F1079" s="6" t="s">
        <v>9</v>
      </c>
      <c r="G1079" s="6" t="s">
        <v>10</v>
      </c>
      <c r="H1079" s="9" t="s">
        <v>11</v>
      </c>
      <c r="I1079" s="7" t="str">
        <f t="shared" si="64"/>
        <v>61001003000</v>
      </c>
      <c r="J1079" s="7" t="str">
        <f t="shared" si="65"/>
        <v>Материал по ЕГРН</v>
      </c>
      <c r="K1079" s="7">
        <f>VLOOKUP(J1079,Лист2!A$2:B$4,2,FALSE)</f>
        <v>792</v>
      </c>
      <c r="L1079" s="7" t="str">
        <f t="shared" si="66"/>
        <v>ГОТОВ_ИЗМЕНЕН</v>
      </c>
      <c r="M1079" s="7">
        <f t="shared" si="67"/>
        <v>0</v>
      </c>
    </row>
    <row r="1080" spans="1:13" x14ac:dyDescent="0.25">
      <c r="A1080" s="1">
        <v>120868</v>
      </c>
      <c r="B1080" s="6" t="s">
        <v>1181</v>
      </c>
      <c r="C1080" s="9" t="s">
        <v>1182</v>
      </c>
      <c r="D1080" s="6" t="s">
        <v>20</v>
      </c>
      <c r="E1080" s="6" t="s">
        <v>37</v>
      </c>
      <c r="F1080" s="6" t="s">
        <v>9</v>
      </c>
      <c r="G1080" s="6" t="s">
        <v>1183</v>
      </c>
      <c r="H1080" s="9" t="s">
        <v>1182</v>
      </c>
      <c r="I1080" s="7" t="str">
        <f t="shared" si="64"/>
        <v>61001002004</v>
      </c>
      <c r="J1080" s="7" t="str">
        <f t="shared" si="65"/>
        <v>Материал по ЕГРН</v>
      </c>
      <c r="K1080" s="7">
        <f>VLOOKUP(J1080,Лист2!A$2:B$4,2,FALSE)</f>
        <v>792</v>
      </c>
      <c r="L1080" s="7" t="str">
        <f t="shared" si="66"/>
        <v>ГОТОВ</v>
      </c>
      <c r="M1080" s="7" t="str">
        <f t="shared" si="67"/>
        <v>61001002004</v>
      </c>
    </row>
    <row r="1081" spans="1:13" x14ac:dyDescent="0.25">
      <c r="A1081" s="1">
        <v>350577</v>
      </c>
      <c r="B1081" s="6" t="s">
        <v>1184</v>
      </c>
      <c r="C1081" s="9" t="s">
        <v>33</v>
      </c>
      <c r="D1081" s="6" t="s">
        <v>20</v>
      </c>
      <c r="E1081" s="6" t="s">
        <v>37</v>
      </c>
      <c r="F1081" s="6" t="s">
        <v>9</v>
      </c>
      <c r="G1081" s="6" t="s">
        <v>38</v>
      </c>
      <c r="H1081" s="9" t="s">
        <v>33</v>
      </c>
      <c r="I1081" s="7" t="str">
        <f t="shared" si="64"/>
        <v>61001005000</v>
      </c>
      <c r="J1081" s="7" t="str">
        <f t="shared" si="65"/>
        <v>Материал по ЕГРН</v>
      </c>
      <c r="K1081" s="7">
        <f>VLOOKUP(J1081,Лист2!A$2:B$4,2,FALSE)</f>
        <v>792</v>
      </c>
      <c r="L1081" s="7" t="str">
        <f t="shared" si="66"/>
        <v>ГОТОВ</v>
      </c>
      <c r="M1081" s="7" t="str">
        <f t="shared" si="67"/>
        <v>61001005000</v>
      </c>
    </row>
    <row r="1082" spans="1:13" x14ac:dyDescent="0.25">
      <c r="A1082" s="1">
        <v>399039</v>
      </c>
      <c r="B1082" s="6" t="s">
        <v>1185</v>
      </c>
      <c r="C1082" s="9" t="s">
        <v>33</v>
      </c>
      <c r="D1082" s="6" t="s">
        <v>20</v>
      </c>
      <c r="E1082" s="6" t="s">
        <v>8</v>
      </c>
      <c r="F1082" s="6" t="s">
        <v>9</v>
      </c>
      <c r="G1082" s="6" t="s">
        <v>34</v>
      </c>
      <c r="H1082" s="9" t="s">
        <v>35</v>
      </c>
      <c r="I1082" s="7" t="str">
        <f t="shared" si="64"/>
        <v>61001002000</v>
      </c>
      <c r="J1082" s="7" t="str">
        <f t="shared" si="65"/>
        <v>Материал по ЕГРН</v>
      </c>
      <c r="K1082" s="7">
        <f>VLOOKUP(J1082,Лист2!A$2:B$4,2,FALSE)</f>
        <v>792</v>
      </c>
      <c r="L1082" s="7" t="str">
        <f t="shared" si="66"/>
        <v>ГОТОВ_ИЗМЕНЕН</v>
      </c>
      <c r="M1082" s="7" t="str">
        <f t="shared" si="67"/>
        <v>61001005000</v>
      </c>
    </row>
    <row r="1083" spans="1:13" x14ac:dyDescent="0.25">
      <c r="A1083" s="1">
        <v>789647</v>
      </c>
      <c r="B1083" s="6" t="s">
        <v>1186</v>
      </c>
      <c r="C1083" s="9" t="s">
        <v>35</v>
      </c>
      <c r="D1083" s="6" t="s">
        <v>20</v>
      </c>
      <c r="E1083" s="6" t="s">
        <v>37</v>
      </c>
      <c r="F1083" s="6" t="s">
        <v>9</v>
      </c>
      <c r="G1083" s="6" t="s">
        <v>34</v>
      </c>
      <c r="H1083" s="9" t="s">
        <v>35</v>
      </c>
      <c r="I1083" s="7" t="str">
        <f t="shared" si="64"/>
        <v>61001002000</v>
      </c>
      <c r="J1083" s="7" t="str">
        <f t="shared" si="65"/>
        <v>Материал по ЕГРН</v>
      </c>
      <c r="K1083" s="7">
        <f>VLOOKUP(J1083,Лист2!A$2:B$4,2,FALSE)</f>
        <v>792</v>
      </c>
      <c r="L1083" s="7" t="str">
        <f t="shared" si="66"/>
        <v>ГОТОВ</v>
      </c>
      <c r="M1083" s="7" t="str">
        <f t="shared" si="67"/>
        <v>61001002000</v>
      </c>
    </row>
    <row r="1084" spans="1:13" x14ac:dyDescent="0.25">
      <c r="A1084" s="1">
        <v>946163</v>
      </c>
      <c r="B1084" s="6" t="s">
        <v>1187</v>
      </c>
      <c r="F1084" s="6" t="s">
        <v>9</v>
      </c>
      <c r="G1084" s="6" t="s">
        <v>38</v>
      </c>
      <c r="H1084" s="9" t="s">
        <v>33</v>
      </c>
      <c r="I1084" s="7" t="str">
        <f t="shared" si="64"/>
        <v>61001005000</v>
      </c>
      <c r="J1084" s="7" t="str">
        <f t="shared" si="65"/>
        <v>Материал по ЕГРН</v>
      </c>
      <c r="K1084" s="7">
        <f>VLOOKUP(J1084,Лист2!A$2:B$4,2,FALSE)</f>
        <v>792</v>
      </c>
      <c r="L1084" s="7" t="str">
        <f t="shared" si="66"/>
        <v>ГОТОВ_ИЗМЕНЕН</v>
      </c>
      <c r="M1084" s="7">
        <f t="shared" si="67"/>
        <v>0</v>
      </c>
    </row>
    <row r="1085" spans="1:13" x14ac:dyDescent="0.25">
      <c r="A1085" s="1">
        <v>946175</v>
      </c>
      <c r="B1085" s="6" t="s">
        <v>1188</v>
      </c>
      <c r="F1085" s="6" t="s">
        <v>9</v>
      </c>
      <c r="G1085" s="6" t="s">
        <v>1145</v>
      </c>
      <c r="H1085" s="9" t="s">
        <v>511</v>
      </c>
      <c r="I1085" s="7" t="str">
        <f t="shared" si="64"/>
        <v>61001003000</v>
      </c>
      <c r="J1085" s="7" t="str">
        <f t="shared" si="65"/>
        <v>Смешанные по допущению</v>
      </c>
      <c r="K1085" s="7">
        <f>VLOOKUP(J1085,Лист2!A$2:B$4,2,FALSE)</f>
        <v>793</v>
      </c>
      <c r="L1085" s="7" t="str">
        <f t="shared" si="66"/>
        <v>ГОТОВ_ИЗМЕНЕН</v>
      </c>
      <c r="M1085" s="7">
        <f t="shared" si="67"/>
        <v>0</v>
      </c>
    </row>
    <row r="1086" spans="1:13" x14ac:dyDescent="0.25">
      <c r="A1086" s="1">
        <v>946187</v>
      </c>
      <c r="B1086" s="6" t="s">
        <v>1189</v>
      </c>
      <c r="F1086" s="6" t="s">
        <v>9</v>
      </c>
      <c r="G1086" s="6" t="s">
        <v>34</v>
      </c>
      <c r="H1086" s="9" t="s">
        <v>35</v>
      </c>
      <c r="I1086" s="7" t="str">
        <f t="shared" si="64"/>
        <v>61001002000</v>
      </c>
      <c r="J1086" s="7" t="str">
        <f t="shared" si="65"/>
        <v>Материал по ЕГРН</v>
      </c>
      <c r="K1086" s="7">
        <f>VLOOKUP(J1086,Лист2!A$2:B$4,2,FALSE)</f>
        <v>792</v>
      </c>
      <c r="L1086" s="7" t="str">
        <f t="shared" si="66"/>
        <v>ГОТОВ_ИЗМЕНЕН</v>
      </c>
      <c r="M1086" s="7">
        <f t="shared" si="67"/>
        <v>0</v>
      </c>
    </row>
    <row r="1087" spans="1:13" x14ac:dyDescent="0.25">
      <c r="A1087" s="1">
        <v>946199</v>
      </c>
      <c r="B1087" s="6" t="s">
        <v>1190</v>
      </c>
      <c r="F1087" s="6" t="s">
        <v>9</v>
      </c>
      <c r="G1087" s="6" t="s">
        <v>38</v>
      </c>
      <c r="H1087" s="9" t="s">
        <v>33</v>
      </c>
      <c r="I1087" s="7" t="str">
        <f t="shared" si="64"/>
        <v>61001005000</v>
      </c>
      <c r="J1087" s="7" t="str">
        <f t="shared" si="65"/>
        <v>Материал по ЕГРН</v>
      </c>
      <c r="K1087" s="7">
        <f>VLOOKUP(J1087,Лист2!A$2:B$4,2,FALSE)</f>
        <v>792</v>
      </c>
      <c r="L1087" s="7" t="str">
        <f t="shared" si="66"/>
        <v>ГОТОВ_ИЗМЕНЕН</v>
      </c>
      <c r="M1087" s="7">
        <f t="shared" si="67"/>
        <v>0</v>
      </c>
    </row>
    <row r="1088" spans="1:13" x14ac:dyDescent="0.25">
      <c r="A1088" s="1">
        <v>946211</v>
      </c>
      <c r="B1088" s="6" t="s">
        <v>1191</v>
      </c>
      <c r="F1088" s="6" t="s">
        <v>9</v>
      </c>
      <c r="G1088" s="6" t="s">
        <v>139</v>
      </c>
      <c r="H1088" s="9" t="s">
        <v>140</v>
      </c>
      <c r="I1088" s="7" t="str">
        <f t="shared" si="64"/>
        <v>61001999000</v>
      </c>
      <c r="J1088" s="7" t="str">
        <f t="shared" si="65"/>
        <v>Материал по ЕГРН</v>
      </c>
      <c r="K1088" s="7">
        <f>VLOOKUP(J1088,Лист2!A$2:B$4,2,FALSE)</f>
        <v>792</v>
      </c>
      <c r="L1088" s="7" t="str">
        <f t="shared" si="66"/>
        <v>ГОТОВ_ИЗМЕНЕН</v>
      </c>
      <c r="M1088" s="7">
        <f t="shared" si="67"/>
        <v>0</v>
      </c>
    </row>
    <row r="1089" spans="1:13" x14ac:dyDescent="0.25">
      <c r="A1089" s="1">
        <v>946223</v>
      </c>
      <c r="B1089" s="6" t="s">
        <v>1192</v>
      </c>
      <c r="F1089" s="6" t="s">
        <v>9</v>
      </c>
      <c r="G1089" s="6" t="s">
        <v>59</v>
      </c>
      <c r="H1089" s="9" t="s">
        <v>60</v>
      </c>
      <c r="I1089" s="7" t="str">
        <f t="shared" si="64"/>
        <v>61001001001</v>
      </c>
      <c r="J1089" s="7" t="str">
        <f t="shared" si="65"/>
        <v>Материал по ЕГРН</v>
      </c>
      <c r="K1089" s="7">
        <f>VLOOKUP(J1089,Лист2!A$2:B$4,2,FALSE)</f>
        <v>792</v>
      </c>
      <c r="L1089" s="7" t="str">
        <f t="shared" si="66"/>
        <v>ГОТОВ_ИЗМЕНЕН</v>
      </c>
      <c r="M1089" s="7">
        <f t="shared" si="67"/>
        <v>0</v>
      </c>
    </row>
    <row r="1090" spans="1:13" x14ac:dyDescent="0.25">
      <c r="A1090" s="1">
        <v>946235</v>
      </c>
      <c r="B1090" s="6" t="s">
        <v>1193</v>
      </c>
      <c r="F1090" s="6" t="s">
        <v>9</v>
      </c>
      <c r="G1090" s="6" t="s">
        <v>38</v>
      </c>
      <c r="H1090" s="9" t="s">
        <v>33</v>
      </c>
      <c r="I1090" s="7" t="str">
        <f t="shared" si="64"/>
        <v>61001005000</v>
      </c>
      <c r="J1090" s="7" t="str">
        <f t="shared" si="65"/>
        <v>Материал по ЕГРН</v>
      </c>
      <c r="K1090" s="7">
        <f>VLOOKUP(J1090,Лист2!A$2:B$4,2,FALSE)</f>
        <v>792</v>
      </c>
      <c r="L1090" s="7" t="str">
        <f t="shared" si="66"/>
        <v>ГОТОВ_ИЗМЕНЕН</v>
      </c>
      <c r="M1090" s="7">
        <f t="shared" si="67"/>
        <v>0</v>
      </c>
    </row>
    <row r="1091" spans="1:13" x14ac:dyDescent="0.25">
      <c r="A1091" s="1">
        <v>946247</v>
      </c>
      <c r="B1091" s="6" t="s">
        <v>1194</v>
      </c>
      <c r="F1091" s="6" t="s">
        <v>9</v>
      </c>
      <c r="G1091" s="6" t="s">
        <v>38</v>
      </c>
      <c r="H1091" s="9" t="s">
        <v>33</v>
      </c>
      <c r="I1091" s="7" t="str">
        <f t="shared" si="64"/>
        <v>61001005000</v>
      </c>
      <c r="J1091" s="7" t="str">
        <f t="shared" si="65"/>
        <v>Материал по ЕГРН</v>
      </c>
      <c r="K1091" s="7">
        <f>VLOOKUP(J1091,Лист2!A$2:B$4,2,FALSE)</f>
        <v>792</v>
      </c>
      <c r="L1091" s="7" t="str">
        <f t="shared" si="66"/>
        <v>ГОТОВ_ИЗМЕНЕН</v>
      </c>
      <c r="M1091" s="7">
        <f t="shared" si="67"/>
        <v>0</v>
      </c>
    </row>
    <row r="1092" spans="1:13" x14ac:dyDescent="0.25">
      <c r="A1092" s="1">
        <v>946259</v>
      </c>
      <c r="B1092" s="6" t="s">
        <v>1195</v>
      </c>
      <c r="F1092" s="6" t="s">
        <v>9</v>
      </c>
      <c r="G1092" s="6" t="s">
        <v>38</v>
      </c>
      <c r="H1092" s="9" t="s">
        <v>33</v>
      </c>
      <c r="I1092" s="7" t="str">
        <f t="shared" si="64"/>
        <v>61001005000</v>
      </c>
      <c r="J1092" s="7" t="str">
        <f t="shared" si="65"/>
        <v>Материал по ЕГРН</v>
      </c>
      <c r="K1092" s="7">
        <f>VLOOKUP(J1092,Лист2!A$2:B$4,2,FALSE)</f>
        <v>792</v>
      </c>
      <c r="L1092" s="7" t="str">
        <f t="shared" si="66"/>
        <v>ГОТОВ_ИЗМЕНЕН</v>
      </c>
      <c r="M1092" s="7">
        <f t="shared" si="67"/>
        <v>0</v>
      </c>
    </row>
    <row r="1093" spans="1:13" x14ac:dyDescent="0.25">
      <c r="A1093" s="1">
        <v>946271</v>
      </c>
      <c r="B1093" s="6" t="s">
        <v>1196</v>
      </c>
      <c r="F1093" s="6" t="s">
        <v>9</v>
      </c>
      <c r="G1093" s="6" t="s">
        <v>34</v>
      </c>
      <c r="H1093" s="9" t="s">
        <v>35</v>
      </c>
      <c r="I1093" s="7" t="str">
        <f t="shared" ref="I1093:I1156" si="68">IF(LEN(H1093)=11,H1093,IF(LEN(H1093)=0,"61001005000","61001003000"))</f>
        <v>61001002000</v>
      </c>
      <c r="J1093" s="7" t="str">
        <f t="shared" ref="J1093:J1156" si="69">IF(LEN(H1093)=11,"Материал по ЕГРН",IF(LEN(H1093)=0,"Прочие по допущению","Смешанные по допущению"))</f>
        <v>Материал по ЕГРН</v>
      </c>
      <c r="K1093" s="7">
        <f>VLOOKUP(J1093,Лист2!A$2:B$4,2,FALSE)</f>
        <v>792</v>
      </c>
      <c r="L1093" s="7" t="str">
        <f t="shared" ref="L1093:L1156" si="70">IF(I1093=C1093,"ГОТОВ","ГОТОВ_ИЗМЕНЕН")</f>
        <v>ГОТОВ_ИЗМЕНЕН</v>
      </c>
      <c r="M1093" s="7">
        <f t="shared" ref="M1093:M1156" si="71">C1093</f>
        <v>0</v>
      </c>
    </row>
    <row r="1094" spans="1:13" x14ac:dyDescent="0.25">
      <c r="A1094" s="1">
        <v>946283</v>
      </c>
      <c r="B1094" s="6" t="s">
        <v>1197</v>
      </c>
      <c r="F1094" s="6" t="s">
        <v>9</v>
      </c>
      <c r="G1094" s="6" t="s">
        <v>1198</v>
      </c>
      <c r="H1094" s="9" t="s">
        <v>1199</v>
      </c>
      <c r="I1094" s="7" t="str">
        <f t="shared" si="68"/>
        <v>61001003000</v>
      </c>
      <c r="J1094" s="7" t="str">
        <f t="shared" si="69"/>
        <v>Смешанные по допущению</v>
      </c>
      <c r="K1094" s="7">
        <f>VLOOKUP(J1094,Лист2!A$2:B$4,2,FALSE)</f>
        <v>793</v>
      </c>
      <c r="L1094" s="7" t="str">
        <f t="shared" si="70"/>
        <v>ГОТОВ_ИЗМЕНЕН</v>
      </c>
      <c r="M1094" s="7">
        <f t="shared" si="71"/>
        <v>0</v>
      </c>
    </row>
    <row r="1095" spans="1:13" x14ac:dyDescent="0.25">
      <c r="A1095" s="1">
        <v>946295</v>
      </c>
      <c r="B1095" s="6" t="s">
        <v>1200</v>
      </c>
      <c r="F1095" s="6" t="s">
        <v>9</v>
      </c>
      <c r="G1095" s="6" t="s">
        <v>10</v>
      </c>
      <c r="H1095" s="9" t="s">
        <v>11</v>
      </c>
      <c r="I1095" s="7" t="str">
        <f t="shared" si="68"/>
        <v>61001003000</v>
      </c>
      <c r="J1095" s="7" t="str">
        <f t="shared" si="69"/>
        <v>Материал по ЕГРН</v>
      </c>
      <c r="K1095" s="7">
        <f>VLOOKUP(J1095,Лист2!A$2:B$4,2,FALSE)</f>
        <v>792</v>
      </c>
      <c r="L1095" s="7" t="str">
        <f t="shared" si="70"/>
        <v>ГОТОВ_ИЗМЕНЕН</v>
      </c>
      <c r="M1095" s="7">
        <f t="shared" si="71"/>
        <v>0</v>
      </c>
    </row>
    <row r="1096" spans="1:13" x14ac:dyDescent="0.25">
      <c r="A1096" s="1">
        <v>946307</v>
      </c>
      <c r="B1096" s="6" t="s">
        <v>1201</v>
      </c>
      <c r="F1096" s="6" t="s">
        <v>9</v>
      </c>
      <c r="G1096" s="6" t="s">
        <v>38</v>
      </c>
      <c r="H1096" s="9" t="s">
        <v>33</v>
      </c>
      <c r="I1096" s="7" t="str">
        <f t="shared" si="68"/>
        <v>61001005000</v>
      </c>
      <c r="J1096" s="7" t="str">
        <f t="shared" si="69"/>
        <v>Материал по ЕГРН</v>
      </c>
      <c r="K1096" s="7">
        <f>VLOOKUP(J1096,Лист2!A$2:B$4,2,FALSE)</f>
        <v>792</v>
      </c>
      <c r="L1096" s="7" t="str">
        <f t="shared" si="70"/>
        <v>ГОТОВ_ИЗМЕНЕН</v>
      </c>
      <c r="M1096" s="7">
        <f t="shared" si="71"/>
        <v>0</v>
      </c>
    </row>
    <row r="1097" spans="1:13" x14ac:dyDescent="0.25">
      <c r="A1097" s="1">
        <v>946319</v>
      </c>
      <c r="B1097" s="6" t="s">
        <v>1202</v>
      </c>
      <c r="F1097" s="6" t="s">
        <v>9</v>
      </c>
      <c r="G1097" s="6" t="s">
        <v>10</v>
      </c>
      <c r="H1097" s="9" t="s">
        <v>11</v>
      </c>
      <c r="I1097" s="7" t="str">
        <f t="shared" si="68"/>
        <v>61001003000</v>
      </c>
      <c r="J1097" s="7" t="str">
        <f t="shared" si="69"/>
        <v>Материал по ЕГРН</v>
      </c>
      <c r="K1097" s="7">
        <f>VLOOKUP(J1097,Лист2!A$2:B$4,2,FALSE)</f>
        <v>792</v>
      </c>
      <c r="L1097" s="7" t="str">
        <f t="shared" si="70"/>
        <v>ГОТОВ_ИЗМЕНЕН</v>
      </c>
      <c r="M1097" s="7">
        <f t="shared" si="71"/>
        <v>0</v>
      </c>
    </row>
    <row r="1098" spans="1:13" x14ac:dyDescent="0.25">
      <c r="A1098" s="1">
        <v>946331</v>
      </c>
      <c r="B1098" s="6" t="s">
        <v>1203</v>
      </c>
      <c r="F1098" s="6" t="s">
        <v>9</v>
      </c>
      <c r="G1098" s="6" t="s">
        <v>59</v>
      </c>
      <c r="H1098" s="9" t="s">
        <v>60</v>
      </c>
      <c r="I1098" s="7" t="str">
        <f t="shared" si="68"/>
        <v>61001001001</v>
      </c>
      <c r="J1098" s="7" t="str">
        <f t="shared" si="69"/>
        <v>Материал по ЕГРН</v>
      </c>
      <c r="K1098" s="7">
        <f>VLOOKUP(J1098,Лист2!A$2:B$4,2,FALSE)</f>
        <v>792</v>
      </c>
      <c r="L1098" s="7" t="str">
        <f t="shared" si="70"/>
        <v>ГОТОВ_ИЗМЕНЕН</v>
      </c>
      <c r="M1098" s="7">
        <f t="shared" si="71"/>
        <v>0</v>
      </c>
    </row>
    <row r="1099" spans="1:13" x14ac:dyDescent="0.25">
      <c r="A1099" s="1">
        <v>946343</v>
      </c>
      <c r="B1099" s="6" t="s">
        <v>1204</v>
      </c>
      <c r="F1099" s="6" t="s">
        <v>9</v>
      </c>
      <c r="G1099" s="6" t="s">
        <v>59</v>
      </c>
      <c r="H1099" s="9" t="s">
        <v>60</v>
      </c>
      <c r="I1099" s="7" t="str">
        <f t="shared" si="68"/>
        <v>61001001001</v>
      </c>
      <c r="J1099" s="7" t="str">
        <f t="shared" si="69"/>
        <v>Материал по ЕГРН</v>
      </c>
      <c r="K1099" s="7">
        <f>VLOOKUP(J1099,Лист2!A$2:B$4,2,FALSE)</f>
        <v>792</v>
      </c>
      <c r="L1099" s="7" t="str">
        <f t="shared" si="70"/>
        <v>ГОТОВ_ИЗМЕНЕН</v>
      </c>
      <c r="M1099" s="7">
        <f t="shared" si="71"/>
        <v>0</v>
      </c>
    </row>
    <row r="1100" spans="1:13" x14ac:dyDescent="0.25">
      <c r="A1100" s="1">
        <v>946355</v>
      </c>
      <c r="B1100" s="6" t="s">
        <v>1205</v>
      </c>
      <c r="F1100" s="6" t="s">
        <v>9</v>
      </c>
      <c r="G1100" s="6" t="s">
        <v>34</v>
      </c>
      <c r="H1100" s="9" t="s">
        <v>35</v>
      </c>
      <c r="I1100" s="7" t="str">
        <f t="shared" si="68"/>
        <v>61001002000</v>
      </c>
      <c r="J1100" s="7" t="str">
        <f t="shared" si="69"/>
        <v>Материал по ЕГРН</v>
      </c>
      <c r="K1100" s="7">
        <f>VLOOKUP(J1100,Лист2!A$2:B$4,2,FALSE)</f>
        <v>792</v>
      </c>
      <c r="L1100" s="7" t="str">
        <f t="shared" si="70"/>
        <v>ГОТОВ_ИЗМЕНЕН</v>
      </c>
      <c r="M1100" s="7">
        <f t="shared" si="71"/>
        <v>0</v>
      </c>
    </row>
    <row r="1101" spans="1:13" x14ac:dyDescent="0.25">
      <c r="A1101" s="1">
        <v>946367</v>
      </c>
      <c r="B1101" s="6" t="s">
        <v>1206</v>
      </c>
      <c r="F1101" s="6" t="s">
        <v>9</v>
      </c>
      <c r="G1101" s="6" t="s">
        <v>38</v>
      </c>
      <c r="H1101" s="9" t="s">
        <v>33</v>
      </c>
      <c r="I1101" s="7" t="str">
        <f t="shared" si="68"/>
        <v>61001005000</v>
      </c>
      <c r="J1101" s="7" t="str">
        <f t="shared" si="69"/>
        <v>Материал по ЕГРН</v>
      </c>
      <c r="K1101" s="7">
        <f>VLOOKUP(J1101,Лист2!A$2:B$4,2,FALSE)</f>
        <v>792</v>
      </c>
      <c r="L1101" s="7" t="str">
        <f t="shared" si="70"/>
        <v>ГОТОВ_ИЗМЕНЕН</v>
      </c>
      <c r="M1101" s="7">
        <f t="shared" si="71"/>
        <v>0</v>
      </c>
    </row>
    <row r="1102" spans="1:13" x14ac:dyDescent="0.25">
      <c r="A1102" s="1">
        <v>946379</v>
      </c>
      <c r="B1102" s="6" t="s">
        <v>1207</v>
      </c>
      <c r="F1102" s="6" t="s">
        <v>9</v>
      </c>
      <c r="G1102" s="6" t="s">
        <v>34</v>
      </c>
      <c r="H1102" s="9" t="s">
        <v>35</v>
      </c>
      <c r="I1102" s="7" t="str">
        <f t="shared" si="68"/>
        <v>61001002000</v>
      </c>
      <c r="J1102" s="7" t="str">
        <f t="shared" si="69"/>
        <v>Материал по ЕГРН</v>
      </c>
      <c r="K1102" s="7">
        <f>VLOOKUP(J1102,Лист2!A$2:B$4,2,FALSE)</f>
        <v>792</v>
      </c>
      <c r="L1102" s="7" t="str">
        <f t="shared" si="70"/>
        <v>ГОТОВ_ИЗМЕНЕН</v>
      </c>
      <c r="M1102" s="7">
        <f t="shared" si="71"/>
        <v>0</v>
      </c>
    </row>
    <row r="1103" spans="1:13" x14ac:dyDescent="0.25">
      <c r="A1103" s="1">
        <v>946391</v>
      </c>
      <c r="B1103" s="6" t="s">
        <v>1208</v>
      </c>
      <c r="F1103" s="6" t="s">
        <v>9</v>
      </c>
      <c r="G1103" s="6" t="s">
        <v>62</v>
      </c>
      <c r="H1103" s="9" t="s">
        <v>63</v>
      </c>
      <c r="I1103" s="7" t="str">
        <f t="shared" si="68"/>
        <v>61001006002</v>
      </c>
      <c r="J1103" s="7" t="str">
        <f t="shared" si="69"/>
        <v>Материал по ЕГРН</v>
      </c>
      <c r="K1103" s="7">
        <f>VLOOKUP(J1103,Лист2!A$2:B$4,2,FALSE)</f>
        <v>792</v>
      </c>
      <c r="L1103" s="7" t="str">
        <f t="shared" si="70"/>
        <v>ГОТОВ_ИЗМЕНЕН</v>
      </c>
      <c r="M1103" s="7">
        <f t="shared" si="71"/>
        <v>0</v>
      </c>
    </row>
    <row r="1104" spans="1:13" x14ac:dyDescent="0.25">
      <c r="A1104" s="1">
        <v>193446</v>
      </c>
      <c r="B1104" s="6" t="s">
        <v>1209</v>
      </c>
      <c r="C1104" s="9" t="s">
        <v>33</v>
      </c>
      <c r="D1104" s="6" t="s">
        <v>20</v>
      </c>
      <c r="E1104" s="6" t="s">
        <v>37</v>
      </c>
      <c r="F1104" s="6" t="s">
        <v>9</v>
      </c>
      <c r="G1104" s="6" t="s">
        <v>38</v>
      </c>
      <c r="H1104" s="9" t="s">
        <v>33</v>
      </c>
      <c r="I1104" s="7" t="str">
        <f t="shared" si="68"/>
        <v>61001005000</v>
      </c>
      <c r="J1104" s="7" t="str">
        <f t="shared" si="69"/>
        <v>Материал по ЕГРН</v>
      </c>
      <c r="K1104" s="7">
        <f>VLOOKUP(J1104,Лист2!A$2:B$4,2,FALSE)</f>
        <v>792</v>
      </c>
      <c r="L1104" s="7" t="str">
        <f t="shared" si="70"/>
        <v>ГОТОВ</v>
      </c>
      <c r="M1104" s="7" t="str">
        <f t="shared" si="71"/>
        <v>61001005000</v>
      </c>
    </row>
    <row r="1105" spans="1:13" x14ac:dyDescent="0.25">
      <c r="A1105" s="1">
        <v>535884</v>
      </c>
      <c r="B1105" s="6" t="s">
        <v>1210</v>
      </c>
      <c r="C1105" s="9" t="s">
        <v>42</v>
      </c>
      <c r="D1105" s="6" t="s">
        <v>20</v>
      </c>
      <c r="E1105" s="6" t="s">
        <v>37</v>
      </c>
      <c r="F1105" s="6" t="s">
        <v>9</v>
      </c>
      <c r="G1105" s="6" t="s">
        <v>43</v>
      </c>
      <c r="H1105" s="9" t="s">
        <v>42</v>
      </c>
      <c r="I1105" s="7" t="str">
        <f t="shared" si="68"/>
        <v>61001002001</v>
      </c>
      <c r="J1105" s="7" t="str">
        <f t="shared" si="69"/>
        <v>Материал по ЕГРН</v>
      </c>
      <c r="K1105" s="7">
        <f>VLOOKUP(J1105,Лист2!A$2:B$4,2,FALSE)</f>
        <v>792</v>
      </c>
      <c r="L1105" s="7" t="str">
        <f t="shared" si="70"/>
        <v>ГОТОВ</v>
      </c>
      <c r="M1105" s="7" t="str">
        <f t="shared" si="71"/>
        <v>61001002001</v>
      </c>
    </row>
    <row r="1106" spans="1:13" x14ac:dyDescent="0.25">
      <c r="A1106" s="1">
        <v>716911</v>
      </c>
      <c r="B1106" s="6" t="s">
        <v>1211</v>
      </c>
      <c r="C1106" s="9" t="s">
        <v>779</v>
      </c>
      <c r="D1106" s="6" t="s">
        <v>20</v>
      </c>
      <c r="E1106" s="6" t="s">
        <v>37</v>
      </c>
      <c r="F1106" s="6" t="s">
        <v>9</v>
      </c>
      <c r="G1106" s="6" t="s">
        <v>778</v>
      </c>
      <c r="H1106" s="9" t="s">
        <v>779</v>
      </c>
      <c r="I1106" s="7" t="str">
        <f t="shared" si="68"/>
        <v>61001003002</v>
      </c>
      <c r="J1106" s="7" t="str">
        <f t="shared" si="69"/>
        <v>Материал по ЕГРН</v>
      </c>
      <c r="K1106" s="7">
        <f>VLOOKUP(J1106,Лист2!A$2:B$4,2,FALSE)</f>
        <v>792</v>
      </c>
      <c r="L1106" s="7" t="str">
        <f t="shared" si="70"/>
        <v>ГОТОВ</v>
      </c>
      <c r="M1106" s="7" t="str">
        <f t="shared" si="71"/>
        <v>61001003002</v>
      </c>
    </row>
    <row r="1107" spans="1:13" x14ac:dyDescent="0.25">
      <c r="A1107" s="1">
        <v>944915</v>
      </c>
      <c r="B1107" s="6" t="s">
        <v>1212</v>
      </c>
      <c r="F1107" s="6" t="s">
        <v>9</v>
      </c>
      <c r="G1107" s="6" t="s">
        <v>38</v>
      </c>
      <c r="H1107" s="9" t="s">
        <v>33</v>
      </c>
      <c r="I1107" s="7" t="str">
        <f t="shared" si="68"/>
        <v>61001005000</v>
      </c>
      <c r="J1107" s="7" t="str">
        <f t="shared" si="69"/>
        <v>Материал по ЕГРН</v>
      </c>
      <c r="K1107" s="7">
        <f>VLOOKUP(J1107,Лист2!A$2:B$4,2,FALSE)</f>
        <v>792</v>
      </c>
      <c r="L1107" s="7" t="str">
        <f t="shared" si="70"/>
        <v>ГОТОВ_ИЗМЕНЕН</v>
      </c>
      <c r="M1107" s="7">
        <f t="shared" si="71"/>
        <v>0</v>
      </c>
    </row>
    <row r="1108" spans="1:13" x14ac:dyDescent="0.25">
      <c r="A1108" s="1">
        <v>944927</v>
      </c>
      <c r="B1108" s="6" t="s">
        <v>1213</v>
      </c>
      <c r="F1108" s="6" t="s">
        <v>9</v>
      </c>
      <c r="G1108" s="6" t="s">
        <v>90</v>
      </c>
      <c r="H1108" s="9" t="s">
        <v>12</v>
      </c>
      <c r="I1108" s="7" t="str">
        <f t="shared" si="68"/>
        <v>61001008000</v>
      </c>
      <c r="J1108" s="7" t="str">
        <f t="shared" si="69"/>
        <v>Материал по ЕГРН</v>
      </c>
      <c r="K1108" s="7">
        <f>VLOOKUP(J1108,Лист2!A$2:B$4,2,FALSE)</f>
        <v>792</v>
      </c>
      <c r="L1108" s="7" t="str">
        <f t="shared" si="70"/>
        <v>ГОТОВ_ИЗМЕНЕН</v>
      </c>
      <c r="M1108" s="7">
        <f t="shared" si="71"/>
        <v>0</v>
      </c>
    </row>
    <row r="1109" spans="1:13" x14ac:dyDescent="0.25">
      <c r="A1109" s="1">
        <v>944939</v>
      </c>
      <c r="B1109" s="6" t="s">
        <v>1214</v>
      </c>
      <c r="F1109" s="6" t="s">
        <v>9</v>
      </c>
      <c r="G1109" s="6" t="s">
        <v>34</v>
      </c>
      <c r="H1109" s="9" t="s">
        <v>35</v>
      </c>
      <c r="I1109" s="7" t="str">
        <f t="shared" si="68"/>
        <v>61001002000</v>
      </c>
      <c r="J1109" s="7" t="str">
        <f t="shared" si="69"/>
        <v>Материал по ЕГРН</v>
      </c>
      <c r="K1109" s="7">
        <f>VLOOKUP(J1109,Лист2!A$2:B$4,2,FALSE)</f>
        <v>792</v>
      </c>
      <c r="L1109" s="7" t="str">
        <f t="shared" si="70"/>
        <v>ГОТОВ_ИЗМЕНЕН</v>
      </c>
      <c r="M1109" s="7">
        <f t="shared" si="71"/>
        <v>0</v>
      </c>
    </row>
    <row r="1110" spans="1:13" x14ac:dyDescent="0.25">
      <c r="A1110" s="1">
        <v>944951</v>
      </c>
      <c r="B1110" s="6" t="s">
        <v>1215</v>
      </c>
      <c r="F1110" s="6" t="s">
        <v>9</v>
      </c>
      <c r="G1110" s="6" t="s">
        <v>10</v>
      </c>
      <c r="H1110" s="9" t="s">
        <v>11</v>
      </c>
      <c r="I1110" s="7" t="str">
        <f t="shared" si="68"/>
        <v>61001003000</v>
      </c>
      <c r="J1110" s="7" t="str">
        <f t="shared" si="69"/>
        <v>Материал по ЕГРН</v>
      </c>
      <c r="K1110" s="7">
        <f>VLOOKUP(J1110,Лист2!A$2:B$4,2,FALSE)</f>
        <v>792</v>
      </c>
      <c r="L1110" s="7" t="str">
        <f t="shared" si="70"/>
        <v>ГОТОВ_ИЗМЕНЕН</v>
      </c>
      <c r="M1110" s="7">
        <f t="shared" si="71"/>
        <v>0</v>
      </c>
    </row>
    <row r="1111" spans="1:13" x14ac:dyDescent="0.25">
      <c r="A1111" s="1">
        <v>944963</v>
      </c>
      <c r="B1111" s="6" t="s">
        <v>1216</v>
      </c>
      <c r="F1111" s="6" t="s">
        <v>9</v>
      </c>
      <c r="G1111" s="6" t="s">
        <v>38</v>
      </c>
      <c r="H1111" s="9" t="s">
        <v>33</v>
      </c>
      <c r="I1111" s="7" t="str">
        <f t="shared" si="68"/>
        <v>61001005000</v>
      </c>
      <c r="J1111" s="7" t="str">
        <f t="shared" si="69"/>
        <v>Материал по ЕГРН</v>
      </c>
      <c r="K1111" s="7">
        <f>VLOOKUP(J1111,Лист2!A$2:B$4,2,FALSE)</f>
        <v>792</v>
      </c>
      <c r="L1111" s="7" t="str">
        <f t="shared" si="70"/>
        <v>ГОТОВ_ИЗМЕНЕН</v>
      </c>
      <c r="M1111" s="7">
        <f t="shared" si="71"/>
        <v>0</v>
      </c>
    </row>
    <row r="1112" spans="1:13" x14ac:dyDescent="0.25">
      <c r="A1112" s="1">
        <v>944975</v>
      </c>
      <c r="B1112" s="6" t="s">
        <v>1217</v>
      </c>
      <c r="F1112" s="6" t="s">
        <v>9</v>
      </c>
      <c r="G1112" s="6" t="s">
        <v>38</v>
      </c>
      <c r="H1112" s="9" t="s">
        <v>33</v>
      </c>
      <c r="I1112" s="7" t="str">
        <f t="shared" si="68"/>
        <v>61001005000</v>
      </c>
      <c r="J1112" s="7" t="str">
        <f t="shared" si="69"/>
        <v>Материал по ЕГРН</v>
      </c>
      <c r="K1112" s="7">
        <f>VLOOKUP(J1112,Лист2!A$2:B$4,2,FALSE)</f>
        <v>792</v>
      </c>
      <c r="L1112" s="7" t="str">
        <f t="shared" si="70"/>
        <v>ГОТОВ_ИЗМЕНЕН</v>
      </c>
      <c r="M1112" s="7">
        <f t="shared" si="71"/>
        <v>0</v>
      </c>
    </row>
    <row r="1113" spans="1:13" x14ac:dyDescent="0.25">
      <c r="A1113" s="1">
        <v>944987</v>
      </c>
      <c r="B1113" s="6" t="s">
        <v>1218</v>
      </c>
      <c r="F1113" s="6" t="s">
        <v>9</v>
      </c>
      <c r="G1113" s="6" t="s">
        <v>38</v>
      </c>
      <c r="H1113" s="9" t="s">
        <v>33</v>
      </c>
      <c r="I1113" s="7" t="str">
        <f t="shared" si="68"/>
        <v>61001005000</v>
      </c>
      <c r="J1113" s="7" t="str">
        <f t="shared" si="69"/>
        <v>Материал по ЕГРН</v>
      </c>
      <c r="K1113" s="7">
        <f>VLOOKUP(J1113,Лист2!A$2:B$4,2,FALSE)</f>
        <v>792</v>
      </c>
      <c r="L1113" s="7" t="str">
        <f t="shared" si="70"/>
        <v>ГОТОВ_ИЗМЕНЕН</v>
      </c>
      <c r="M1113" s="7">
        <f t="shared" si="71"/>
        <v>0</v>
      </c>
    </row>
    <row r="1114" spans="1:13" x14ac:dyDescent="0.25">
      <c r="A1114" s="1">
        <v>944999</v>
      </c>
      <c r="B1114" s="6" t="s">
        <v>1219</v>
      </c>
      <c r="F1114" s="6" t="s">
        <v>9</v>
      </c>
      <c r="G1114" s="6" t="s">
        <v>38</v>
      </c>
      <c r="H1114" s="9" t="s">
        <v>33</v>
      </c>
      <c r="I1114" s="7" t="str">
        <f t="shared" si="68"/>
        <v>61001005000</v>
      </c>
      <c r="J1114" s="7" t="str">
        <f t="shared" si="69"/>
        <v>Материал по ЕГРН</v>
      </c>
      <c r="K1114" s="7">
        <f>VLOOKUP(J1114,Лист2!A$2:B$4,2,FALSE)</f>
        <v>792</v>
      </c>
      <c r="L1114" s="7" t="str">
        <f t="shared" si="70"/>
        <v>ГОТОВ_ИЗМЕНЕН</v>
      </c>
      <c r="M1114" s="7">
        <f t="shared" si="71"/>
        <v>0</v>
      </c>
    </row>
    <row r="1115" spans="1:13" x14ac:dyDescent="0.25">
      <c r="A1115" s="1">
        <v>945011</v>
      </c>
      <c r="B1115" s="6" t="s">
        <v>1220</v>
      </c>
      <c r="F1115" s="6" t="s">
        <v>9</v>
      </c>
      <c r="G1115" s="6" t="s">
        <v>38</v>
      </c>
      <c r="H1115" s="9" t="s">
        <v>33</v>
      </c>
      <c r="I1115" s="7" t="str">
        <f t="shared" si="68"/>
        <v>61001005000</v>
      </c>
      <c r="J1115" s="7" t="str">
        <f t="shared" si="69"/>
        <v>Материал по ЕГРН</v>
      </c>
      <c r="K1115" s="7">
        <f>VLOOKUP(J1115,Лист2!A$2:B$4,2,FALSE)</f>
        <v>792</v>
      </c>
      <c r="L1115" s="7" t="str">
        <f t="shared" si="70"/>
        <v>ГОТОВ_ИЗМЕНЕН</v>
      </c>
      <c r="M1115" s="7">
        <f t="shared" si="71"/>
        <v>0</v>
      </c>
    </row>
    <row r="1116" spans="1:13" x14ac:dyDescent="0.25">
      <c r="A1116" s="1">
        <v>945023</v>
      </c>
      <c r="B1116" s="6" t="s">
        <v>1221</v>
      </c>
      <c r="F1116" s="6" t="s">
        <v>9</v>
      </c>
      <c r="G1116" s="6" t="s">
        <v>38</v>
      </c>
      <c r="H1116" s="9" t="s">
        <v>33</v>
      </c>
      <c r="I1116" s="7" t="str">
        <f t="shared" si="68"/>
        <v>61001005000</v>
      </c>
      <c r="J1116" s="7" t="str">
        <f t="shared" si="69"/>
        <v>Материал по ЕГРН</v>
      </c>
      <c r="K1116" s="7">
        <f>VLOOKUP(J1116,Лист2!A$2:B$4,2,FALSE)</f>
        <v>792</v>
      </c>
      <c r="L1116" s="7" t="str">
        <f t="shared" si="70"/>
        <v>ГОТОВ_ИЗМЕНЕН</v>
      </c>
      <c r="M1116" s="7">
        <f t="shared" si="71"/>
        <v>0</v>
      </c>
    </row>
    <row r="1117" spans="1:13" x14ac:dyDescent="0.25">
      <c r="A1117" s="1">
        <v>945035</v>
      </c>
      <c r="B1117" s="6" t="s">
        <v>1222</v>
      </c>
      <c r="F1117" s="6" t="s">
        <v>9</v>
      </c>
      <c r="G1117" s="6" t="s">
        <v>38</v>
      </c>
      <c r="H1117" s="9" t="s">
        <v>33</v>
      </c>
      <c r="I1117" s="7" t="str">
        <f t="shared" si="68"/>
        <v>61001005000</v>
      </c>
      <c r="J1117" s="7" t="str">
        <f t="shared" si="69"/>
        <v>Материал по ЕГРН</v>
      </c>
      <c r="K1117" s="7">
        <f>VLOOKUP(J1117,Лист2!A$2:B$4,2,FALSE)</f>
        <v>792</v>
      </c>
      <c r="L1117" s="7" t="str">
        <f t="shared" si="70"/>
        <v>ГОТОВ_ИЗМЕНЕН</v>
      </c>
      <c r="M1117" s="7">
        <f t="shared" si="71"/>
        <v>0</v>
      </c>
    </row>
    <row r="1118" spans="1:13" x14ac:dyDescent="0.25">
      <c r="A1118" s="1">
        <v>945047</v>
      </c>
      <c r="B1118" s="6" t="s">
        <v>1223</v>
      </c>
      <c r="F1118" s="6" t="s">
        <v>9</v>
      </c>
      <c r="G1118" s="6" t="s">
        <v>62</v>
      </c>
      <c r="H1118" s="9" t="s">
        <v>63</v>
      </c>
      <c r="I1118" s="7" t="str">
        <f t="shared" si="68"/>
        <v>61001006002</v>
      </c>
      <c r="J1118" s="7" t="str">
        <f t="shared" si="69"/>
        <v>Материал по ЕГРН</v>
      </c>
      <c r="K1118" s="7">
        <f>VLOOKUP(J1118,Лист2!A$2:B$4,2,FALSE)</f>
        <v>792</v>
      </c>
      <c r="L1118" s="7" t="str">
        <f t="shared" si="70"/>
        <v>ГОТОВ_ИЗМЕНЕН</v>
      </c>
      <c r="M1118" s="7">
        <f t="shared" si="71"/>
        <v>0</v>
      </c>
    </row>
    <row r="1119" spans="1:13" x14ac:dyDescent="0.25">
      <c r="A1119" s="1">
        <v>945059</v>
      </c>
      <c r="B1119" s="6" t="s">
        <v>1224</v>
      </c>
      <c r="F1119" s="6" t="s">
        <v>9</v>
      </c>
      <c r="G1119" s="6" t="s">
        <v>59</v>
      </c>
      <c r="H1119" s="9" t="s">
        <v>60</v>
      </c>
      <c r="I1119" s="7" t="str">
        <f t="shared" si="68"/>
        <v>61001001001</v>
      </c>
      <c r="J1119" s="7" t="str">
        <f t="shared" si="69"/>
        <v>Материал по ЕГРН</v>
      </c>
      <c r="K1119" s="7">
        <f>VLOOKUP(J1119,Лист2!A$2:B$4,2,FALSE)</f>
        <v>792</v>
      </c>
      <c r="L1119" s="7" t="str">
        <f t="shared" si="70"/>
        <v>ГОТОВ_ИЗМЕНЕН</v>
      </c>
      <c r="M1119" s="7">
        <f t="shared" si="71"/>
        <v>0</v>
      </c>
    </row>
    <row r="1120" spans="1:13" x14ac:dyDescent="0.25">
      <c r="A1120" s="1">
        <v>945071</v>
      </c>
      <c r="B1120" s="6" t="s">
        <v>1225</v>
      </c>
      <c r="F1120" s="6" t="s">
        <v>9</v>
      </c>
      <c r="G1120" s="6" t="s">
        <v>73</v>
      </c>
      <c r="H1120" s="9" t="s">
        <v>74</v>
      </c>
      <c r="I1120" s="7" t="str">
        <f t="shared" si="68"/>
        <v>61001006000</v>
      </c>
      <c r="J1120" s="7" t="str">
        <f t="shared" si="69"/>
        <v>Материал по ЕГРН</v>
      </c>
      <c r="K1120" s="7">
        <f>VLOOKUP(J1120,Лист2!A$2:B$4,2,FALSE)</f>
        <v>792</v>
      </c>
      <c r="L1120" s="7" t="str">
        <f t="shared" si="70"/>
        <v>ГОТОВ_ИЗМЕНЕН</v>
      </c>
      <c r="M1120" s="7">
        <f t="shared" si="71"/>
        <v>0</v>
      </c>
    </row>
    <row r="1121" spans="1:13" x14ac:dyDescent="0.25">
      <c r="A1121" s="1">
        <v>945083</v>
      </c>
      <c r="B1121" s="6" t="s">
        <v>1226</v>
      </c>
      <c r="F1121" s="6" t="s">
        <v>9</v>
      </c>
      <c r="G1121" s="6" t="s">
        <v>34</v>
      </c>
      <c r="H1121" s="9" t="s">
        <v>35</v>
      </c>
      <c r="I1121" s="7" t="str">
        <f t="shared" si="68"/>
        <v>61001002000</v>
      </c>
      <c r="J1121" s="7" t="str">
        <f t="shared" si="69"/>
        <v>Материал по ЕГРН</v>
      </c>
      <c r="K1121" s="7">
        <f>VLOOKUP(J1121,Лист2!A$2:B$4,2,FALSE)</f>
        <v>792</v>
      </c>
      <c r="L1121" s="7" t="str">
        <f t="shared" si="70"/>
        <v>ГОТОВ_ИЗМЕНЕН</v>
      </c>
      <c r="M1121" s="7">
        <f t="shared" si="71"/>
        <v>0</v>
      </c>
    </row>
    <row r="1122" spans="1:13" x14ac:dyDescent="0.25">
      <c r="A1122" s="1">
        <v>945095</v>
      </c>
      <c r="B1122" s="6" t="s">
        <v>1227</v>
      </c>
      <c r="F1122" s="6" t="s">
        <v>9</v>
      </c>
      <c r="G1122" s="6" t="s">
        <v>59</v>
      </c>
      <c r="H1122" s="9" t="s">
        <v>60</v>
      </c>
      <c r="I1122" s="7" t="str">
        <f t="shared" si="68"/>
        <v>61001001001</v>
      </c>
      <c r="J1122" s="7" t="str">
        <f t="shared" si="69"/>
        <v>Материал по ЕГРН</v>
      </c>
      <c r="K1122" s="7">
        <f>VLOOKUP(J1122,Лист2!A$2:B$4,2,FALSE)</f>
        <v>792</v>
      </c>
      <c r="L1122" s="7" t="str">
        <f t="shared" si="70"/>
        <v>ГОТОВ_ИЗМЕНЕН</v>
      </c>
      <c r="M1122" s="7">
        <f t="shared" si="71"/>
        <v>0</v>
      </c>
    </row>
    <row r="1123" spans="1:13" x14ac:dyDescent="0.25">
      <c r="A1123" s="1">
        <v>945107</v>
      </c>
      <c r="B1123" s="6" t="s">
        <v>1228</v>
      </c>
      <c r="F1123" s="6" t="s">
        <v>9</v>
      </c>
      <c r="G1123" s="6" t="s">
        <v>38</v>
      </c>
      <c r="H1123" s="9" t="s">
        <v>33</v>
      </c>
      <c r="I1123" s="7" t="str">
        <f t="shared" si="68"/>
        <v>61001005000</v>
      </c>
      <c r="J1123" s="7" t="str">
        <f t="shared" si="69"/>
        <v>Материал по ЕГРН</v>
      </c>
      <c r="K1123" s="7">
        <f>VLOOKUP(J1123,Лист2!A$2:B$4,2,FALSE)</f>
        <v>792</v>
      </c>
      <c r="L1123" s="7" t="str">
        <f t="shared" si="70"/>
        <v>ГОТОВ_ИЗМЕНЕН</v>
      </c>
      <c r="M1123" s="7">
        <f t="shared" si="71"/>
        <v>0</v>
      </c>
    </row>
    <row r="1124" spans="1:13" x14ac:dyDescent="0.25">
      <c r="A1124" s="1">
        <v>945119</v>
      </c>
      <c r="B1124" s="6" t="s">
        <v>1229</v>
      </c>
      <c r="F1124" s="6" t="s">
        <v>9</v>
      </c>
      <c r="G1124" s="6" t="s">
        <v>34</v>
      </c>
      <c r="H1124" s="9" t="s">
        <v>35</v>
      </c>
      <c r="I1124" s="7" t="str">
        <f t="shared" si="68"/>
        <v>61001002000</v>
      </c>
      <c r="J1124" s="7" t="str">
        <f t="shared" si="69"/>
        <v>Материал по ЕГРН</v>
      </c>
      <c r="K1124" s="7">
        <f>VLOOKUP(J1124,Лист2!A$2:B$4,2,FALSE)</f>
        <v>792</v>
      </c>
      <c r="L1124" s="7" t="str">
        <f t="shared" si="70"/>
        <v>ГОТОВ_ИЗМЕНЕН</v>
      </c>
      <c r="M1124" s="7">
        <f t="shared" si="71"/>
        <v>0</v>
      </c>
    </row>
    <row r="1125" spans="1:13" x14ac:dyDescent="0.25">
      <c r="A1125" s="1">
        <v>945131</v>
      </c>
      <c r="B1125" s="6" t="s">
        <v>1230</v>
      </c>
      <c r="F1125" s="6" t="s">
        <v>9</v>
      </c>
      <c r="G1125" s="6" t="s">
        <v>10</v>
      </c>
      <c r="H1125" s="9" t="s">
        <v>11</v>
      </c>
      <c r="I1125" s="7" t="str">
        <f t="shared" si="68"/>
        <v>61001003000</v>
      </c>
      <c r="J1125" s="7" t="str">
        <f t="shared" si="69"/>
        <v>Материал по ЕГРН</v>
      </c>
      <c r="K1125" s="7">
        <f>VLOOKUP(J1125,Лист2!A$2:B$4,2,FALSE)</f>
        <v>792</v>
      </c>
      <c r="L1125" s="7" t="str">
        <f t="shared" si="70"/>
        <v>ГОТОВ_ИЗМЕНЕН</v>
      </c>
      <c r="M1125" s="7">
        <f t="shared" si="71"/>
        <v>0</v>
      </c>
    </row>
    <row r="1126" spans="1:13" x14ac:dyDescent="0.25">
      <c r="A1126" s="1">
        <v>945143</v>
      </c>
      <c r="B1126" s="6" t="s">
        <v>1231</v>
      </c>
      <c r="F1126" s="6" t="s">
        <v>9</v>
      </c>
      <c r="G1126" s="6" t="s">
        <v>62</v>
      </c>
      <c r="H1126" s="9" t="s">
        <v>63</v>
      </c>
      <c r="I1126" s="7" t="str">
        <f t="shared" si="68"/>
        <v>61001006002</v>
      </c>
      <c r="J1126" s="7" t="str">
        <f t="shared" si="69"/>
        <v>Материал по ЕГРН</v>
      </c>
      <c r="K1126" s="7">
        <f>VLOOKUP(J1126,Лист2!A$2:B$4,2,FALSE)</f>
        <v>792</v>
      </c>
      <c r="L1126" s="7" t="str">
        <f t="shared" si="70"/>
        <v>ГОТОВ_ИЗМЕНЕН</v>
      </c>
      <c r="M1126" s="7">
        <f t="shared" si="71"/>
        <v>0</v>
      </c>
    </row>
    <row r="1127" spans="1:13" x14ac:dyDescent="0.25">
      <c r="A1127" s="1">
        <v>945155</v>
      </c>
      <c r="B1127" s="6" t="s">
        <v>1232</v>
      </c>
      <c r="F1127" s="6" t="s">
        <v>9</v>
      </c>
      <c r="G1127" s="6" t="s">
        <v>38</v>
      </c>
      <c r="H1127" s="9" t="s">
        <v>33</v>
      </c>
      <c r="I1127" s="7" t="str">
        <f t="shared" si="68"/>
        <v>61001005000</v>
      </c>
      <c r="J1127" s="7" t="str">
        <f t="shared" si="69"/>
        <v>Материал по ЕГРН</v>
      </c>
      <c r="K1127" s="7">
        <f>VLOOKUP(J1127,Лист2!A$2:B$4,2,FALSE)</f>
        <v>792</v>
      </c>
      <c r="L1127" s="7" t="str">
        <f t="shared" si="70"/>
        <v>ГОТОВ_ИЗМЕНЕН</v>
      </c>
      <c r="M1127" s="7">
        <f t="shared" si="71"/>
        <v>0</v>
      </c>
    </row>
    <row r="1128" spans="1:13" x14ac:dyDescent="0.25">
      <c r="A1128" s="1">
        <v>945167</v>
      </c>
      <c r="B1128" s="6" t="s">
        <v>1233</v>
      </c>
      <c r="F1128" s="6" t="s">
        <v>9</v>
      </c>
      <c r="G1128" s="6" t="s">
        <v>34</v>
      </c>
      <c r="H1128" s="9" t="s">
        <v>35</v>
      </c>
      <c r="I1128" s="7" t="str">
        <f t="shared" si="68"/>
        <v>61001002000</v>
      </c>
      <c r="J1128" s="7" t="str">
        <f t="shared" si="69"/>
        <v>Материал по ЕГРН</v>
      </c>
      <c r="K1128" s="7">
        <f>VLOOKUP(J1128,Лист2!A$2:B$4,2,FALSE)</f>
        <v>792</v>
      </c>
      <c r="L1128" s="7" t="str">
        <f t="shared" si="70"/>
        <v>ГОТОВ_ИЗМЕНЕН</v>
      </c>
      <c r="M1128" s="7">
        <f t="shared" si="71"/>
        <v>0</v>
      </c>
    </row>
    <row r="1129" spans="1:13" x14ac:dyDescent="0.25">
      <c r="A1129" s="1">
        <v>945179</v>
      </c>
      <c r="B1129" s="6" t="s">
        <v>1234</v>
      </c>
      <c r="F1129" s="6" t="s">
        <v>9</v>
      </c>
      <c r="G1129" s="6" t="s">
        <v>90</v>
      </c>
      <c r="H1129" s="9" t="s">
        <v>12</v>
      </c>
      <c r="I1129" s="7" t="str">
        <f t="shared" si="68"/>
        <v>61001008000</v>
      </c>
      <c r="J1129" s="7" t="str">
        <f t="shared" si="69"/>
        <v>Материал по ЕГРН</v>
      </c>
      <c r="K1129" s="7">
        <f>VLOOKUP(J1129,Лист2!A$2:B$4,2,FALSE)</f>
        <v>792</v>
      </c>
      <c r="L1129" s="7" t="str">
        <f t="shared" si="70"/>
        <v>ГОТОВ_ИЗМЕНЕН</v>
      </c>
      <c r="M1129" s="7">
        <f t="shared" si="71"/>
        <v>0</v>
      </c>
    </row>
    <row r="1130" spans="1:13" x14ac:dyDescent="0.25">
      <c r="A1130" s="1">
        <v>945191</v>
      </c>
      <c r="B1130" s="6" t="s">
        <v>1235</v>
      </c>
      <c r="F1130" s="6" t="s">
        <v>9</v>
      </c>
      <c r="G1130" s="6" t="s">
        <v>38</v>
      </c>
      <c r="H1130" s="9" t="s">
        <v>33</v>
      </c>
      <c r="I1130" s="7" t="str">
        <f t="shared" si="68"/>
        <v>61001005000</v>
      </c>
      <c r="J1130" s="7" t="str">
        <f t="shared" si="69"/>
        <v>Материал по ЕГРН</v>
      </c>
      <c r="K1130" s="7">
        <f>VLOOKUP(J1130,Лист2!A$2:B$4,2,FALSE)</f>
        <v>792</v>
      </c>
      <c r="L1130" s="7" t="str">
        <f t="shared" si="70"/>
        <v>ГОТОВ_ИЗМЕНЕН</v>
      </c>
      <c r="M1130" s="7">
        <f t="shared" si="71"/>
        <v>0</v>
      </c>
    </row>
    <row r="1131" spans="1:13" x14ac:dyDescent="0.25">
      <c r="A1131" s="1">
        <v>321376</v>
      </c>
      <c r="B1131" s="6" t="s">
        <v>1236</v>
      </c>
      <c r="C1131" s="9" t="s">
        <v>35</v>
      </c>
      <c r="D1131" s="6" t="s">
        <v>20</v>
      </c>
      <c r="E1131" s="6" t="s">
        <v>37</v>
      </c>
      <c r="F1131" s="6" t="s">
        <v>9</v>
      </c>
      <c r="G1131" s="6" t="s">
        <v>34</v>
      </c>
      <c r="H1131" s="9" t="s">
        <v>35</v>
      </c>
      <c r="I1131" s="7" t="str">
        <f t="shared" si="68"/>
        <v>61001002000</v>
      </c>
      <c r="J1131" s="7" t="str">
        <f t="shared" si="69"/>
        <v>Материал по ЕГРН</v>
      </c>
      <c r="K1131" s="7">
        <f>VLOOKUP(J1131,Лист2!A$2:B$4,2,FALSE)</f>
        <v>792</v>
      </c>
      <c r="L1131" s="7" t="str">
        <f t="shared" si="70"/>
        <v>ГОТОВ</v>
      </c>
      <c r="M1131" s="7" t="str">
        <f t="shared" si="71"/>
        <v>61001002000</v>
      </c>
    </row>
    <row r="1132" spans="1:13" x14ac:dyDescent="0.25">
      <c r="A1132" s="1">
        <v>517540</v>
      </c>
      <c r="B1132" s="6" t="s">
        <v>1237</v>
      </c>
      <c r="C1132" s="9" t="s">
        <v>33</v>
      </c>
      <c r="D1132" s="6" t="s">
        <v>20</v>
      </c>
      <c r="E1132" s="6" t="s">
        <v>37</v>
      </c>
      <c r="F1132" s="6" t="s">
        <v>9</v>
      </c>
      <c r="G1132" s="6" t="s">
        <v>38</v>
      </c>
      <c r="H1132" s="9" t="s">
        <v>33</v>
      </c>
      <c r="I1132" s="7" t="str">
        <f t="shared" si="68"/>
        <v>61001005000</v>
      </c>
      <c r="J1132" s="7" t="str">
        <f t="shared" si="69"/>
        <v>Материал по ЕГРН</v>
      </c>
      <c r="K1132" s="7">
        <f>VLOOKUP(J1132,Лист2!A$2:B$4,2,FALSE)</f>
        <v>792</v>
      </c>
      <c r="L1132" s="7" t="str">
        <f t="shared" si="70"/>
        <v>ГОТОВ</v>
      </c>
      <c r="M1132" s="7" t="str">
        <f t="shared" si="71"/>
        <v>61001005000</v>
      </c>
    </row>
    <row r="1133" spans="1:13" x14ac:dyDescent="0.25">
      <c r="A1133" s="1">
        <v>834743</v>
      </c>
      <c r="B1133" s="6" t="s">
        <v>1238</v>
      </c>
      <c r="C1133" s="9" t="s">
        <v>35</v>
      </c>
      <c r="D1133" s="6" t="s">
        <v>20</v>
      </c>
      <c r="E1133" s="6" t="s">
        <v>37</v>
      </c>
      <c r="F1133" s="6" t="s">
        <v>9</v>
      </c>
      <c r="G1133" s="6" t="s">
        <v>34</v>
      </c>
      <c r="H1133" s="9" t="s">
        <v>35</v>
      </c>
      <c r="I1133" s="7" t="str">
        <f t="shared" si="68"/>
        <v>61001002000</v>
      </c>
      <c r="J1133" s="7" t="str">
        <f t="shared" si="69"/>
        <v>Материал по ЕГРН</v>
      </c>
      <c r="K1133" s="7">
        <f>VLOOKUP(J1133,Лист2!A$2:B$4,2,FALSE)</f>
        <v>792</v>
      </c>
      <c r="L1133" s="7" t="str">
        <f t="shared" si="70"/>
        <v>ГОТОВ</v>
      </c>
      <c r="M1133" s="7" t="str">
        <f t="shared" si="71"/>
        <v>61001002000</v>
      </c>
    </row>
    <row r="1134" spans="1:13" x14ac:dyDescent="0.25">
      <c r="A1134" s="1">
        <v>945206</v>
      </c>
      <c r="B1134" s="6" t="s">
        <v>1239</v>
      </c>
      <c r="F1134" s="6" t="s">
        <v>9</v>
      </c>
      <c r="G1134" s="6" t="s">
        <v>10</v>
      </c>
      <c r="H1134" s="9" t="s">
        <v>11</v>
      </c>
      <c r="I1134" s="7" t="str">
        <f t="shared" si="68"/>
        <v>61001003000</v>
      </c>
      <c r="J1134" s="7" t="str">
        <f t="shared" si="69"/>
        <v>Материал по ЕГРН</v>
      </c>
      <c r="K1134" s="7">
        <f>VLOOKUP(J1134,Лист2!A$2:B$4,2,FALSE)</f>
        <v>792</v>
      </c>
      <c r="L1134" s="7" t="str">
        <f t="shared" si="70"/>
        <v>ГОТОВ_ИЗМЕНЕН</v>
      </c>
      <c r="M1134" s="7">
        <f t="shared" si="71"/>
        <v>0</v>
      </c>
    </row>
    <row r="1135" spans="1:13" x14ac:dyDescent="0.25">
      <c r="A1135" s="1">
        <v>945218</v>
      </c>
      <c r="B1135" s="6" t="s">
        <v>1240</v>
      </c>
      <c r="F1135" s="6" t="s">
        <v>9</v>
      </c>
      <c r="G1135" s="6" t="s">
        <v>10</v>
      </c>
      <c r="H1135" s="9" t="s">
        <v>11</v>
      </c>
      <c r="I1135" s="7" t="str">
        <f t="shared" si="68"/>
        <v>61001003000</v>
      </c>
      <c r="J1135" s="7" t="str">
        <f t="shared" si="69"/>
        <v>Материал по ЕГРН</v>
      </c>
      <c r="K1135" s="7">
        <f>VLOOKUP(J1135,Лист2!A$2:B$4,2,FALSE)</f>
        <v>792</v>
      </c>
      <c r="L1135" s="7" t="str">
        <f t="shared" si="70"/>
        <v>ГОТОВ_ИЗМЕНЕН</v>
      </c>
      <c r="M1135" s="7">
        <f t="shared" si="71"/>
        <v>0</v>
      </c>
    </row>
    <row r="1136" spans="1:13" x14ac:dyDescent="0.25">
      <c r="A1136" s="1">
        <v>945230</v>
      </c>
      <c r="B1136" s="6" t="s">
        <v>1241</v>
      </c>
      <c r="F1136" s="6" t="s">
        <v>9</v>
      </c>
      <c r="G1136" s="6" t="s">
        <v>34</v>
      </c>
      <c r="H1136" s="9" t="s">
        <v>35</v>
      </c>
      <c r="I1136" s="7" t="str">
        <f t="shared" si="68"/>
        <v>61001002000</v>
      </c>
      <c r="J1136" s="7" t="str">
        <f t="shared" si="69"/>
        <v>Материал по ЕГРН</v>
      </c>
      <c r="K1136" s="7">
        <f>VLOOKUP(J1136,Лист2!A$2:B$4,2,FALSE)</f>
        <v>792</v>
      </c>
      <c r="L1136" s="7" t="str">
        <f t="shared" si="70"/>
        <v>ГОТОВ_ИЗМЕНЕН</v>
      </c>
      <c r="M1136" s="7">
        <f t="shared" si="71"/>
        <v>0</v>
      </c>
    </row>
    <row r="1137" spans="1:13" x14ac:dyDescent="0.25">
      <c r="A1137" s="1">
        <v>945242</v>
      </c>
      <c r="B1137" s="6" t="s">
        <v>1242</v>
      </c>
      <c r="F1137" s="6" t="s">
        <v>9</v>
      </c>
      <c r="G1137" s="6" t="s">
        <v>73</v>
      </c>
      <c r="H1137" s="9" t="s">
        <v>74</v>
      </c>
      <c r="I1137" s="7" t="str">
        <f t="shared" si="68"/>
        <v>61001006000</v>
      </c>
      <c r="J1137" s="7" t="str">
        <f t="shared" si="69"/>
        <v>Материал по ЕГРН</v>
      </c>
      <c r="K1137" s="7">
        <f>VLOOKUP(J1137,Лист2!A$2:B$4,2,FALSE)</f>
        <v>792</v>
      </c>
      <c r="L1137" s="7" t="str">
        <f t="shared" si="70"/>
        <v>ГОТОВ_ИЗМЕНЕН</v>
      </c>
      <c r="M1137" s="7">
        <f t="shared" si="71"/>
        <v>0</v>
      </c>
    </row>
    <row r="1138" spans="1:13" x14ac:dyDescent="0.25">
      <c r="A1138" s="1">
        <v>945254</v>
      </c>
      <c r="B1138" s="6" t="s">
        <v>1243</v>
      </c>
      <c r="F1138" s="6" t="s">
        <v>9</v>
      </c>
      <c r="G1138" s="6" t="s">
        <v>43</v>
      </c>
      <c r="H1138" s="9" t="s">
        <v>42</v>
      </c>
      <c r="I1138" s="7" t="str">
        <f t="shared" si="68"/>
        <v>61001002001</v>
      </c>
      <c r="J1138" s="7" t="str">
        <f t="shared" si="69"/>
        <v>Материал по ЕГРН</v>
      </c>
      <c r="K1138" s="7">
        <f>VLOOKUP(J1138,Лист2!A$2:B$4,2,FALSE)</f>
        <v>792</v>
      </c>
      <c r="L1138" s="7" t="str">
        <f t="shared" si="70"/>
        <v>ГОТОВ_ИЗМЕНЕН</v>
      </c>
      <c r="M1138" s="7">
        <f t="shared" si="71"/>
        <v>0</v>
      </c>
    </row>
    <row r="1139" spans="1:13" x14ac:dyDescent="0.25">
      <c r="A1139" s="1">
        <v>945266</v>
      </c>
      <c r="B1139" s="6" t="s">
        <v>1244</v>
      </c>
      <c r="F1139" s="6" t="s">
        <v>9</v>
      </c>
      <c r="G1139" s="6" t="s">
        <v>38</v>
      </c>
      <c r="H1139" s="9" t="s">
        <v>33</v>
      </c>
      <c r="I1139" s="7" t="str">
        <f t="shared" si="68"/>
        <v>61001005000</v>
      </c>
      <c r="J1139" s="7" t="str">
        <f t="shared" si="69"/>
        <v>Материал по ЕГРН</v>
      </c>
      <c r="K1139" s="7">
        <f>VLOOKUP(J1139,Лист2!A$2:B$4,2,FALSE)</f>
        <v>792</v>
      </c>
      <c r="L1139" s="7" t="str">
        <f t="shared" si="70"/>
        <v>ГОТОВ_ИЗМЕНЕН</v>
      </c>
      <c r="M1139" s="7">
        <f t="shared" si="71"/>
        <v>0</v>
      </c>
    </row>
    <row r="1140" spans="1:13" x14ac:dyDescent="0.25">
      <c r="A1140" s="1">
        <v>945278</v>
      </c>
      <c r="B1140" s="6" t="s">
        <v>1245</v>
      </c>
      <c r="F1140" s="6" t="s">
        <v>9</v>
      </c>
      <c r="G1140" s="6" t="s">
        <v>38</v>
      </c>
      <c r="H1140" s="9" t="s">
        <v>33</v>
      </c>
      <c r="I1140" s="7" t="str">
        <f t="shared" si="68"/>
        <v>61001005000</v>
      </c>
      <c r="J1140" s="7" t="str">
        <f t="shared" si="69"/>
        <v>Материал по ЕГРН</v>
      </c>
      <c r="K1140" s="7">
        <f>VLOOKUP(J1140,Лист2!A$2:B$4,2,FALSE)</f>
        <v>792</v>
      </c>
      <c r="L1140" s="7" t="str">
        <f t="shared" si="70"/>
        <v>ГОТОВ_ИЗМЕНЕН</v>
      </c>
      <c r="M1140" s="7">
        <f t="shared" si="71"/>
        <v>0</v>
      </c>
    </row>
    <row r="1141" spans="1:13" x14ac:dyDescent="0.25">
      <c r="A1141" s="1">
        <v>945290</v>
      </c>
      <c r="B1141" s="6" t="s">
        <v>1246</v>
      </c>
      <c r="F1141" s="6" t="s">
        <v>9</v>
      </c>
      <c r="G1141" s="6" t="s">
        <v>34</v>
      </c>
      <c r="H1141" s="9" t="s">
        <v>35</v>
      </c>
      <c r="I1141" s="7" t="str">
        <f t="shared" si="68"/>
        <v>61001002000</v>
      </c>
      <c r="J1141" s="7" t="str">
        <f t="shared" si="69"/>
        <v>Материал по ЕГРН</v>
      </c>
      <c r="K1141" s="7">
        <f>VLOOKUP(J1141,Лист2!A$2:B$4,2,FALSE)</f>
        <v>792</v>
      </c>
      <c r="L1141" s="7" t="str">
        <f t="shared" si="70"/>
        <v>ГОТОВ_ИЗМЕНЕН</v>
      </c>
      <c r="M1141" s="7">
        <f t="shared" si="71"/>
        <v>0</v>
      </c>
    </row>
    <row r="1142" spans="1:13" x14ac:dyDescent="0.25">
      <c r="A1142" s="1">
        <v>945302</v>
      </c>
      <c r="B1142" s="6" t="s">
        <v>1247</v>
      </c>
      <c r="F1142" s="6" t="s">
        <v>9</v>
      </c>
      <c r="G1142" s="6" t="s">
        <v>34</v>
      </c>
      <c r="H1142" s="9" t="s">
        <v>35</v>
      </c>
      <c r="I1142" s="7" t="str">
        <f t="shared" si="68"/>
        <v>61001002000</v>
      </c>
      <c r="J1142" s="7" t="str">
        <f t="shared" si="69"/>
        <v>Материал по ЕГРН</v>
      </c>
      <c r="K1142" s="7">
        <f>VLOOKUP(J1142,Лист2!A$2:B$4,2,FALSE)</f>
        <v>792</v>
      </c>
      <c r="L1142" s="7" t="str">
        <f t="shared" si="70"/>
        <v>ГОТОВ_ИЗМЕНЕН</v>
      </c>
      <c r="M1142" s="7">
        <f t="shared" si="71"/>
        <v>0</v>
      </c>
    </row>
    <row r="1143" spans="1:13" x14ac:dyDescent="0.25">
      <c r="A1143" s="1">
        <v>945314</v>
      </c>
      <c r="B1143" s="6" t="s">
        <v>1248</v>
      </c>
      <c r="F1143" s="6" t="s">
        <v>9</v>
      </c>
      <c r="G1143" s="6" t="s">
        <v>43</v>
      </c>
      <c r="H1143" s="9" t="s">
        <v>42</v>
      </c>
      <c r="I1143" s="7" t="str">
        <f t="shared" si="68"/>
        <v>61001002001</v>
      </c>
      <c r="J1143" s="7" t="str">
        <f t="shared" si="69"/>
        <v>Материал по ЕГРН</v>
      </c>
      <c r="K1143" s="7">
        <f>VLOOKUP(J1143,Лист2!A$2:B$4,2,FALSE)</f>
        <v>792</v>
      </c>
      <c r="L1143" s="7" t="str">
        <f t="shared" si="70"/>
        <v>ГОТОВ_ИЗМЕНЕН</v>
      </c>
      <c r="M1143" s="7">
        <f t="shared" si="71"/>
        <v>0</v>
      </c>
    </row>
    <row r="1144" spans="1:13" x14ac:dyDescent="0.25">
      <c r="A1144" s="1">
        <v>945326</v>
      </c>
      <c r="B1144" s="6" t="s">
        <v>1249</v>
      </c>
      <c r="F1144" s="6" t="s">
        <v>9</v>
      </c>
      <c r="G1144" s="6" t="s">
        <v>59</v>
      </c>
      <c r="H1144" s="9" t="s">
        <v>60</v>
      </c>
      <c r="I1144" s="7" t="str">
        <f t="shared" si="68"/>
        <v>61001001001</v>
      </c>
      <c r="J1144" s="7" t="str">
        <f t="shared" si="69"/>
        <v>Материал по ЕГРН</v>
      </c>
      <c r="K1144" s="7">
        <f>VLOOKUP(J1144,Лист2!A$2:B$4,2,FALSE)</f>
        <v>792</v>
      </c>
      <c r="L1144" s="7" t="str">
        <f t="shared" si="70"/>
        <v>ГОТОВ_ИЗМЕНЕН</v>
      </c>
      <c r="M1144" s="7">
        <f t="shared" si="71"/>
        <v>0</v>
      </c>
    </row>
    <row r="1145" spans="1:13" x14ac:dyDescent="0.25">
      <c r="A1145" s="1">
        <v>945338</v>
      </c>
      <c r="B1145" s="6" t="s">
        <v>1250</v>
      </c>
      <c r="F1145" s="6" t="s">
        <v>9</v>
      </c>
      <c r="G1145" s="6" t="s">
        <v>34</v>
      </c>
      <c r="H1145" s="9" t="s">
        <v>35</v>
      </c>
      <c r="I1145" s="7" t="str">
        <f t="shared" si="68"/>
        <v>61001002000</v>
      </c>
      <c r="J1145" s="7" t="str">
        <f t="shared" si="69"/>
        <v>Материал по ЕГРН</v>
      </c>
      <c r="K1145" s="7">
        <f>VLOOKUP(J1145,Лист2!A$2:B$4,2,FALSE)</f>
        <v>792</v>
      </c>
      <c r="L1145" s="7" t="str">
        <f t="shared" si="70"/>
        <v>ГОТОВ_ИЗМЕНЕН</v>
      </c>
      <c r="M1145" s="7">
        <f t="shared" si="71"/>
        <v>0</v>
      </c>
    </row>
    <row r="1146" spans="1:13" x14ac:dyDescent="0.25">
      <c r="A1146" s="1">
        <v>945350</v>
      </c>
      <c r="B1146" s="6" t="s">
        <v>1251</v>
      </c>
      <c r="F1146" s="6" t="s">
        <v>9</v>
      </c>
      <c r="G1146" s="6" t="s">
        <v>38</v>
      </c>
      <c r="H1146" s="9" t="s">
        <v>33</v>
      </c>
      <c r="I1146" s="7" t="str">
        <f t="shared" si="68"/>
        <v>61001005000</v>
      </c>
      <c r="J1146" s="7" t="str">
        <f t="shared" si="69"/>
        <v>Материал по ЕГРН</v>
      </c>
      <c r="K1146" s="7">
        <f>VLOOKUP(J1146,Лист2!A$2:B$4,2,FALSE)</f>
        <v>792</v>
      </c>
      <c r="L1146" s="7" t="str">
        <f t="shared" si="70"/>
        <v>ГОТОВ_ИЗМЕНЕН</v>
      </c>
      <c r="M1146" s="7">
        <f t="shared" si="71"/>
        <v>0</v>
      </c>
    </row>
    <row r="1147" spans="1:13" x14ac:dyDescent="0.25">
      <c r="A1147" s="1">
        <v>945362</v>
      </c>
      <c r="B1147" s="6" t="s">
        <v>1252</v>
      </c>
      <c r="F1147" s="6" t="s">
        <v>9</v>
      </c>
      <c r="G1147" s="6" t="s">
        <v>34</v>
      </c>
      <c r="H1147" s="9" t="s">
        <v>35</v>
      </c>
      <c r="I1147" s="7" t="str">
        <f t="shared" si="68"/>
        <v>61001002000</v>
      </c>
      <c r="J1147" s="7" t="str">
        <f t="shared" si="69"/>
        <v>Материал по ЕГРН</v>
      </c>
      <c r="K1147" s="7">
        <f>VLOOKUP(J1147,Лист2!A$2:B$4,2,FALSE)</f>
        <v>792</v>
      </c>
      <c r="L1147" s="7" t="str">
        <f t="shared" si="70"/>
        <v>ГОТОВ_ИЗМЕНЕН</v>
      </c>
      <c r="M1147" s="7">
        <f t="shared" si="71"/>
        <v>0</v>
      </c>
    </row>
    <row r="1148" spans="1:13" x14ac:dyDescent="0.25">
      <c r="A1148" s="1">
        <v>945374</v>
      </c>
      <c r="B1148" s="6" t="s">
        <v>1253</v>
      </c>
      <c r="F1148" s="6" t="s">
        <v>9</v>
      </c>
      <c r="G1148" s="6" t="s">
        <v>38</v>
      </c>
      <c r="H1148" s="9" t="s">
        <v>33</v>
      </c>
      <c r="I1148" s="7" t="str">
        <f t="shared" si="68"/>
        <v>61001005000</v>
      </c>
      <c r="J1148" s="7" t="str">
        <f t="shared" si="69"/>
        <v>Материал по ЕГРН</v>
      </c>
      <c r="K1148" s="7">
        <f>VLOOKUP(J1148,Лист2!A$2:B$4,2,FALSE)</f>
        <v>792</v>
      </c>
      <c r="L1148" s="7" t="str">
        <f t="shared" si="70"/>
        <v>ГОТОВ_ИЗМЕНЕН</v>
      </c>
      <c r="M1148" s="7">
        <f t="shared" si="71"/>
        <v>0</v>
      </c>
    </row>
    <row r="1149" spans="1:13" x14ac:dyDescent="0.25">
      <c r="A1149" s="1">
        <v>945386</v>
      </c>
      <c r="B1149" s="6" t="s">
        <v>1254</v>
      </c>
      <c r="F1149" s="6" t="s">
        <v>9</v>
      </c>
      <c r="G1149" s="6" t="s">
        <v>10</v>
      </c>
      <c r="H1149" s="9" t="s">
        <v>11</v>
      </c>
      <c r="I1149" s="7" t="str">
        <f t="shared" si="68"/>
        <v>61001003000</v>
      </c>
      <c r="J1149" s="7" t="str">
        <f t="shared" si="69"/>
        <v>Материал по ЕГРН</v>
      </c>
      <c r="K1149" s="7">
        <f>VLOOKUP(J1149,Лист2!A$2:B$4,2,FALSE)</f>
        <v>792</v>
      </c>
      <c r="L1149" s="7" t="str">
        <f t="shared" si="70"/>
        <v>ГОТОВ_ИЗМЕНЕН</v>
      </c>
      <c r="M1149" s="7">
        <f t="shared" si="71"/>
        <v>0</v>
      </c>
    </row>
    <row r="1150" spans="1:13" x14ac:dyDescent="0.25">
      <c r="A1150" s="1">
        <v>945398</v>
      </c>
      <c r="B1150" s="6" t="s">
        <v>1255</v>
      </c>
      <c r="F1150" s="6" t="s">
        <v>9</v>
      </c>
      <c r="G1150" s="6" t="s">
        <v>38</v>
      </c>
      <c r="H1150" s="9" t="s">
        <v>33</v>
      </c>
      <c r="I1150" s="7" t="str">
        <f t="shared" si="68"/>
        <v>61001005000</v>
      </c>
      <c r="J1150" s="7" t="str">
        <f t="shared" si="69"/>
        <v>Материал по ЕГРН</v>
      </c>
      <c r="K1150" s="7">
        <f>VLOOKUP(J1150,Лист2!A$2:B$4,2,FALSE)</f>
        <v>792</v>
      </c>
      <c r="L1150" s="7" t="str">
        <f t="shared" si="70"/>
        <v>ГОТОВ_ИЗМЕНЕН</v>
      </c>
      <c r="M1150" s="7">
        <f t="shared" si="71"/>
        <v>0</v>
      </c>
    </row>
    <row r="1151" spans="1:13" x14ac:dyDescent="0.25">
      <c r="A1151" s="1">
        <v>945410</v>
      </c>
      <c r="B1151" s="6" t="s">
        <v>1256</v>
      </c>
      <c r="F1151" s="6" t="s">
        <v>9</v>
      </c>
      <c r="G1151" s="6" t="s">
        <v>10</v>
      </c>
      <c r="H1151" s="9" t="s">
        <v>11</v>
      </c>
      <c r="I1151" s="7" t="str">
        <f t="shared" si="68"/>
        <v>61001003000</v>
      </c>
      <c r="J1151" s="7" t="str">
        <f t="shared" si="69"/>
        <v>Материал по ЕГРН</v>
      </c>
      <c r="K1151" s="7">
        <f>VLOOKUP(J1151,Лист2!A$2:B$4,2,FALSE)</f>
        <v>792</v>
      </c>
      <c r="L1151" s="7" t="str">
        <f t="shared" si="70"/>
        <v>ГОТОВ_ИЗМЕНЕН</v>
      </c>
      <c r="M1151" s="7">
        <f t="shared" si="71"/>
        <v>0</v>
      </c>
    </row>
    <row r="1152" spans="1:13" x14ac:dyDescent="0.25">
      <c r="A1152" s="1">
        <v>945422</v>
      </c>
      <c r="B1152" s="6" t="s">
        <v>1257</v>
      </c>
      <c r="F1152" s="6" t="s">
        <v>9</v>
      </c>
      <c r="G1152" s="6" t="s">
        <v>59</v>
      </c>
      <c r="H1152" s="9" t="s">
        <v>60</v>
      </c>
      <c r="I1152" s="7" t="str">
        <f t="shared" si="68"/>
        <v>61001001001</v>
      </c>
      <c r="J1152" s="7" t="str">
        <f t="shared" si="69"/>
        <v>Материал по ЕГРН</v>
      </c>
      <c r="K1152" s="7">
        <f>VLOOKUP(J1152,Лист2!A$2:B$4,2,FALSE)</f>
        <v>792</v>
      </c>
      <c r="L1152" s="7" t="str">
        <f t="shared" si="70"/>
        <v>ГОТОВ_ИЗМЕНЕН</v>
      </c>
      <c r="M1152" s="7">
        <f t="shared" si="71"/>
        <v>0</v>
      </c>
    </row>
    <row r="1153" spans="1:13" x14ac:dyDescent="0.25">
      <c r="A1153" s="1">
        <v>945434</v>
      </c>
      <c r="B1153" s="6" t="s">
        <v>1258</v>
      </c>
      <c r="F1153" s="6" t="s">
        <v>9</v>
      </c>
      <c r="G1153" s="6" t="s">
        <v>180</v>
      </c>
      <c r="H1153" s="9" t="s">
        <v>181</v>
      </c>
      <c r="I1153" s="7" t="str">
        <f t="shared" si="68"/>
        <v>61001009000</v>
      </c>
      <c r="J1153" s="7" t="str">
        <f t="shared" si="69"/>
        <v>Материал по ЕГРН</v>
      </c>
      <c r="K1153" s="7">
        <f>VLOOKUP(J1153,Лист2!A$2:B$4,2,FALSE)</f>
        <v>792</v>
      </c>
      <c r="L1153" s="7" t="str">
        <f t="shared" si="70"/>
        <v>ГОТОВ_ИЗМЕНЕН</v>
      </c>
      <c r="M1153" s="7">
        <f t="shared" si="71"/>
        <v>0</v>
      </c>
    </row>
    <row r="1154" spans="1:13" x14ac:dyDescent="0.25">
      <c r="A1154" s="1">
        <v>945446</v>
      </c>
      <c r="B1154" s="6" t="s">
        <v>1259</v>
      </c>
      <c r="F1154" s="6" t="s">
        <v>9</v>
      </c>
      <c r="G1154" s="6" t="s">
        <v>38</v>
      </c>
      <c r="H1154" s="9" t="s">
        <v>33</v>
      </c>
      <c r="I1154" s="7" t="str">
        <f t="shared" si="68"/>
        <v>61001005000</v>
      </c>
      <c r="J1154" s="7" t="str">
        <f t="shared" si="69"/>
        <v>Материал по ЕГРН</v>
      </c>
      <c r="K1154" s="7">
        <f>VLOOKUP(J1154,Лист2!A$2:B$4,2,FALSE)</f>
        <v>792</v>
      </c>
      <c r="L1154" s="7" t="str">
        <f t="shared" si="70"/>
        <v>ГОТОВ_ИЗМЕНЕН</v>
      </c>
      <c r="M1154" s="7">
        <f t="shared" si="71"/>
        <v>0</v>
      </c>
    </row>
    <row r="1155" spans="1:13" x14ac:dyDescent="0.25">
      <c r="A1155" s="1">
        <v>945458</v>
      </c>
      <c r="B1155" s="6" t="s">
        <v>1260</v>
      </c>
      <c r="F1155" s="6" t="s">
        <v>9</v>
      </c>
      <c r="G1155" s="6" t="s">
        <v>38</v>
      </c>
      <c r="H1155" s="9" t="s">
        <v>33</v>
      </c>
      <c r="I1155" s="7" t="str">
        <f t="shared" si="68"/>
        <v>61001005000</v>
      </c>
      <c r="J1155" s="7" t="str">
        <f t="shared" si="69"/>
        <v>Материал по ЕГРН</v>
      </c>
      <c r="K1155" s="7">
        <f>VLOOKUP(J1155,Лист2!A$2:B$4,2,FALSE)</f>
        <v>792</v>
      </c>
      <c r="L1155" s="7" t="str">
        <f t="shared" si="70"/>
        <v>ГОТОВ_ИЗМЕНЕН</v>
      </c>
      <c r="M1155" s="7">
        <f t="shared" si="71"/>
        <v>0</v>
      </c>
    </row>
    <row r="1156" spans="1:13" x14ac:dyDescent="0.25">
      <c r="A1156" s="1">
        <v>945470</v>
      </c>
      <c r="B1156" s="6" t="s">
        <v>1261</v>
      </c>
      <c r="F1156" s="6" t="s">
        <v>9</v>
      </c>
      <c r="G1156" s="6" t="s">
        <v>38</v>
      </c>
      <c r="H1156" s="9" t="s">
        <v>33</v>
      </c>
      <c r="I1156" s="7" t="str">
        <f t="shared" si="68"/>
        <v>61001005000</v>
      </c>
      <c r="J1156" s="7" t="str">
        <f t="shared" si="69"/>
        <v>Материал по ЕГРН</v>
      </c>
      <c r="K1156" s="7">
        <f>VLOOKUP(J1156,Лист2!A$2:B$4,2,FALSE)</f>
        <v>792</v>
      </c>
      <c r="L1156" s="7" t="str">
        <f t="shared" si="70"/>
        <v>ГОТОВ_ИЗМЕНЕН</v>
      </c>
      <c r="M1156" s="7">
        <f t="shared" si="71"/>
        <v>0</v>
      </c>
    </row>
    <row r="1157" spans="1:13" x14ac:dyDescent="0.25">
      <c r="A1157" s="1">
        <v>945482</v>
      </c>
      <c r="B1157" s="6" t="s">
        <v>1262</v>
      </c>
      <c r="F1157" s="6" t="s">
        <v>9</v>
      </c>
      <c r="G1157" s="6" t="s">
        <v>43</v>
      </c>
      <c r="H1157" s="9" t="s">
        <v>42</v>
      </c>
      <c r="I1157" s="7" t="str">
        <f t="shared" ref="I1157:I1220" si="72">IF(LEN(H1157)=11,H1157,IF(LEN(H1157)=0,"61001005000","61001003000"))</f>
        <v>61001002001</v>
      </c>
      <c r="J1157" s="7" t="str">
        <f t="shared" ref="J1157:J1220" si="73">IF(LEN(H1157)=11,"Материал по ЕГРН",IF(LEN(H1157)=0,"Прочие по допущению","Смешанные по допущению"))</f>
        <v>Материал по ЕГРН</v>
      </c>
      <c r="K1157" s="7">
        <f>VLOOKUP(J1157,Лист2!A$2:B$4,2,FALSE)</f>
        <v>792</v>
      </c>
      <c r="L1157" s="7" t="str">
        <f t="shared" ref="L1157:L1220" si="74">IF(I1157=C1157,"ГОТОВ","ГОТОВ_ИЗМЕНЕН")</f>
        <v>ГОТОВ_ИЗМЕНЕН</v>
      </c>
      <c r="M1157" s="7">
        <f t="shared" ref="M1157:M1220" si="75">C1157</f>
        <v>0</v>
      </c>
    </row>
    <row r="1158" spans="1:13" x14ac:dyDescent="0.25">
      <c r="A1158" s="1">
        <v>228853</v>
      </c>
      <c r="B1158" s="6" t="s">
        <v>1263</v>
      </c>
      <c r="C1158" s="9" t="s">
        <v>33</v>
      </c>
      <c r="D1158" s="6" t="s">
        <v>20</v>
      </c>
      <c r="E1158" s="6" t="s">
        <v>37</v>
      </c>
      <c r="F1158" s="6" t="s">
        <v>9</v>
      </c>
      <c r="G1158" s="6" t="s">
        <v>38</v>
      </c>
      <c r="H1158" s="9" t="s">
        <v>33</v>
      </c>
      <c r="I1158" s="7" t="str">
        <f t="shared" si="72"/>
        <v>61001005000</v>
      </c>
      <c r="J1158" s="7" t="str">
        <f t="shared" si="73"/>
        <v>Материал по ЕГРН</v>
      </c>
      <c r="K1158" s="7">
        <f>VLOOKUP(J1158,Лист2!A$2:B$4,2,FALSE)</f>
        <v>792</v>
      </c>
      <c r="L1158" s="7" t="str">
        <f t="shared" si="74"/>
        <v>ГОТОВ</v>
      </c>
      <c r="M1158" s="7" t="str">
        <f t="shared" si="75"/>
        <v>61001005000</v>
      </c>
    </row>
    <row r="1159" spans="1:13" x14ac:dyDescent="0.25">
      <c r="A1159" s="1">
        <v>534261</v>
      </c>
      <c r="B1159" s="6" t="s">
        <v>1264</v>
      </c>
      <c r="C1159" s="9" t="s">
        <v>33</v>
      </c>
      <c r="D1159" s="6" t="s">
        <v>20</v>
      </c>
      <c r="E1159" s="6" t="s">
        <v>37</v>
      </c>
      <c r="F1159" s="6" t="s">
        <v>9</v>
      </c>
      <c r="G1159" s="6" t="s">
        <v>38</v>
      </c>
      <c r="H1159" s="9" t="s">
        <v>33</v>
      </c>
      <c r="I1159" s="7" t="str">
        <f t="shared" si="72"/>
        <v>61001005000</v>
      </c>
      <c r="J1159" s="7" t="str">
        <f t="shared" si="73"/>
        <v>Материал по ЕГРН</v>
      </c>
      <c r="K1159" s="7">
        <f>VLOOKUP(J1159,Лист2!A$2:B$4,2,FALSE)</f>
        <v>792</v>
      </c>
      <c r="L1159" s="7" t="str">
        <f t="shared" si="74"/>
        <v>ГОТОВ</v>
      </c>
      <c r="M1159" s="7" t="str">
        <f t="shared" si="75"/>
        <v>61001005000</v>
      </c>
    </row>
    <row r="1160" spans="1:13" x14ac:dyDescent="0.25">
      <c r="A1160" s="1">
        <v>795998</v>
      </c>
      <c r="B1160" s="6" t="s">
        <v>1265</v>
      </c>
      <c r="C1160" s="9" t="s">
        <v>33</v>
      </c>
      <c r="D1160" s="6" t="s">
        <v>20</v>
      </c>
      <c r="E1160" s="6" t="s">
        <v>37</v>
      </c>
      <c r="F1160" s="6" t="s">
        <v>9</v>
      </c>
      <c r="G1160" s="6" t="s">
        <v>38</v>
      </c>
      <c r="H1160" s="9" t="s">
        <v>33</v>
      </c>
      <c r="I1160" s="7" t="str">
        <f t="shared" si="72"/>
        <v>61001005000</v>
      </c>
      <c r="J1160" s="7" t="str">
        <f t="shared" si="73"/>
        <v>Материал по ЕГРН</v>
      </c>
      <c r="K1160" s="7">
        <f>VLOOKUP(J1160,Лист2!A$2:B$4,2,FALSE)</f>
        <v>792</v>
      </c>
      <c r="L1160" s="7" t="str">
        <f t="shared" si="74"/>
        <v>ГОТОВ</v>
      </c>
      <c r="M1160" s="7" t="str">
        <f t="shared" si="75"/>
        <v>61001005000</v>
      </c>
    </row>
    <row r="1161" spans="1:13" x14ac:dyDescent="0.25">
      <c r="A1161" s="1">
        <v>943627</v>
      </c>
      <c r="B1161" s="6" t="s">
        <v>1266</v>
      </c>
      <c r="F1161" s="6" t="s">
        <v>9</v>
      </c>
      <c r="G1161" s="6" t="s">
        <v>38</v>
      </c>
      <c r="H1161" s="9" t="s">
        <v>33</v>
      </c>
      <c r="I1161" s="7" t="str">
        <f t="shared" si="72"/>
        <v>61001005000</v>
      </c>
      <c r="J1161" s="7" t="str">
        <f t="shared" si="73"/>
        <v>Материал по ЕГРН</v>
      </c>
      <c r="K1161" s="7">
        <f>VLOOKUP(J1161,Лист2!A$2:B$4,2,FALSE)</f>
        <v>792</v>
      </c>
      <c r="L1161" s="7" t="str">
        <f t="shared" si="74"/>
        <v>ГОТОВ_ИЗМЕНЕН</v>
      </c>
      <c r="M1161" s="7">
        <f t="shared" si="75"/>
        <v>0</v>
      </c>
    </row>
    <row r="1162" spans="1:13" x14ac:dyDescent="0.25">
      <c r="A1162" s="1">
        <v>943639</v>
      </c>
      <c r="B1162" s="6" t="s">
        <v>1267</v>
      </c>
      <c r="F1162" s="6" t="s">
        <v>9</v>
      </c>
      <c r="G1162" s="6" t="s">
        <v>34</v>
      </c>
      <c r="H1162" s="9" t="s">
        <v>35</v>
      </c>
      <c r="I1162" s="7" t="str">
        <f t="shared" si="72"/>
        <v>61001002000</v>
      </c>
      <c r="J1162" s="7" t="str">
        <f t="shared" si="73"/>
        <v>Материал по ЕГРН</v>
      </c>
      <c r="K1162" s="7">
        <f>VLOOKUP(J1162,Лист2!A$2:B$4,2,FALSE)</f>
        <v>792</v>
      </c>
      <c r="L1162" s="7" t="str">
        <f t="shared" si="74"/>
        <v>ГОТОВ_ИЗМЕНЕН</v>
      </c>
      <c r="M1162" s="7">
        <f t="shared" si="75"/>
        <v>0</v>
      </c>
    </row>
    <row r="1163" spans="1:13" x14ac:dyDescent="0.25">
      <c r="A1163" s="1">
        <v>943651</v>
      </c>
      <c r="B1163" s="6" t="s">
        <v>1268</v>
      </c>
      <c r="F1163" s="6" t="s">
        <v>9</v>
      </c>
      <c r="G1163" s="6" t="s">
        <v>90</v>
      </c>
      <c r="H1163" s="9" t="s">
        <v>12</v>
      </c>
      <c r="I1163" s="7" t="str">
        <f t="shared" si="72"/>
        <v>61001008000</v>
      </c>
      <c r="J1163" s="7" t="str">
        <f t="shared" si="73"/>
        <v>Материал по ЕГРН</v>
      </c>
      <c r="K1163" s="7">
        <f>VLOOKUP(J1163,Лист2!A$2:B$4,2,FALSE)</f>
        <v>792</v>
      </c>
      <c r="L1163" s="7" t="str">
        <f t="shared" si="74"/>
        <v>ГОТОВ_ИЗМЕНЕН</v>
      </c>
      <c r="M1163" s="7">
        <f t="shared" si="75"/>
        <v>0</v>
      </c>
    </row>
    <row r="1164" spans="1:13" x14ac:dyDescent="0.25">
      <c r="A1164" s="1">
        <v>943663</v>
      </c>
      <c r="B1164" s="6" t="s">
        <v>1269</v>
      </c>
      <c r="F1164" s="6" t="s">
        <v>9</v>
      </c>
      <c r="G1164" s="6" t="s">
        <v>10</v>
      </c>
      <c r="H1164" s="9" t="s">
        <v>11</v>
      </c>
      <c r="I1164" s="7" t="str">
        <f t="shared" si="72"/>
        <v>61001003000</v>
      </c>
      <c r="J1164" s="7" t="str">
        <f t="shared" si="73"/>
        <v>Материал по ЕГРН</v>
      </c>
      <c r="K1164" s="7">
        <f>VLOOKUP(J1164,Лист2!A$2:B$4,2,FALSE)</f>
        <v>792</v>
      </c>
      <c r="L1164" s="7" t="str">
        <f t="shared" si="74"/>
        <v>ГОТОВ_ИЗМЕНЕН</v>
      </c>
      <c r="M1164" s="7">
        <f t="shared" si="75"/>
        <v>0</v>
      </c>
    </row>
    <row r="1165" spans="1:13" x14ac:dyDescent="0.25">
      <c r="A1165" s="1">
        <v>943675</v>
      </c>
      <c r="B1165" s="6" t="s">
        <v>1270</v>
      </c>
      <c r="F1165" s="6" t="s">
        <v>9</v>
      </c>
      <c r="G1165" s="6" t="s">
        <v>34</v>
      </c>
      <c r="H1165" s="9" t="s">
        <v>35</v>
      </c>
      <c r="I1165" s="7" t="str">
        <f t="shared" si="72"/>
        <v>61001002000</v>
      </c>
      <c r="J1165" s="7" t="str">
        <f t="shared" si="73"/>
        <v>Материал по ЕГРН</v>
      </c>
      <c r="K1165" s="7">
        <f>VLOOKUP(J1165,Лист2!A$2:B$4,2,FALSE)</f>
        <v>792</v>
      </c>
      <c r="L1165" s="7" t="str">
        <f t="shared" si="74"/>
        <v>ГОТОВ_ИЗМЕНЕН</v>
      </c>
      <c r="M1165" s="7">
        <f t="shared" si="75"/>
        <v>0</v>
      </c>
    </row>
    <row r="1166" spans="1:13" x14ac:dyDescent="0.25">
      <c r="A1166" s="1">
        <v>943687</v>
      </c>
      <c r="B1166" s="6" t="s">
        <v>1271</v>
      </c>
      <c r="F1166" s="6" t="s">
        <v>9</v>
      </c>
      <c r="G1166" s="6" t="s">
        <v>62</v>
      </c>
      <c r="H1166" s="9" t="s">
        <v>63</v>
      </c>
      <c r="I1166" s="7" t="str">
        <f t="shared" si="72"/>
        <v>61001006002</v>
      </c>
      <c r="J1166" s="7" t="str">
        <f t="shared" si="73"/>
        <v>Материал по ЕГРН</v>
      </c>
      <c r="K1166" s="7">
        <f>VLOOKUP(J1166,Лист2!A$2:B$4,2,FALSE)</f>
        <v>792</v>
      </c>
      <c r="L1166" s="7" t="str">
        <f t="shared" si="74"/>
        <v>ГОТОВ_ИЗМЕНЕН</v>
      </c>
      <c r="M1166" s="7">
        <f t="shared" si="75"/>
        <v>0</v>
      </c>
    </row>
    <row r="1167" spans="1:13" x14ac:dyDescent="0.25">
      <c r="A1167" s="1">
        <v>943699</v>
      </c>
      <c r="B1167" s="6" t="s">
        <v>1272</v>
      </c>
      <c r="F1167" s="6" t="s">
        <v>9</v>
      </c>
      <c r="G1167" s="6" t="s">
        <v>43</v>
      </c>
      <c r="H1167" s="9" t="s">
        <v>42</v>
      </c>
      <c r="I1167" s="7" t="str">
        <f t="shared" si="72"/>
        <v>61001002001</v>
      </c>
      <c r="J1167" s="7" t="str">
        <f t="shared" si="73"/>
        <v>Материал по ЕГРН</v>
      </c>
      <c r="K1167" s="7">
        <f>VLOOKUP(J1167,Лист2!A$2:B$4,2,FALSE)</f>
        <v>792</v>
      </c>
      <c r="L1167" s="7" t="str">
        <f t="shared" si="74"/>
        <v>ГОТОВ_ИЗМЕНЕН</v>
      </c>
      <c r="M1167" s="7">
        <f t="shared" si="75"/>
        <v>0</v>
      </c>
    </row>
    <row r="1168" spans="1:13" x14ac:dyDescent="0.25">
      <c r="A1168" s="1">
        <v>943711</v>
      </c>
      <c r="B1168" s="6" t="s">
        <v>1273</v>
      </c>
      <c r="F1168" s="6" t="s">
        <v>9</v>
      </c>
      <c r="G1168" s="6" t="s">
        <v>38</v>
      </c>
      <c r="H1168" s="9" t="s">
        <v>33</v>
      </c>
      <c r="I1168" s="7" t="str">
        <f t="shared" si="72"/>
        <v>61001005000</v>
      </c>
      <c r="J1168" s="7" t="str">
        <f t="shared" si="73"/>
        <v>Материал по ЕГРН</v>
      </c>
      <c r="K1168" s="7">
        <f>VLOOKUP(J1168,Лист2!A$2:B$4,2,FALSE)</f>
        <v>792</v>
      </c>
      <c r="L1168" s="7" t="str">
        <f t="shared" si="74"/>
        <v>ГОТОВ_ИЗМЕНЕН</v>
      </c>
      <c r="M1168" s="7">
        <f t="shared" si="75"/>
        <v>0</v>
      </c>
    </row>
    <row r="1169" spans="1:13" x14ac:dyDescent="0.25">
      <c r="A1169" s="1">
        <v>943723</v>
      </c>
      <c r="B1169" s="6" t="s">
        <v>1274</v>
      </c>
      <c r="F1169" s="6" t="s">
        <v>9</v>
      </c>
      <c r="G1169" s="6" t="s">
        <v>43</v>
      </c>
      <c r="H1169" s="9" t="s">
        <v>42</v>
      </c>
      <c r="I1169" s="7" t="str">
        <f t="shared" si="72"/>
        <v>61001002001</v>
      </c>
      <c r="J1169" s="7" t="str">
        <f t="shared" si="73"/>
        <v>Материал по ЕГРН</v>
      </c>
      <c r="K1169" s="7">
        <f>VLOOKUP(J1169,Лист2!A$2:B$4,2,FALSE)</f>
        <v>792</v>
      </c>
      <c r="L1169" s="7" t="str">
        <f t="shared" si="74"/>
        <v>ГОТОВ_ИЗМЕНЕН</v>
      </c>
      <c r="M1169" s="7">
        <f t="shared" si="75"/>
        <v>0</v>
      </c>
    </row>
    <row r="1170" spans="1:13" x14ac:dyDescent="0.25">
      <c r="A1170" s="1">
        <v>943735</v>
      </c>
      <c r="B1170" s="6" t="s">
        <v>1275</v>
      </c>
      <c r="F1170" s="6" t="s">
        <v>9</v>
      </c>
      <c r="G1170" s="6" t="s">
        <v>38</v>
      </c>
      <c r="H1170" s="9" t="s">
        <v>33</v>
      </c>
      <c r="I1170" s="7" t="str">
        <f t="shared" si="72"/>
        <v>61001005000</v>
      </c>
      <c r="J1170" s="7" t="str">
        <f t="shared" si="73"/>
        <v>Материал по ЕГРН</v>
      </c>
      <c r="K1170" s="7">
        <f>VLOOKUP(J1170,Лист2!A$2:B$4,2,FALSE)</f>
        <v>792</v>
      </c>
      <c r="L1170" s="7" t="str">
        <f t="shared" si="74"/>
        <v>ГОТОВ_ИЗМЕНЕН</v>
      </c>
      <c r="M1170" s="7">
        <f t="shared" si="75"/>
        <v>0</v>
      </c>
    </row>
    <row r="1171" spans="1:13" x14ac:dyDescent="0.25">
      <c r="A1171" s="1">
        <v>943747</v>
      </c>
      <c r="B1171" s="6" t="s">
        <v>1276</v>
      </c>
      <c r="F1171" s="6" t="s">
        <v>9</v>
      </c>
      <c r="G1171" s="6" t="s">
        <v>34</v>
      </c>
      <c r="H1171" s="9" t="s">
        <v>35</v>
      </c>
      <c r="I1171" s="7" t="str">
        <f t="shared" si="72"/>
        <v>61001002000</v>
      </c>
      <c r="J1171" s="7" t="str">
        <f t="shared" si="73"/>
        <v>Материал по ЕГРН</v>
      </c>
      <c r="K1171" s="7">
        <f>VLOOKUP(J1171,Лист2!A$2:B$4,2,FALSE)</f>
        <v>792</v>
      </c>
      <c r="L1171" s="7" t="str">
        <f t="shared" si="74"/>
        <v>ГОТОВ_ИЗМЕНЕН</v>
      </c>
      <c r="M1171" s="7">
        <f t="shared" si="75"/>
        <v>0</v>
      </c>
    </row>
    <row r="1172" spans="1:13" x14ac:dyDescent="0.25">
      <c r="A1172" s="1">
        <v>943759</v>
      </c>
      <c r="B1172" s="6" t="s">
        <v>1277</v>
      </c>
      <c r="F1172" s="6" t="s">
        <v>9</v>
      </c>
      <c r="G1172" s="6" t="s">
        <v>111</v>
      </c>
      <c r="H1172" s="9" t="s">
        <v>110</v>
      </c>
      <c r="I1172" s="7" t="str">
        <f t="shared" si="72"/>
        <v>61001007001</v>
      </c>
      <c r="J1172" s="7" t="str">
        <f t="shared" si="73"/>
        <v>Материал по ЕГРН</v>
      </c>
      <c r="K1172" s="7">
        <f>VLOOKUP(J1172,Лист2!A$2:B$4,2,FALSE)</f>
        <v>792</v>
      </c>
      <c r="L1172" s="7" t="str">
        <f t="shared" si="74"/>
        <v>ГОТОВ_ИЗМЕНЕН</v>
      </c>
      <c r="M1172" s="7">
        <f t="shared" si="75"/>
        <v>0</v>
      </c>
    </row>
    <row r="1173" spans="1:13" x14ac:dyDescent="0.25">
      <c r="A1173" s="1">
        <v>943771</v>
      </c>
      <c r="B1173" s="6" t="s">
        <v>1278</v>
      </c>
      <c r="F1173" s="6" t="s">
        <v>9</v>
      </c>
      <c r="G1173" s="6" t="s">
        <v>10</v>
      </c>
      <c r="H1173" s="9" t="s">
        <v>11</v>
      </c>
      <c r="I1173" s="7" t="str">
        <f t="shared" si="72"/>
        <v>61001003000</v>
      </c>
      <c r="J1173" s="7" t="str">
        <f t="shared" si="73"/>
        <v>Материал по ЕГРН</v>
      </c>
      <c r="K1173" s="7">
        <f>VLOOKUP(J1173,Лист2!A$2:B$4,2,FALSE)</f>
        <v>792</v>
      </c>
      <c r="L1173" s="7" t="str">
        <f t="shared" si="74"/>
        <v>ГОТОВ_ИЗМЕНЕН</v>
      </c>
      <c r="M1173" s="7">
        <f t="shared" si="75"/>
        <v>0</v>
      </c>
    </row>
    <row r="1174" spans="1:13" x14ac:dyDescent="0.25">
      <c r="A1174" s="1">
        <v>943783</v>
      </c>
      <c r="B1174" s="6" t="s">
        <v>1279</v>
      </c>
      <c r="F1174" s="6" t="s">
        <v>9</v>
      </c>
      <c r="G1174" s="6" t="s">
        <v>10</v>
      </c>
      <c r="H1174" s="9" t="s">
        <v>11</v>
      </c>
      <c r="I1174" s="7" t="str">
        <f t="shared" si="72"/>
        <v>61001003000</v>
      </c>
      <c r="J1174" s="7" t="str">
        <f t="shared" si="73"/>
        <v>Материал по ЕГРН</v>
      </c>
      <c r="K1174" s="7">
        <f>VLOOKUP(J1174,Лист2!A$2:B$4,2,FALSE)</f>
        <v>792</v>
      </c>
      <c r="L1174" s="7" t="str">
        <f t="shared" si="74"/>
        <v>ГОТОВ_ИЗМЕНЕН</v>
      </c>
      <c r="M1174" s="7">
        <f t="shared" si="75"/>
        <v>0</v>
      </c>
    </row>
    <row r="1175" spans="1:13" x14ac:dyDescent="0.25">
      <c r="A1175" s="1">
        <v>943795</v>
      </c>
      <c r="B1175" s="6" t="s">
        <v>1280</v>
      </c>
      <c r="F1175" s="6" t="s">
        <v>9</v>
      </c>
      <c r="G1175" s="6" t="s">
        <v>38</v>
      </c>
      <c r="H1175" s="9" t="s">
        <v>33</v>
      </c>
      <c r="I1175" s="7" t="str">
        <f t="shared" si="72"/>
        <v>61001005000</v>
      </c>
      <c r="J1175" s="7" t="str">
        <f t="shared" si="73"/>
        <v>Материал по ЕГРН</v>
      </c>
      <c r="K1175" s="7">
        <f>VLOOKUP(J1175,Лист2!A$2:B$4,2,FALSE)</f>
        <v>792</v>
      </c>
      <c r="L1175" s="7" t="str">
        <f t="shared" si="74"/>
        <v>ГОТОВ_ИЗМЕНЕН</v>
      </c>
      <c r="M1175" s="7">
        <f t="shared" si="75"/>
        <v>0</v>
      </c>
    </row>
    <row r="1176" spans="1:13" x14ac:dyDescent="0.25">
      <c r="A1176" s="1">
        <v>943807</v>
      </c>
      <c r="B1176" s="6" t="s">
        <v>1281</v>
      </c>
      <c r="F1176" s="6" t="s">
        <v>9</v>
      </c>
      <c r="G1176" s="6" t="s">
        <v>38</v>
      </c>
      <c r="H1176" s="9" t="s">
        <v>33</v>
      </c>
      <c r="I1176" s="7" t="str">
        <f t="shared" si="72"/>
        <v>61001005000</v>
      </c>
      <c r="J1176" s="7" t="str">
        <f t="shared" si="73"/>
        <v>Материал по ЕГРН</v>
      </c>
      <c r="K1176" s="7">
        <f>VLOOKUP(J1176,Лист2!A$2:B$4,2,FALSE)</f>
        <v>792</v>
      </c>
      <c r="L1176" s="7" t="str">
        <f t="shared" si="74"/>
        <v>ГОТОВ_ИЗМЕНЕН</v>
      </c>
      <c r="M1176" s="7">
        <f t="shared" si="75"/>
        <v>0</v>
      </c>
    </row>
    <row r="1177" spans="1:13" x14ac:dyDescent="0.25">
      <c r="A1177" s="1">
        <v>943819</v>
      </c>
      <c r="B1177" s="6" t="s">
        <v>1282</v>
      </c>
      <c r="F1177" s="6" t="s">
        <v>9</v>
      </c>
      <c r="G1177" s="6" t="s">
        <v>38</v>
      </c>
      <c r="H1177" s="9" t="s">
        <v>33</v>
      </c>
      <c r="I1177" s="7" t="str">
        <f t="shared" si="72"/>
        <v>61001005000</v>
      </c>
      <c r="J1177" s="7" t="str">
        <f t="shared" si="73"/>
        <v>Материал по ЕГРН</v>
      </c>
      <c r="K1177" s="7">
        <f>VLOOKUP(J1177,Лист2!A$2:B$4,2,FALSE)</f>
        <v>792</v>
      </c>
      <c r="L1177" s="7" t="str">
        <f t="shared" si="74"/>
        <v>ГОТОВ_ИЗМЕНЕН</v>
      </c>
      <c r="M1177" s="7">
        <f t="shared" si="75"/>
        <v>0</v>
      </c>
    </row>
    <row r="1178" spans="1:13" x14ac:dyDescent="0.25">
      <c r="A1178" s="1">
        <v>943831</v>
      </c>
      <c r="B1178" s="6" t="s">
        <v>1283</v>
      </c>
      <c r="F1178" s="6" t="s">
        <v>9</v>
      </c>
      <c r="G1178" s="6" t="s">
        <v>38</v>
      </c>
      <c r="H1178" s="9" t="s">
        <v>33</v>
      </c>
      <c r="I1178" s="7" t="str">
        <f t="shared" si="72"/>
        <v>61001005000</v>
      </c>
      <c r="J1178" s="7" t="str">
        <f t="shared" si="73"/>
        <v>Материал по ЕГРН</v>
      </c>
      <c r="K1178" s="7">
        <f>VLOOKUP(J1178,Лист2!A$2:B$4,2,FALSE)</f>
        <v>792</v>
      </c>
      <c r="L1178" s="7" t="str">
        <f t="shared" si="74"/>
        <v>ГОТОВ_ИЗМЕНЕН</v>
      </c>
      <c r="M1178" s="7">
        <f t="shared" si="75"/>
        <v>0</v>
      </c>
    </row>
    <row r="1179" spans="1:13" x14ac:dyDescent="0.25">
      <c r="A1179" s="1">
        <v>943843</v>
      </c>
      <c r="B1179" s="6" t="s">
        <v>1284</v>
      </c>
      <c r="F1179" s="6" t="s">
        <v>9</v>
      </c>
      <c r="G1179" s="6" t="s">
        <v>38</v>
      </c>
      <c r="H1179" s="9" t="s">
        <v>33</v>
      </c>
      <c r="I1179" s="7" t="str">
        <f t="shared" si="72"/>
        <v>61001005000</v>
      </c>
      <c r="J1179" s="7" t="str">
        <f t="shared" si="73"/>
        <v>Материал по ЕГРН</v>
      </c>
      <c r="K1179" s="7">
        <f>VLOOKUP(J1179,Лист2!A$2:B$4,2,FALSE)</f>
        <v>792</v>
      </c>
      <c r="L1179" s="7" t="str">
        <f t="shared" si="74"/>
        <v>ГОТОВ_ИЗМЕНЕН</v>
      </c>
      <c r="M1179" s="7">
        <f t="shared" si="75"/>
        <v>0</v>
      </c>
    </row>
    <row r="1180" spans="1:13" x14ac:dyDescent="0.25">
      <c r="A1180" s="1">
        <v>943855</v>
      </c>
      <c r="B1180" s="6" t="s">
        <v>1285</v>
      </c>
      <c r="F1180" s="6" t="s">
        <v>9</v>
      </c>
      <c r="G1180" s="6" t="s">
        <v>38</v>
      </c>
      <c r="H1180" s="9" t="s">
        <v>33</v>
      </c>
      <c r="I1180" s="7" t="str">
        <f t="shared" si="72"/>
        <v>61001005000</v>
      </c>
      <c r="J1180" s="7" t="str">
        <f t="shared" si="73"/>
        <v>Материал по ЕГРН</v>
      </c>
      <c r="K1180" s="7">
        <f>VLOOKUP(J1180,Лист2!A$2:B$4,2,FALSE)</f>
        <v>792</v>
      </c>
      <c r="L1180" s="7" t="str">
        <f t="shared" si="74"/>
        <v>ГОТОВ_ИЗМЕНЕН</v>
      </c>
      <c r="M1180" s="7">
        <f t="shared" si="75"/>
        <v>0</v>
      </c>
    </row>
    <row r="1181" spans="1:13" x14ac:dyDescent="0.25">
      <c r="A1181" s="1">
        <v>943867</v>
      </c>
      <c r="B1181" s="6" t="s">
        <v>1286</v>
      </c>
      <c r="F1181" s="6" t="s">
        <v>9</v>
      </c>
      <c r="G1181" s="6" t="s">
        <v>59</v>
      </c>
      <c r="H1181" s="9" t="s">
        <v>60</v>
      </c>
      <c r="I1181" s="7" t="str">
        <f t="shared" si="72"/>
        <v>61001001001</v>
      </c>
      <c r="J1181" s="7" t="str">
        <f t="shared" si="73"/>
        <v>Материал по ЕГРН</v>
      </c>
      <c r="K1181" s="7">
        <f>VLOOKUP(J1181,Лист2!A$2:B$4,2,FALSE)</f>
        <v>792</v>
      </c>
      <c r="L1181" s="7" t="str">
        <f t="shared" si="74"/>
        <v>ГОТОВ_ИЗМЕНЕН</v>
      </c>
      <c r="M1181" s="7">
        <f t="shared" si="75"/>
        <v>0</v>
      </c>
    </row>
    <row r="1182" spans="1:13" x14ac:dyDescent="0.25">
      <c r="A1182" s="1">
        <v>943879</v>
      </c>
      <c r="B1182" s="6" t="s">
        <v>1287</v>
      </c>
      <c r="F1182" s="6" t="s">
        <v>9</v>
      </c>
      <c r="G1182" s="6" t="s">
        <v>62</v>
      </c>
      <c r="H1182" s="9" t="s">
        <v>63</v>
      </c>
      <c r="I1182" s="7" t="str">
        <f t="shared" si="72"/>
        <v>61001006002</v>
      </c>
      <c r="J1182" s="7" t="str">
        <f t="shared" si="73"/>
        <v>Материал по ЕГРН</v>
      </c>
      <c r="K1182" s="7">
        <f>VLOOKUP(J1182,Лист2!A$2:B$4,2,FALSE)</f>
        <v>792</v>
      </c>
      <c r="L1182" s="7" t="str">
        <f t="shared" si="74"/>
        <v>ГОТОВ_ИЗМЕНЕН</v>
      </c>
      <c r="M1182" s="7">
        <f t="shared" si="75"/>
        <v>0</v>
      </c>
    </row>
    <row r="1183" spans="1:13" x14ac:dyDescent="0.25">
      <c r="A1183" s="1">
        <v>943891</v>
      </c>
      <c r="B1183" s="6" t="s">
        <v>1288</v>
      </c>
      <c r="F1183" s="6" t="s">
        <v>9</v>
      </c>
      <c r="G1183" s="6" t="s">
        <v>62</v>
      </c>
      <c r="H1183" s="9" t="s">
        <v>63</v>
      </c>
      <c r="I1183" s="7" t="str">
        <f t="shared" si="72"/>
        <v>61001006002</v>
      </c>
      <c r="J1183" s="7" t="str">
        <f t="shared" si="73"/>
        <v>Материал по ЕГРН</v>
      </c>
      <c r="K1183" s="7">
        <f>VLOOKUP(J1183,Лист2!A$2:B$4,2,FALSE)</f>
        <v>792</v>
      </c>
      <c r="L1183" s="7" t="str">
        <f t="shared" si="74"/>
        <v>ГОТОВ_ИЗМЕНЕН</v>
      </c>
      <c r="M1183" s="7">
        <f t="shared" si="75"/>
        <v>0</v>
      </c>
    </row>
    <row r="1184" spans="1:13" x14ac:dyDescent="0.25">
      <c r="A1184" s="1">
        <v>943903</v>
      </c>
      <c r="B1184" s="6" t="s">
        <v>1289</v>
      </c>
      <c r="F1184" s="6" t="s">
        <v>9</v>
      </c>
      <c r="G1184" s="6" t="s">
        <v>34</v>
      </c>
      <c r="H1184" s="9" t="s">
        <v>35</v>
      </c>
      <c r="I1184" s="7" t="str">
        <f t="shared" si="72"/>
        <v>61001002000</v>
      </c>
      <c r="J1184" s="7" t="str">
        <f t="shared" si="73"/>
        <v>Материал по ЕГРН</v>
      </c>
      <c r="K1184" s="7">
        <f>VLOOKUP(J1184,Лист2!A$2:B$4,2,FALSE)</f>
        <v>792</v>
      </c>
      <c r="L1184" s="7" t="str">
        <f t="shared" si="74"/>
        <v>ГОТОВ_ИЗМЕНЕН</v>
      </c>
      <c r="M1184" s="7">
        <f t="shared" si="75"/>
        <v>0</v>
      </c>
    </row>
    <row r="1185" spans="1:13" x14ac:dyDescent="0.25">
      <c r="A1185" s="1">
        <v>943915</v>
      </c>
      <c r="B1185" s="6" t="s">
        <v>1290</v>
      </c>
      <c r="F1185" s="6" t="s">
        <v>9</v>
      </c>
      <c r="G1185" s="6" t="s">
        <v>38</v>
      </c>
      <c r="H1185" s="9" t="s">
        <v>33</v>
      </c>
      <c r="I1185" s="7" t="str">
        <f t="shared" si="72"/>
        <v>61001005000</v>
      </c>
      <c r="J1185" s="7" t="str">
        <f t="shared" si="73"/>
        <v>Материал по ЕГРН</v>
      </c>
      <c r="K1185" s="7">
        <f>VLOOKUP(J1185,Лист2!A$2:B$4,2,FALSE)</f>
        <v>792</v>
      </c>
      <c r="L1185" s="7" t="str">
        <f t="shared" si="74"/>
        <v>ГОТОВ_ИЗМЕНЕН</v>
      </c>
      <c r="M1185" s="7">
        <f t="shared" si="75"/>
        <v>0</v>
      </c>
    </row>
    <row r="1186" spans="1:13" x14ac:dyDescent="0.25">
      <c r="A1186" s="1">
        <v>943927</v>
      </c>
      <c r="B1186" s="6" t="s">
        <v>1291</v>
      </c>
      <c r="F1186" s="6" t="s">
        <v>9</v>
      </c>
      <c r="G1186" s="6" t="s">
        <v>10</v>
      </c>
      <c r="H1186" s="9" t="s">
        <v>11</v>
      </c>
      <c r="I1186" s="7" t="str">
        <f t="shared" si="72"/>
        <v>61001003000</v>
      </c>
      <c r="J1186" s="7" t="str">
        <f t="shared" si="73"/>
        <v>Материал по ЕГРН</v>
      </c>
      <c r="K1186" s="7">
        <f>VLOOKUP(J1186,Лист2!A$2:B$4,2,FALSE)</f>
        <v>792</v>
      </c>
      <c r="L1186" s="7" t="str">
        <f t="shared" si="74"/>
        <v>ГОТОВ_ИЗМЕНЕН</v>
      </c>
      <c r="M1186" s="7">
        <f t="shared" si="75"/>
        <v>0</v>
      </c>
    </row>
    <row r="1187" spans="1:13" x14ac:dyDescent="0.25">
      <c r="A1187" s="1">
        <v>943939</v>
      </c>
      <c r="B1187" s="6" t="s">
        <v>1292</v>
      </c>
      <c r="F1187" s="6" t="s">
        <v>9</v>
      </c>
      <c r="G1187" s="6" t="s">
        <v>38</v>
      </c>
      <c r="H1187" s="9" t="s">
        <v>33</v>
      </c>
      <c r="I1187" s="7" t="str">
        <f t="shared" si="72"/>
        <v>61001005000</v>
      </c>
      <c r="J1187" s="7" t="str">
        <f t="shared" si="73"/>
        <v>Материал по ЕГРН</v>
      </c>
      <c r="K1187" s="7">
        <f>VLOOKUP(J1187,Лист2!A$2:B$4,2,FALSE)</f>
        <v>792</v>
      </c>
      <c r="L1187" s="7" t="str">
        <f t="shared" si="74"/>
        <v>ГОТОВ_ИЗМЕНЕН</v>
      </c>
      <c r="M1187" s="7">
        <f t="shared" si="75"/>
        <v>0</v>
      </c>
    </row>
    <row r="1188" spans="1:13" x14ac:dyDescent="0.25">
      <c r="A1188" s="1">
        <v>14396</v>
      </c>
      <c r="B1188" s="6" t="s">
        <v>1293</v>
      </c>
      <c r="C1188" s="9" t="s">
        <v>33</v>
      </c>
      <c r="D1188" s="6" t="s">
        <v>20</v>
      </c>
      <c r="E1188" s="6" t="s">
        <v>8</v>
      </c>
      <c r="F1188" s="6" t="s">
        <v>9</v>
      </c>
      <c r="G1188" s="6" t="s">
        <v>10</v>
      </c>
      <c r="H1188" s="9" t="s">
        <v>11</v>
      </c>
      <c r="I1188" s="7" t="str">
        <f t="shared" si="72"/>
        <v>61001003000</v>
      </c>
      <c r="J1188" s="7" t="str">
        <f t="shared" si="73"/>
        <v>Материал по ЕГРН</v>
      </c>
      <c r="K1188" s="7">
        <f>VLOOKUP(J1188,Лист2!A$2:B$4,2,FALSE)</f>
        <v>792</v>
      </c>
      <c r="L1188" s="7" t="str">
        <f t="shared" si="74"/>
        <v>ГОТОВ_ИЗМЕНЕН</v>
      </c>
      <c r="M1188" s="7" t="str">
        <f t="shared" si="75"/>
        <v>61001005000</v>
      </c>
    </row>
    <row r="1189" spans="1:13" x14ac:dyDescent="0.25">
      <c r="A1189" s="1">
        <v>519251</v>
      </c>
      <c r="B1189" s="6" t="s">
        <v>1294</v>
      </c>
      <c r="C1189" s="9" t="s">
        <v>33</v>
      </c>
      <c r="D1189" s="6" t="s">
        <v>20</v>
      </c>
      <c r="E1189" s="6" t="s">
        <v>37</v>
      </c>
      <c r="F1189" s="6" t="s">
        <v>9</v>
      </c>
      <c r="G1189" s="6" t="s">
        <v>38</v>
      </c>
      <c r="H1189" s="9" t="s">
        <v>33</v>
      </c>
      <c r="I1189" s="7" t="str">
        <f t="shared" si="72"/>
        <v>61001005000</v>
      </c>
      <c r="J1189" s="7" t="str">
        <f t="shared" si="73"/>
        <v>Материал по ЕГРН</v>
      </c>
      <c r="K1189" s="7">
        <f>VLOOKUP(J1189,Лист2!A$2:B$4,2,FALSE)</f>
        <v>792</v>
      </c>
      <c r="L1189" s="7" t="str">
        <f t="shared" si="74"/>
        <v>ГОТОВ</v>
      </c>
      <c r="M1189" s="7" t="str">
        <f t="shared" si="75"/>
        <v>61001005000</v>
      </c>
    </row>
    <row r="1190" spans="1:13" x14ac:dyDescent="0.25">
      <c r="A1190" s="1">
        <v>529420</v>
      </c>
      <c r="B1190" s="6" t="s">
        <v>1295</v>
      </c>
      <c r="C1190" s="9" t="s">
        <v>171</v>
      </c>
      <c r="D1190" s="6" t="s">
        <v>14</v>
      </c>
      <c r="E1190" s="6" t="s">
        <v>37</v>
      </c>
      <c r="F1190" s="6" t="s">
        <v>9</v>
      </c>
      <c r="G1190" s="6" t="s">
        <v>170</v>
      </c>
      <c r="H1190" s="9" t="s">
        <v>171</v>
      </c>
      <c r="I1190" s="7" t="str">
        <f t="shared" si="72"/>
        <v>61001001000</v>
      </c>
      <c r="J1190" s="7" t="str">
        <f t="shared" si="73"/>
        <v>Материал по ЕГРН</v>
      </c>
      <c r="K1190" s="7">
        <f>VLOOKUP(J1190,Лист2!A$2:B$4,2,FALSE)</f>
        <v>792</v>
      </c>
      <c r="L1190" s="7" t="str">
        <f t="shared" si="74"/>
        <v>ГОТОВ</v>
      </c>
      <c r="M1190" s="7" t="str">
        <f t="shared" si="75"/>
        <v>61001001000</v>
      </c>
    </row>
    <row r="1191" spans="1:13" x14ac:dyDescent="0.25">
      <c r="A1191" s="1">
        <v>532656</v>
      </c>
      <c r="B1191" s="6" t="s">
        <v>1296</v>
      </c>
      <c r="C1191" s="9" t="s">
        <v>33</v>
      </c>
      <c r="D1191" s="6" t="s">
        <v>20</v>
      </c>
      <c r="E1191" s="6" t="s">
        <v>37</v>
      </c>
      <c r="F1191" s="6" t="s">
        <v>9</v>
      </c>
      <c r="G1191" s="6" t="s">
        <v>38</v>
      </c>
      <c r="H1191" s="9" t="s">
        <v>33</v>
      </c>
      <c r="I1191" s="7" t="str">
        <f t="shared" si="72"/>
        <v>61001005000</v>
      </c>
      <c r="J1191" s="7" t="str">
        <f t="shared" si="73"/>
        <v>Материал по ЕГРН</v>
      </c>
      <c r="K1191" s="7">
        <f>VLOOKUP(J1191,Лист2!A$2:B$4,2,FALSE)</f>
        <v>792</v>
      </c>
      <c r="L1191" s="7" t="str">
        <f t="shared" si="74"/>
        <v>ГОТОВ</v>
      </c>
      <c r="M1191" s="7" t="str">
        <f t="shared" si="75"/>
        <v>61001005000</v>
      </c>
    </row>
    <row r="1192" spans="1:13" x14ac:dyDescent="0.25">
      <c r="A1192" s="1">
        <v>943951</v>
      </c>
      <c r="B1192" s="6" t="s">
        <v>1297</v>
      </c>
      <c r="F1192" s="6" t="s">
        <v>9</v>
      </c>
      <c r="G1192" s="6" t="s">
        <v>73</v>
      </c>
      <c r="H1192" s="9" t="s">
        <v>74</v>
      </c>
      <c r="I1192" s="7" t="str">
        <f t="shared" si="72"/>
        <v>61001006000</v>
      </c>
      <c r="J1192" s="7" t="str">
        <f t="shared" si="73"/>
        <v>Материал по ЕГРН</v>
      </c>
      <c r="K1192" s="7">
        <f>VLOOKUP(J1192,Лист2!A$2:B$4,2,FALSE)</f>
        <v>792</v>
      </c>
      <c r="L1192" s="7" t="str">
        <f t="shared" si="74"/>
        <v>ГОТОВ_ИЗМЕНЕН</v>
      </c>
      <c r="M1192" s="7">
        <f t="shared" si="75"/>
        <v>0</v>
      </c>
    </row>
    <row r="1193" spans="1:13" x14ac:dyDescent="0.25">
      <c r="A1193" s="1">
        <v>943963</v>
      </c>
      <c r="B1193" s="6" t="s">
        <v>1298</v>
      </c>
      <c r="F1193" s="6" t="s">
        <v>9</v>
      </c>
      <c r="G1193" s="6" t="s">
        <v>10</v>
      </c>
      <c r="H1193" s="9" t="s">
        <v>11</v>
      </c>
      <c r="I1193" s="7" t="str">
        <f t="shared" si="72"/>
        <v>61001003000</v>
      </c>
      <c r="J1193" s="7" t="str">
        <f t="shared" si="73"/>
        <v>Материал по ЕГРН</v>
      </c>
      <c r="K1193" s="7">
        <f>VLOOKUP(J1193,Лист2!A$2:B$4,2,FALSE)</f>
        <v>792</v>
      </c>
      <c r="L1193" s="7" t="str">
        <f t="shared" si="74"/>
        <v>ГОТОВ_ИЗМЕНЕН</v>
      </c>
      <c r="M1193" s="7">
        <f t="shared" si="75"/>
        <v>0</v>
      </c>
    </row>
    <row r="1194" spans="1:13" x14ac:dyDescent="0.25">
      <c r="A1194" s="1">
        <v>943975</v>
      </c>
      <c r="B1194" s="6" t="s">
        <v>1299</v>
      </c>
      <c r="F1194" s="6" t="s">
        <v>9</v>
      </c>
      <c r="G1194" s="6" t="s">
        <v>38</v>
      </c>
      <c r="H1194" s="9" t="s">
        <v>33</v>
      </c>
      <c r="I1194" s="7" t="str">
        <f t="shared" si="72"/>
        <v>61001005000</v>
      </c>
      <c r="J1194" s="7" t="str">
        <f t="shared" si="73"/>
        <v>Материал по ЕГРН</v>
      </c>
      <c r="K1194" s="7">
        <f>VLOOKUP(J1194,Лист2!A$2:B$4,2,FALSE)</f>
        <v>792</v>
      </c>
      <c r="L1194" s="7" t="str">
        <f t="shared" si="74"/>
        <v>ГОТОВ_ИЗМЕНЕН</v>
      </c>
      <c r="M1194" s="7">
        <f t="shared" si="75"/>
        <v>0</v>
      </c>
    </row>
    <row r="1195" spans="1:13" x14ac:dyDescent="0.25">
      <c r="A1195" s="1">
        <v>943987</v>
      </c>
      <c r="B1195" s="6" t="s">
        <v>1300</v>
      </c>
      <c r="F1195" s="6" t="s">
        <v>9</v>
      </c>
      <c r="G1195" s="6" t="s">
        <v>59</v>
      </c>
      <c r="H1195" s="9" t="s">
        <v>60</v>
      </c>
      <c r="I1195" s="7" t="str">
        <f t="shared" si="72"/>
        <v>61001001001</v>
      </c>
      <c r="J1195" s="7" t="str">
        <f t="shared" si="73"/>
        <v>Материал по ЕГРН</v>
      </c>
      <c r="K1195" s="7">
        <f>VLOOKUP(J1195,Лист2!A$2:B$4,2,FALSE)</f>
        <v>792</v>
      </c>
      <c r="L1195" s="7" t="str">
        <f t="shared" si="74"/>
        <v>ГОТОВ_ИЗМЕНЕН</v>
      </c>
      <c r="M1195" s="7">
        <f t="shared" si="75"/>
        <v>0</v>
      </c>
    </row>
    <row r="1196" spans="1:13" x14ac:dyDescent="0.25">
      <c r="A1196" s="1">
        <v>943999</v>
      </c>
      <c r="B1196" s="6" t="s">
        <v>1301</v>
      </c>
      <c r="F1196" s="6" t="s">
        <v>9</v>
      </c>
      <c r="G1196" s="6" t="s">
        <v>38</v>
      </c>
      <c r="H1196" s="9" t="s">
        <v>33</v>
      </c>
      <c r="I1196" s="7" t="str">
        <f t="shared" si="72"/>
        <v>61001005000</v>
      </c>
      <c r="J1196" s="7" t="str">
        <f t="shared" si="73"/>
        <v>Материал по ЕГРН</v>
      </c>
      <c r="K1196" s="7">
        <f>VLOOKUP(J1196,Лист2!A$2:B$4,2,FALSE)</f>
        <v>792</v>
      </c>
      <c r="L1196" s="7" t="str">
        <f t="shared" si="74"/>
        <v>ГОТОВ_ИЗМЕНЕН</v>
      </c>
      <c r="M1196" s="7">
        <f t="shared" si="75"/>
        <v>0</v>
      </c>
    </row>
    <row r="1197" spans="1:13" x14ac:dyDescent="0.25">
      <c r="A1197" s="1">
        <v>944011</v>
      </c>
      <c r="B1197" s="6" t="s">
        <v>1302</v>
      </c>
      <c r="F1197" s="6" t="s">
        <v>9</v>
      </c>
      <c r="G1197" s="6" t="s">
        <v>38</v>
      </c>
      <c r="H1197" s="9" t="s">
        <v>33</v>
      </c>
      <c r="I1197" s="7" t="str">
        <f t="shared" si="72"/>
        <v>61001005000</v>
      </c>
      <c r="J1197" s="7" t="str">
        <f t="shared" si="73"/>
        <v>Материал по ЕГРН</v>
      </c>
      <c r="K1197" s="7">
        <f>VLOOKUP(J1197,Лист2!A$2:B$4,2,FALSE)</f>
        <v>792</v>
      </c>
      <c r="L1197" s="7" t="str">
        <f t="shared" si="74"/>
        <v>ГОТОВ_ИЗМЕНЕН</v>
      </c>
      <c r="M1197" s="7">
        <f t="shared" si="75"/>
        <v>0</v>
      </c>
    </row>
    <row r="1198" spans="1:13" x14ac:dyDescent="0.25">
      <c r="A1198" s="1">
        <v>944023</v>
      </c>
      <c r="B1198" s="6" t="s">
        <v>1303</v>
      </c>
      <c r="F1198" s="6" t="s">
        <v>9</v>
      </c>
      <c r="G1198" s="6" t="s">
        <v>10</v>
      </c>
      <c r="H1198" s="9" t="s">
        <v>11</v>
      </c>
      <c r="I1198" s="7" t="str">
        <f t="shared" si="72"/>
        <v>61001003000</v>
      </c>
      <c r="J1198" s="7" t="str">
        <f t="shared" si="73"/>
        <v>Материал по ЕГРН</v>
      </c>
      <c r="K1198" s="7">
        <f>VLOOKUP(J1198,Лист2!A$2:B$4,2,FALSE)</f>
        <v>792</v>
      </c>
      <c r="L1198" s="7" t="str">
        <f t="shared" si="74"/>
        <v>ГОТОВ_ИЗМЕНЕН</v>
      </c>
      <c r="M1198" s="7">
        <f t="shared" si="75"/>
        <v>0</v>
      </c>
    </row>
    <row r="1199" spans="1:13" x14ac:dyDescent="0.25">
      <c r="A1199" s="1">
        <v>944035</v>
      </c>
      <c r="B1199" s="6" t="s">
        <v>1304</v>
      </c>
      <c r="F1199" s="6" t="s">
        <v>9</v>
      </c>
      <c r="G1199" s="6" t="s">
        <v>10</v>
      </c>
      <c r="H1199" s="9" t="s">
        <v>11</v>
      </c>
      <c r="I1199" s="7" t="str">
        <f t="shared" si="72"/>
        <v>61001003000</v>
      </c>
      <c r="J1199" s="7" t="str">
        <f t="shared" si="73"/>
        <v>Материал по ЕГРН</v>
      </c>
      <c r="K1199" s="7">
        <f>VLOOKUP(J1199,Лист2!A$2:B$4,2,FALSE)</f>
        <v>792</v>
      </c>
      <c r="L1199" s="7" t="str">
        <f t="shared" si="74"/>
        <v>ГОТОВ_ИЗМЕНЕН</v>
      </c>
      <c r="M1199" s="7">
        <f t="shared" si="75"/>
        <v>0</v>
      </c>
    </row>
    <row r="1200" spans="1:13" x14ac:dyDescent="0.25">
      <c r="A1200" s="1">
        <v>944047</v>
      </c>
      <c r="B1200" s="6" t="s">
        <v>1305</v>
      </c>
      <c r="F1200" s="6" t="s">
        <v>9</v>
      </c>
      <c r="G1200" s="6" t="s">
        <v>62</v>
      </c>
      <c r="H1200" s="9" t="s">
        <v>63</v>
      </c>
      <c r="I1200" s="7" t="str">
        <f t="shared" si="72"/>
        <v>61001006002</v>
      </c>
      <c r="J1200" s="7" t="str">
        <f t="shared" si="73"/>
        <v>Материал по ЕГРН</v>
      </c>
      <c r="K1200" s="7">
        <f>VLOOKUP(J1200,Лист2!A$2:B$4,2,FALSE)</f>
        <v>792</v>
      </c>
      <c r="L1200" s="7" t="str">
        <f t="shared" si="74"/>
        <v>ГОТОВ_ИЗМЕНЕН</v>
      </c>
      <c r="M1200" s="7">
        <f t="shared" si="75"/>
        <v>0</v>
      </c>
    </row>
    <row r="1201" spans="1:13" x14ac:dyDescent="0.25">
      <c r="A1201" s="1">
        <v>944059</v>
      </c>
      <c r="B1201" s="6" t="s">
        <v>1306</v>
      </c>
      <c r="F1201" s="6" t="s">
        <v>9</v>
      </c>
      <c r="G1201" s="6" t="s">
        <v>62</v>
      </c>
      <c r="H1201" s="9" t="s">
        <v>63</v>
      </c>
      <c r="I1201" s="7" t="str">
        <f t="shared" si="72"/>
        <v>61001006002</v>
      </c>
      <c r="J1201" s="7" t="str">
        <f t="shared" si="73"/>
        <v>Материал по ЕГРН</v>
      </c>
      <c r="K1201" s="7">
        <f>VLOOKUP(J1201,Лист2!A$2:B$4,2,FALSE)</f>
        <v>792</v>
      </c>
      <c r="L1201" s="7" t="str">
        <f t="shared" si="74"/>
        <v>ГОТОВ_ИЗМЕНЕН</v>
      </c>
      <c r="M1201" s="7">
        <f t="shared" si="75"/>
        <v>0</v>
      </c>
    </row>
    <row r="1202" spans="1:13" x14ac:dyDescent="0.25">
      <c r="A1202" s="1">
        <v>944071</v>
      </c>
      <c r="B1202" s="6" t="s">
        <v>1307</v>
      </c>
      <c r="F1202" s="6" t="s">
        <v>9</v>
      </c>
      <c r="G1202" s="6" t="s">
        <v>1308</v>
      </c>
      <c r="H1202" s="9" t="s">
        <v>1309</v>
      </c>
      <c r="I1202" s="7" t="str">
        <f t="shared" si="72"/>
        <v>61001003000</v>
      </c>
      <c r="J1202" s="7" t="str">
        <f t="shared" si="73"/>
        <v>Смешанные по допущению</v>
      </c>
      <c r="K1202" s="7">
        <f>VLOOKUP(J1202,Лист2!A$2:B$4,2,FALSE)</f>
        <v>793</v>
      </c>
      <c r="L1202" s="7" t="str">
        <f t="shared" si="74"/>
        <v>ГОТОВ_ИЗМЕНЕН</v>
      </c>
      <c r="M1202" s="7">
        <f t="shared" si="75"/>
        <v>0</v>
      </c>
    </row>
    <row r="1203" spans="1:13" x14ac:dyDescent="0.25">
      <c r="A1203" s="1">
        <v>944083</v>
      </c>
      <c r="B1203" s="6" t="s">
        <v>1310</v>
      </c>
      <c r="F1203" s="6" t="s">
        <v>9</v>
      </c>
      <c r="G1203" s="6" t="s">
        <v>38</v>
      </c>
      <c r="H1203" s="9" t="s">
        <v>33</v>
      </c>
      <c r="I1203" s="7" t="str">
        <f t="shared" si="72"/>
        <v>61001005000</v>
      </c>
      <c r="J1203" s="7" t="str">
        <f t="shared" si="73"/>
        <v>Материал по ЕГРН</v>
      </c>
      <c r="K1203" s="7">
        <f>VLOOKUP(J1203,Лист2!A$2:B$4,2,FALSE)</f>
        <v>792</v>
      </c>
      <c r="L1203" s="7" t="str">
        <f t="shared" si="74"/>
        <v>ГОТОВ_ИЗМЕНЕН</v>
      </c>
      <c r="M1203" s="7">
        <f t="shared" si="75"/>
        <v>0</v>
      </c>
    </row>
    <row r="1204" spans="1:13" x14ac:dyDescent="0.25">
      <c r="A1204" s="1">
        <v>944095</v>
      </c>
      <c r="B1204" s="6" t="s">
        <v>1311</v>
      </c>
      <c r="F1204" s="6" t="s">
        <v>9</v>
      </c>
      <c r="G1204" s="6" t="s">
        <v>750</v>
      </c>
      <c r="H1204" s="9" t="s">
        <v>751</v>
      </c>
      <c r="I1204" s="7" t="str">
        <f t="shared" si="72"/>
        <v>61001004000</v>
      </c>
      <c r="J1204" s="7" t="str">
        <f t="shared" si="73"/>
        <v>Материал по ЕГРН</v>
      </c>
      <c r="K1204" s="7">
        <f>VLOOKUP(J1204,Лист2!A$2:B$4,2,FALSE)</f>
        <v>792</v>
      </c>
      <c r="L1204" s="7" t="str">
        <f t="shared" si="74"/>
        <v>ГОТОВ_ИЗМЕНЕН</v>
      </c>
      <c r="M1204" s="7">
        <f t="shared" si="75"/>
        <v>0</v>
      </c>
    </row>
    <row r="1205" spans="1:13" x14ac:dyDescent="0.25">
      <c r="A1205" s="1">
        <v>944107</v>
      </c>
      <c r="B1205" s="6" t="s">
        <v>1312</v>
      </c>
      <c r="F1205" s="6" t="s">
        <v>9</v>
      </c>
      <c r="G1205" s="6" t="s">
        <v>38</v>
      </c>
      <c r="H1205" s="9" t="s">
        <v>33</v>
      </c>
      <c r="I1205" s="7" t="str">
        <f t="shared" si="72"/>
        <v>61001005000</v>
      </c>
      <c r="J1205" s="7" t="str">
        <f t="shared" si="73"/>
        <v>Материал по ЕГРН</v>
      </c>
      <c r="K1205" s="7">
        <f>VLOOKUP(J1205,Лист2!A$2:B$4,2,FALSE)</f>
        <v>792</v>
      </c>
      <c r="L1205" s="7" t="str">
        <f t="shared" si="74"/>
        <v>ГОТОВ_ИЗМЕНЕН</v>
      </c>
      <c r="M1205" s="7">
        <f t="shared" si="75"/>
        <v>0</v>
      </c>
    </row>
    <row r="1206" spans="1:13" x14ac:dyDescent="0.25">
      <c r="A1206" s="1">
        <v>944119</v>
      </c>
      <c r="B1206" s="6" t="s">
        <v>1313</v>
      </c>
      <c r="F1206" s="6" t="s">
        <v>9</v>
      </c>
      <c r="G1206" s="6" t="s">
        <v>38</v>
      </c>
      <c r="H1206" s="9" t="s">
        <v>33</v>
      </c>
      <c r="I1206" s="7" t="str">
        <f t="shared" si="72"/>
        <v>61001005000</v>
      </c>
      <c r="J1206" s="7" t="str">
        <f t="shared" si="73"/>
        <v>Материал по ЕГРН</v>
      </c>
      <c r="K1206" s="7">
        <f>VLOOKUP(J1206,Лист2!A$2:B$4,2,FALSE)</f>
        <v>792</v>
      </c>
      <c r="L1206" s="7" t="str">
        <f t="shared" si="74"/>
        <v>ГОТОВ_ИЗМЕНЕН</v>
      </c>
      <c r="M1206" s="7">
        <f t="shared" si="75"/>
        <v>0</v>
      </c>
    </row>
    <row r="1207" spans="1:13" x14ac:dyDescent="0.25">
      <c r="A1207" s="1">
        <v>944131</v>
      </c>
      <c r="B1207" s="6" t="s">
        <v>1314</v>
      </c>
      <c r="F1207" s="6" t="s">
        <v>9</v>
      </c>
      <c r="G1207" s="6" t="s">
        <v>38</v>
      </c>
      <c r="H1207" s="9" t="s">
        <v>33</v>
      </c>
      <c r="I1207" s="7" t="str">
        <f t="shared" si="72"/>
        <v>61001005000</v>
      </c>
      <c r="J1207" s="7" t="str">
        <f t="shared" si="73"/>
        <v>Материал по ЕГРН</v>
      </c>
      <c r="K1207" s="7">
        <f>VLOOKUP(J1207,Лист2!A$2:B$4,2,FALSE)</f>
        <v>792</v>
      </c>
      <c r="L1207" s="7" t="str">
        <f t="shared" si="74"/>
        <v>ГОТОВ_ИЗМЕНЕН</v>
      </c>
      <c r="M1207" s="7">
        <f t="shared" si="75"/>
        <v>0</v>
      </c>
    </row>
    <row r="1208" spans="1:13" x14ac:dyDescent="0.25">
      <c r="A1208" s="1">
        <v>944143</v>
      </c>
      <c r="B1208" s="6" t="s">
        <v>1315</v>
      </c>
      <c r="F1208" s="6" t="s">
        <v>9</v>
      </c>
      <c r="G1208" s="6" t="s">
        <v>59</v>
      </c>
      <c r="H1208" s="9" t="s">
        <v>60</v>
      </c>
      <c r="I1208" s="7" t="str">
        <f t="shared" si="72"/>
        <v>61001001001</v>
      </c>
      <c r="J1208" s="7" t="str">
        <f t="shared" si="73"/>
        <v>Материал по ЕГРН</v>
      </c>
      <c r="K1208" s="7">
        <f>VLOOKUP(J1208,Лист2!A$2:B$4,2,FALSE)</f>
        <v>792</v>
      </c>
      <c r="L1208" s="7" t="str">
        <f t="shared" si="74"/>
        <v>ГОТОВ_ИЗМЕНЕН</v>
      </c>
      <c r="M1208" s="7">
        <f t="shared" si="75"/>
        <v>0</v>
      </c>
    </row>
    <row r="1209" spans="1:13" x14ac:dyDescent="0.25">
      <c r="A1209" s="1">
        <v>944155</v>
      </c>
      <c r="B1209" s="6" t="s">
        <v>1316</v>
      </c>
      <c r="F1209" s="6" t="s">
        <v>9</v>
      </c>
      <c r="G1209" s="6" t="s">
        <v>34</v>
      </c>
      <c r="H1209" s="9" t="s">
        <v>35</v>
      </c>
      <c r="I1209" s="7" t="str">
        <f t="shared" si="72"/>
        <v>61001002000</v>
      </c>
      <c r="J1209" s="7" t="str">
        <f t="shared" si="73"/>
        <v>Материал по ЕГРН</v>
      </c>
      <c r="K1209" s="7">
        <f>VLOOKUP(J1209,Лист2!A$2:B$4,2,FALSE)</f>
        <v>792</v>
      </c>
      <c r="L1209" s="7" t="str">
        <f t="shared" si="74"/>
        <v>ГОТОВ_ИЗМЕНЕН</v>
      </c>
      <c r="M1209" s="7">
        <f t="shared" si="75"/>
        <v>0</v>
      </c>
    </row>
    <row r="1210" spans="1:13" x14ac:dyDescent="0.25">
      <c r="A1210" s="1">
        <v>944167</v>
      </c>
      <c r="B1210" s="6" t="s">
        <v>1317</v>
      </c>
      <c r="F1210" s="6" t="s">
        <v>9</v>
      </c>
      <c r="G1210" s="6" t="s">
        <v>34</v>
      </c>
      <c r="H1210" s="9" t="s">
        <v>35</v>
      </c>
      <c r="I1210" s="7" t="str">
        <f t="shared" si="72"/>
        <v>61001002000</v>
      </c>
      <c r="J1210" s="7" t="str">
        <f t="shared" si="73"/>
        <v>Материал по ЕГРН</v>
      </c>
      <c r="K1210" s="7">
        <f>VLOOKUP(J1210,Лист2!A$2:B$4,2,FALSE)</f>
        <v>792</v>
      </c>
      <c r="L1210" s="7" t="str">
        <f t="shared" si="74"/>
        <v>ГОТОВ_ИЗМЕНЕН</v>
      </c>
      <c r="M1210" s="7">
        <f t="shared" si="75"/>
        <v>0</v>
      </c>
    </row>
    <row r="1211" spans="1:13" x14ac:dyDescent="0.25">
      <c r="A1211" s="1">
        <v>944179</v>
      </c>
      <c r="B1211" s="6" t="s">
        <v>1318</v>
      </c>
      <c r="F1211" s="6" t="s">
        <v>9</v>
      </c>
      <c r="G1211" s="6" t="s">
        <v>38</v>
      </c>
      <c r="H1211" s="9" t="s">
        <v>33</v>
      </c>
      <c r="I1211" s="7" t="str">
        <f t="shared" si="72"/>
        <v>61001005000</v>
      </c>
      <c r="J1211" s="7" t="str">
        <f t="shared" si="73"/>
        <v>Материал по ЕГРН</v>
      </c>
      <c r="K1211" s="7">
        <f>VLOOKUP(J1211,Лист2!A$2:B$4,2,FALSE)</f>
        <v>792</v>
      </c>
      <c r="L1211" s="7" t="str">
        <f t="shared" si="74"/>
        <v>ГОТОВ_ИЗМЕНЕН</v>
      </c>
      <c r="M1211" s="7">
        <f t="shared" si="75"/>
        <v>0</v>
      </c>
    </row>
    <row r="1212" spans="1:13" x14ac:dyDescent="0.25">
      <c r="A1212" s="1">
        <v>944191</v>
      </c>
      <c r="B1212" s="6" t="s">
        <v>1319</v>
      </c>
      <c r="F1212" s="6" t="s">
        <v>9</v>
      </c>
      <c r="G1212" s="6" t="s">
        <v>90</v>
      </c>
      <c r="H1212" s="9" t="s">
        <v>12</v>
      </c>
      <c r="I1212" s="7" t="str">
        <f t="shared" si="72"/>
        <v>61001008000</v>
      </c>
      <c r="J1212" s="7" t="str">
        <f t="shared" si="73"/>
        <v>Материал по ЕГРН</v>
      </c>
      <c r="K1212" s="7">
        <f>VLOOKUP(J1212,Лист2!A$2:B$4,2,FALSE)</f>
        <v>792</v>
      </c>
      <c r="L1212" s="7" t="str">
        <f t="shared" si="74"/>
        <v>ГОТОВ_ИЗМЕНЕН</v>
      </c>
      <c r="M1212" s="7">
        <f t="shared" si="75"/>
        <v>0</v>
      </c>
    </row>
    <row r="1213" spans="1:13" x14ac:dyDescent="0.25">
      <c r="A1213" s="1">
        <v>944203</v>
      </c>
      <c r="B1213" s="6" t="s">
        <v>1320</v>
      </c>
      <c r="F1213" s="6" t="s">
        <v>9</v>
      </c>
      <c r="G1213" s="6" t="s">
        <v>38</v>
      </c>
      <c r="H1213" s="9" t="s">
        <v>33</v>
      </c>
      <c r="I1213" s="7" t="str">
        <f t="shared" si="72"/>
        <v>61001005000</v>
      </c>
      <c r="J1213" s="7" t="str">
        <f t="shared" si="73"/>
        <v>Материал по ЕГРН</v>
      </c>
      <c r="K1213" s="7">
        <f>VLOOKUP(J1213,Лист2!A$2:B$4,2,FALSE)</f>
        <v>792</v>
      </c>
      <c r="L1213" s="7" t="str">
        <f t="shared" si="74"/>
        <v>ГОТОВ_ИЗМЕНЕН</v>
      </c>
      <c r="M1213" s="7">
        <f t="shared" si="75"/>
        <v>0</v>
      </c>
    </row>
    <row r="1214" spans="1:13" x14ac:dyDescent="0.25">
      <c r="A1214" s="1">
        <v>944215</v>
      </c>
      <c r="B1214" s="6" t="s">
        <v>1321</v>
      </c>
      <c r="F1214" s="6" t="s">
        <v>9</v>
      </c>
      <c r="G1214" s="6" t="s">
        <v>34</v>
      </c>
      <c r="H1214" s="9" t="s">
        <v>35</v>
      </c>
      <c r="I1214" s="7" t="str">
        <f t="shared" si="72"/>
        <v>61001002000</v>
      </c>
      <c r="J1214" s="7" t="str">
        <f t="shared" si="73"/>
        <v>Материал по ЕГРН</v>
      </c>
      <c r="K1214" s="7">
        <f>VLOOKUP(J1214,Лист2!A$2:B$4,2,FALSE)</f>
        <v>792</v>
      </c>
      <c r="L1214" s="7" t="str">
        <f t="shared" si="74"/>
        <v>ГОТОВ_ИЗМЕНЕН</v>
      </c>
      <c r="M1214" s="7">
        <f t="shared" si="75"/>
        <v>0</v>
      </c>
    </row>
    <row r="1215" spans="1:13" x14ac:dyDescent="0.25">
      <c r="A1215" s="1">
        <v>944227</v>
      </c>
      <c r="B1215" s="6" t="s">
        <v>1322</v>
      </c>
      <c r="F1215" s="6" t="s">
        <v>9</v>
      </c>
      <c r="G1215" s="6" t="s">
        <v>10</v>
      </c>
      <c r="H1215" s="9" t="s">
        <v>11</v>
      </c>
      <c r="I1215" s="7" t="str">
        <f t="shared" si="72"/>
        <v>61001003000</v>
      </c>
      <c r="J1215" s="7" t="str">
        <f t="shared" si="73"/>
        <v>Материал по ЕГРН</v>
      </c>
      <c r="K1215" s="7">
        <f>VLOOKUP(J1215,Лист2!A$2:B$4,2,FALSE)</f>
        <v>792</v>
      </c>
      <c r="L1215" s="7" t="str">
        <f t="shared" si="74"/>
        <v>ГОТОВ_ИЗМЕНЕН</v>
      </c>
      <c r="M1215" s="7">
        <f t="shared" si="75"/>
        <v>0</v>
      </c>
    </row>
    <row r="1216" spans="1:13" x14ac:dyDescent="0.25">
      <c r="A1216" s="1">
        <v>944239</v>
      </c>
      <c r="B1216" s="6" t="s">
        <v>1323</v>
      </c>
      <c r="F1216" s="6" t="s">
        <v>9</v>
      </c>
      <c r="G1216" s="6" t="s">
        <v>62</v>
      </c>
      <c r="H1216" s="9" t="s">
        <v>63</v>
      </c>
      <c r="I1216" s="7" t="str">
        <f t="shared" si="72"/>
        <v>61001006002</v>
      </c>
      <c r="J1216" s="7" t="str">
        <f t="shared" si="73"/>
        <v>Материал по ЕГРН</v>
      </c>
      <c r="K1216" s="7">
        <f>VLOOKUP(J1216,Лист2!A$2:B$4,2,FALSE)</f>
        <v>792</v>
      </c>
      <c r="L1216" s="7" t="str">
        <f t="shared" si="74"/>
        <v>ГОТОВ_ИЗМЕНЕН</v>
      </c>
      <c r="M1216" s="7">
        <f t="shared" si="75"/>
        <v>0</v>
      </c>
    </row>
    <row r="1217" spans="1:13" x14ac:dyDescent="0.25">
      <c r="A1217" s="1">
        <v>944251</v>
      </c>
      <c r="B1217" s="6" t="s">
        <v>1324</v>
      </c>
      <c r="F1217" s="6" t="s">
        <v>9</v>
      </c>
      <c r="G1217" s="6" t="s">
        <v>778</v>
      </c>
      <c r="H1217" s="9" t="s">
        <v>779</v>
      </c>
      <c r="I1217" s="7" t="str">
        <f t="shared" si="72"/>
        <v>61001003002</v>
      </c>
      <c r="J1217" s="7" t="str">
        <f t="shared" si="73"/>
        <v>Материал по ЕГРН</v>
      </c>
      <c r="K1217" s="7">
        <f>VLOOKUP(J1217,Лист2!A$2:B$4,2,FALSE)</f>
        <v>792</v>
      </c>
      <c r="L1217" s="7" t="str">
        <f t="shared" si="74"/>
        <v>ГОТОВ_ИЗМЕНЕН</v>
      </c>
      <c r="M1217" s="7">
        <f t="shared" si="75"/>
        <v>0</v>
      </c>
    </row>
    <row r="1218" spans="1:13" x14ac:dyDescent="0.25">
      <c r="A1218" s="1">
        <v>944263</v>
      </c>
      <c r="B1218" s="6" t="s">
        <v>1325</v>
      </c>
      <c r="F1218" s="6" t="s">
        <v>9</v>
      </c>
      <c r="G1218" s="6" t="s">
        <v>43</v>
      </c>
      <c r="H1218" s="9" t="s">
        <v>42</v>
      </c>
      <c r="I1218" s="7" t="str">
        <f t="shared" si="72"/>
        <v>61001002001</v>
      </c>
      <c r="J1218" s="7" t="str">
        <f t="shared" si="73"/>
        <v>Материал по ЕГРН</v>
      </c>
      <c r="K1218" s="7">
        <f>VLOOKUP(J1218,Лист2!A$2:B$4,2,FALSE)</f>
        <v>792</v>
      </c>
      <c r="L1218" s="7" t="str">
        <f t="shared" si="74"/>
        <v>ГОТОВ_ИЗМЕНЕН</v>
      </c>
      <c r="M1218" s="7">
        <f t="shared" si="75"/>
        <v>0</v>
      </c>
    </row>
    <row r="1219" spans="1:13" x14ac:dyDescent="0.25">
      <c r="A1219" s="1">
        <v>944275</v>
      </c>
      <c r="B1219" s="6" t="s">
        <v>1326</v>
      </c>
      <c r="F1219" s="6" t="s">
        <v>9</v>
      </c>
      <c r="G1219" s="6" t="s">
        <v>10</v>
      </c>
      <c r="H1219" s="9" t="s">
        <v>11</v>
      </c>
      <c r="I1219" s="7" t="str">
        <f t="shared" si="72"/>
        <v>61001003000</v>
      </c>
      <c r="J1219" s="7" t="str">
        <f t="shared" si="73"/>
        <v>Материал по ЕГРН</v>
      </c>
      <c r="K1219" s="7">
        <f>VLOOKUP(J1219,Лист2!A$2:B$4,2,FALSE)</f>
        <v>792</v>
      </c>
      <c r="L1219" s="7" t="str">
        <f t="shared" si="74"/>
        <v>ГОТОВ_ИЗМЕНЕН</v>
      </c>
      <c r="M1219" s="7">
        <f t="shared" si="75"/>
        <v>0</v>
      </c>
    </row>
    <row r="1220" spans="1:13" x14ac:dyDescent="0.25">
      <c r="A1220" s="1">
        <v>155389</v>
      </c>
      <c r="B1220" s="6" t="s">
        <v>1327</v>
      </c>
      <c r="C1220" s="9" t="s">
        <v>33</v>
      </c>
      <c r="D1220" s="6" t="s">
        <v>20</v>
      </c>
      <c r="E1220" s="6" t="s">
        <v>37</v>
      </c>
      <c r="F1220" s="6" t="s">
        <v>9</v>
      </c>
      <c r="G1220" s="6" t="s">
        <v>38</v>
      </c>
      <c r="H1220" s="9" t="s">
        <v>33</v>
      </c>
      <c r="I1220" s="7" t="str">
        <f t="shared" si="72"/>
        <v>61001005000</v>
      </c>
      <c r="J1220" s="7" t="str">
        <f t="shared" si="73"/>
        <v>Материал по ЕГРН</v>
      </c>
      <c r="K1220" s="7">
        <f>VLOOKUP(J1220,Лист2!A$2:B$4,2,FALSE)</f>
        <v>792</v>
      </c>
      <c r="L1220" s="7" t="str">
        <f t="shared" si="74"/>
        <v>ГОТОВ</v>
      </c>
      <c r="M1220" s="7" t="str">
        <f t="shared" si="75"/>
        <v>61001005000</v>
      </c>
    </row>
    <row r="1221" spans="1:13" x14ac:dyDescent="0.25">
      <c r="A1221" s="1">
        <v>378706</v>
      </c>
      <c r="B1221" s="6" t="s">
        <v>1328</v>
      </c>
      <c r="C1221" s="9" t="s">
        <v>60</v>
      </c>
      <c r="D1221" s="6" t="s">
        <v>20</v>
      </c>
      <c r="E1221" s="6" t="s">
        <v>37</v>
      </c>
      <c r="F1221" s="6" t="s">
        <v>9</v>
      </c>
      <c r="G1221" s="6" t="s">
        <v>59</v>
      </c>
      <c r="H1221" s="9" t="s">
        <v>60</v>
      </c>
      <c r="I1221" s="7" t="str">
        <f t="shared" ref="I1221:I1284" si="76">IF(LEN(H1221)=11,H1221,IF(LEN(H1221)=0,"61001005000","61001003000"))</f>
        <v>61001001001</v>
      </c>
      <c r="J1221" s="7" t="str">
        <f t="shared" ref="J1221:J1284" si="77">IF(LEN(H1221)=11,"Материал по ЕГРН",IF(LEN(H1221)=0,"Прочие по допущению","Смешанные по допущению"))</f>
        <v>Материал по ЕГРН</v>
      </c>
      <c r="K1221" s="7">
        <f>VLOOKUP(J1221,Лист2!A$2:B$4,2,FALSE)</f>
        <v>792</v>
      </c>
      <c r="L1221" s="7" t="str">
        <f t="shared" ref="L1221:L1284" si="78">IF(I1221=C1221,"ГОТОВ","ГОТОВ_ИЗМЕНЕН")</f>
        <v>ГОТОВ</v>
      </c>
      <c r="M1221" s="7" t="str">
        <f t="shared" ref="M1221:M1284" si="79">C1221</f>
        <v>61001001001</v>
      </c>
    </row>
    <row r="1222" spans="1:13" x14ac:dyDescent="0.25">
      <c r="A1222" s="1">
        <v>787981</v>
      </c>
      <c r="B1222" s="6" t="s">
        <v>1329</v>
      </c>
      <c r="C1222" s="9" t="s">
        <v>33</v>
      </c>
      <c r="D1222" s="6" t="s">
        <v>20</v>
      </c>
      <c r="E1222" s="6" t="s">
        <v>37</v>
      </c>
      <c r="F1222" s="6" t="s">
        <v>9</v>
      </c>
      <c r="G1222" s="6" t="s">
        <v>38</v>
      </c>
      <c r="H1222" s="9" t="s">
        <v>33</v>
      </c>
      <c r="I1222" s="7" t="str">
        <f t="shared" si="76"/>
        <v>61001005000</v>
      </c>
      <c r="J1222" s="7" t="str">
        <f t="shared" si="77"/>
        <v>Материал по ЕГРН</v>
      </c>
      <c r="K1222" s="7">
        <f>VLOOKUP(J1222,Лист2!A$2:B$4,2,FALSE)</f>
        <v>792</v>
      </c>
      <c r="L1222" s="7" t="str">
        <f t="shared" si="78"/>
        <v>ГОТОВ</v>
      </c>
      <c r="M1222" s="7" t="str">
        <f t="shared" si="79"/>
        <v>61001005000</v>
      </c>
    </row>
    <row r="1223" spans="1:13" x14ac:dyDescent="0.25">
      <c r="A1223" s="1">
        <v>945780</v>
      </c>
      <c r="B1223" s="6" t="s">
        <v>1330</v>
      </c>
      <c r="F1223" s="6" t="s">
        <v>9</v>
      </c>
      <c r="G1223" s="6" t="s">
        <v>43</v>
      </c>
      <c r="H1223" s="9" t="s">
        <v>42</v>
      </c>
      <c r="I1223" s="7" t="str">
        <f t="shared" si="76"/>
        <v>61001002001</v>
      </c>
      <c r="J1223" s="7" t="str">
        <f t="shared" si="77"/>
        <v>Материал по ЕГРН</v>
      </c>
      <c r="K1223" s="7">
        <f>VLOOKUP(J1223,Лист2!A$2:B$4,2,FALSE)</f>
        <v>792</v>
      </c>
      <c r="L1223" s="7" t="str">
        <f t="shared" si="78"/>
        <v>ГОТОВ_ИЗМЕНЕН</v>
      </c>
      <c r="M1223" s="7">
        <f t="shared" si="79"/>
        <v>0</v>
      </c>
    </row>
    <row r="1224" spans="1:13" x14ac:dyDescent="0.25">
      <c r="A1224" s="1">
        <v>945792</v>
      </c>
      <c r="B1224" s="6" t="s">
        <v>1331</v>
      </c>
      <c r="F1224" s="6" t="s">
        <v>9</v>
      </c>
      <c r="G1224" s="6" t="s">
        <v>38</v>
      </c>
      <c r="H1224" s="9" t="s">
        <v>33</v>
      </c>
      <c r="I1224" s="7" t="str">
        <f t="shared" si="76"/>
        <v>61001005000</v>
      </c>
      <c r="J1224" s="7" t="str">
        <f t="shared" si="77"/>
        <v>Материал по ЕГРН</v>
      </c>
      <c r="K1224" s="7">
        <f>VLOOKUP(J1224,Лист2!A$2:B$4,2,FALSE)</f>
        <v>792</v>
      </c>
      <c r="L1224" s="7" t="str">
        <f t="shared" si="78"/>
        <v>ГОТОВ_ИЗМЕНЕН</v>
      </c>
      <c r="M1224" s="7">
        <f t="shared" si="79"/>
        <v>0</v>
      </c>
    </row>
    <row r="1225" spans="1:13" x14ac:dyDescent="0.25">
      <c r="A1225" s="1">
        <v>945804</v>
      </c>
      <c r="B1225" s="6" t="s">
        <v>1332</v>
      </c>
      <c r="F1225" s="6" t="s">
        <v>9</v>
      </c>
      <c r="G1225" s="6" t="s">
        <v>34</v>
      </c>
      <c r="H1225" s="9" t="s">
        <v>35</v>
      </c>
      <c r="I1225" s="7" t="str">
        <f t="shared" si="76"/>
        <v>61001002000</v>
      </c>
      <c r="J1225" s="7" t="str">
        <f t="shared" si="77"/>
        <v>Материал по ЕГРН</v>
      </c>
      <c r="K1225" s="7">
        <f>VLOOKUP(J1225,Лист2!A$2:B$4,2,FALSE)</f>
        <v>792</v>
      </c>
      <c r="L1225" s="7" t="str">
        <f t="shared" si="78"/>
        <v>ГОТОВ_ИЗМЕНЕН</v>
      </c>
      <c r="M1225" s="7">
        <f t="shared" si="79"/>
        <v>0</v>
      </c>
    </row>
    <row r="1226" spans="1:13" x14ac:dyDescent="0.25">
      <c r="A1226" s="1">
        <v>945816</v>
      </c>
      <c r="B1226" s="6" t="s">
        <v>1333</v>
      </c>
      <c r="F1226" s="6" t="s">
        <v>9</v>
      </c>
      <c r="G1226" s="6" t="s">
        <v>62</v>
      </c>
      <c r="H1226" s="9" t="s">
        <v>63</v>
      </c>
      <c r="I1226" s="7" t="str">
        <f t="shared" si="76"/>
        <v>61001006002</v>
      </c>
      <c r="J1226" s="7" t="str">
        <f t="shared" si="77"/>
        <v>Материал по ЕГРН</v>
      </c>
      <c r="K1226" s="7">
        <f>VLOOKUP(J1226,Лист2!A$2:B$4,2,FALSE)</f>
        <v>792</v>
      </c>
      <c r="L1226" s="7" t="str">
        <f t="shared" si="78"/>
        <v>ГОТОВ_ИЗМЕНЕН</v>
      </c>
      <c r="M1226" s="7">
        <f t="shared" si="79"/>
        <v>0</v>
      </c>
    </row>
    <row r="1227" spans="1:13" x14ac:dyDescent="0.25">
      <c r="A1227" s="1">
        <v>945828</v>
      </c>
      <c r="B1227" s="6" t="s">
        <v>1334</v>
      </c>
      <c r="F1227" s="6" t="s">
        <v>9</v>
      </c>
      <c r="G1227" s="6" t="s">
        <v>10</v>
      </c>
      <c r="H1227" s="9" t="s">
        <v>11</v>
      </c>
      <c r="I1227" s="7" t="str">
        <f t="shared" si="76"/>
        <v>61001003000</v>
      </c>
      <c r="J1227" s="7" t="str">
        <f t="shared" si="77"/>
        <v>Материал по ЕГРН</v>
      </c>
      <c r="K1227" s="7">
        <f>VLOOKUP(J1227,Лист2!A$2:B$4,2,FALSE)</f>
        <v>792</v>
      </c>
      <c r="L1227" s="7" t="str">
        <f t="shared" si="78"/>
        <v>ГОТОВ_ИЗМЕНЕН</v>
      </c>
      <c r="M1227" s="7">
        <f t="shared" si="79"/>
        <v>0</v>
      </c>
    </row>
    <row r="1228" spans="1:13" x14ac:dyDescent="0.25">
      <c r="A1228" s="1">
        <v>131836</v>
      </c>
      <c r="B1228" s="6" t="s">
        <v>1335</v>
      </c>
      <c r="C1228" s="9" t="s">
        <v>33</v>
      </c>
      <c r="D1228" s="6" t="s">
        <v>20</v>
      </c>
      <c r="E1228" s="6" t="s">
        <v>37</v>
      </c>
      <c r="F1228" s="6" t="s">
        <v>9</v>
      </c>
      <c r="G1228" s="6" t="s">
        <v>38</v>
      </c>
      <c r="H1228" s="9" t="s">
        <v>33</v>
      </c>
      <c r="I1228" s="7" t="str">
        <f t="shared" si="76"/>
        <v>61001005000</v>
      </c>
      <c r="J1228" s="7" t="str">
        <f t="shared" si="77"/>
        <v>Материал по ЕГРН</v>
      </c>
      <c r="K1228" s="7">
        <f>VLOOKUP(J1228,Лист2!A$2:B$4,2,FALSE)</f>
        <v>792</v>
      </c>
      <c r="L1228" s="7" t="str">
        <f t="shared" si="78"/>
        <v>ГОТОВ</v>
      </c>
      <c r="M1228" s="7" t="str">
        <f t="shared" si="79"/>
        <v>61001005000</v>
      </c>
    </row>
    <row r="1229" spans="1:13" x14ac:dyDescent="0.25">
      <c r="A1229" s="1">
        <v>384180</v>
      </c>
      <c r="B1229" s="6" t="s">
        <v>1336</v>
      </c>
      <c r="C1229" s="9" t="s">
        <v>33</v>
      </c>
      <c r="D1229" s="6" t="s">
        <v>20</v>
      </c>
      <c r="E1229" s="6" t="s">
        <v>8</v>
      </c>
      <c r="F1229" s="6" t="s">
        <v>9</v>
      </c>
      <c r="G1229" s="6" t="s">
        <v>34</v>
      </c>
      <c r="H1229" s="9" t="s">
        <v>35</v>
      </c>
      <c r="I1229" s="7" t="str">
        <f t="shared" si="76"/>
        <v>61001002000</v>
      </c>
      <c r="J1229" s="7" t="str">
        <f t="shared" si="77"/>
        <v>Материал по ЕГРН</v>
      </c>
      <c r="K1229" s="7">
        <f>VLOOKUP(J1229,Лист2!A$2:B$4,2,FALSE)</f>
        <v>792</v>
      </c>
      <c r="L1229" s="7" t="str">
        <f t="shared" si="78"/>
        <v>ГОТОВ_ИЗМЕНЕН</v>
      </c>
      <c r="M1229" s="7" t="str">
        <f t="shared" si="79"/>
        <v>61001005000</v>
      </c>
    </row>
    <row r="1230" spans="1:13" x14ac:dyDescent="0.25">
      <c r="A1230" s="1">
        <v>515721</v>
      </c>
      <c r="B1230" s="6" t="s">
        <v>1337</v>
      </c>
      <c r="C1230" s="9" t="s">
        <v>11</v>
      </c>
      <c r="D1230" s="6" t="s">
        <v>20</v>
      </c>
      <c r="E1230" s="6" t="s">
        <v>37</v>
      </c>
      <c r="F1230" s="6" t="s">
        <v>9</v>
      </c>
      <c r="G1230" s="6" t="s">
        <v>10</v>
      </c>
      <c r="H1230" s="9" t="s">
        <v>11</v>
      </c>
      <c r="I1230" s="7" t="str">
        <f t="shared" si="76"/>
        <v>61001003000</v>
      </c>
      <c r="J1230" s="7" t="str">
        <f t="shared" si="77"/>
        <v>Материал по ЕГРН</v>
      </c>
      <c r="K1230" s="7">
        <f>VLOOKUP(J1230,Лист2!A$2:B$4,2,FALSE)</f>
        <v>792</v>
      </c>
      <c r="L1230" s="7" t="str">
        <f t="shared" si="78"/>
        <v>ГОТОВ</v>
      </c>
      <c r="M1230" s="7" t="str">
        <f t="shared" si="79"/>
        <v>61001003000</v>
      </c>
    </row>
    <row r="1231" spans="1:13" x14ac:dyDescent="0.25">
      <c r="A1231" s="1">
        <v>524403</v>
      </c>
      <c r="B1231" s="6" t="s">
        <v>1338</v>
      </c>
      <c r="C1231" s="9" t="s">
        <v>33</v>
      </c>
      <c r="D1231" s="6" t="s">
        <v>20</v>
      </c>
      <c r="E1231" s="6" t="s">
        <v>37</v>
      </c>
      <c r="F1231" s="6" t="s">
        <v>9</v>
      </c>
      <c r="G1231" s="6" t="s">
        <v>38</v>
      </c>
      <c r="H1231" s="9" t="s">
        <v>33</v>
      </c>
      <c r="I1231" s="7" t="str">
        <f t="shared" si="76"/>
        <v>61001005000</v>
      </c>
      <c r="J1231" s="7" t="str">
        <f t="shared" si="77"/>
        <v>Материал по ЕГРН</v>
      </c>
      <c r="K1231" s="7">
        <f>VLOOKUP(J1231,Лист2!A$2:B$4,2,FALSE)</f>
        <v>792</v>
      </c>
      <c r="L1231" s="7" t="str">
        <f t="shared" si="78"/>
        <v>ГОТОВ</v>
      </c>
      <c r="M1231" s="7" t="str">
        <f t="shared" si="79"/>
        <v>61001005000</v>
      </c>
    </row>
    <row r="1232" spans="1:13" x14ac:dyDescent="0.25">
      <c r="A1232" s="1">
        <v>534291</v>
      </c>
      <c r="B1232" s="6" t="s">
        <v>1339</v>
      </c>
      <c r="C1232" s="9" t="s">
        <v>33</v>
      </c>
      <c r="D1232" s="6" t="s">
        <v>20</v>
      </c>
      <c r="E1232" s="6" t="s">
        <v>37</v>
      </c>
      <c r="F1232" s="6" t="s">
        <v>9</v>
      </c>
      <c r="G1232" s="6" t="s">
        <v>38</v>
      </c>
      <c r="H1232" s="9" t="s">
        <v>33</v>
      </c>
      <c r="I1232" s="7" t="str">
        <f t="shared" si="76"/>
        <v>61001005000</v>
      </c>
      <c r="J1232" s="7" t="str">
        <f t="shared" si="77"/>
        <v>Материал по ЕГРН</v>
      </c>
      <c r="K1232" s="7">
        <f>VLOOKUP(J1232,Лист2!A$2:B$4,2,FALSE)</f>
        <v>792</v>
      </c>
      <c r="L1232" s="7" t="str">
        <f t="shared" si="78"/>
        <v>ГОТОВ</v>
      </c>
      <c r="M1232" s="7" t="str">
        <f t="shared" si="79"/>
        <v>61001005000</v>
      </c>
    </row>
    <row r="1233" spans="1:13" x14ac:dyDescent="0.25">
      <c r="A1233" s="1">
        <v>787016</v>
      </c>
      <c r="B1233" s="6" t="s">
        <v>1340</v>
      </c>
      <c r="C1233" s="9" t="s">
        <v>33</v>
      </c>
      <c r="D1233" s="6" t="s">
        <v>20</v>
      </c>
      <c r="E1233" s="6" t="s">
        <v>37</v>
      </c>
      <c r="F1233" s="6" t="s">
        <v>9</v>
      </c>
      <c r="G1233" s="6" t="s">
        <v>38</v>
      </c>
      <c r="H1233" s="9" t="s">
        <v>33</v>
      </c>
      <c r="I1233" s="7" t="str">
        <f t="shared" si="76"/>
        <v>61001005000</v>
      </c>
      <c r="J1233" s="7" t="str">
        <f t="shared" si="77"/>
        <v>Материал по ЕГРН</v>
      </c>
      <c r="K1233" s="7">
        <f>VLOOKUP(J1233,Лист2!A$2:B$4,2,FALSE)</f>
        <v>792</v>
      </c>
      <c r="L1233" s="7" t="str">
        <f t="shared" si="78"/>
        <v>ГОТОВ</v>
      </c>
      <c r="M1233" s="7" t="str">
        <f t="shared" si="79"/>
        <v>61001005000</v>
      </c>
    </row>
    <row r="1234" spans="1:13" x14ac:dyDescent="0.25">
      <c r="A1234" s="1">
        <v>241027</v>
      </c>
      <c r="B1234" s="6" t="s">
        <v>1341</v>
      </c>
      <c r="C1234" s="9" t="s">
        <v>33</v>
      </c>
      <c r="D1234" s="6" t="s">
        <v>20</v>
      </c>
      <c r="E1234" s="6" t="s">
        <v>37</v>
      </c>
      <c r="F1234" s="6" t="s">
        <v>9</v>
      </c>
      <c r="G1234" s="6" t="s">
        <v>38</v>
      </c>
      <c r="H1234" s="9" t="s">
        <v>33</v>
      </c>
      <c r="I1234" s="7" t="str">
        <f t="shared" si="76"/>
        <v>61001005000</v>
      </c>
      <c r="J1234" s="7" t="str">
        <f t="shared" si="77"/>
        <v>Материал по ЕГРН</v>
      </c>
      <c r="K1234" s="7">
        <f>VLOOKUP(J1234,Лист2!A$2:B$4,2,FALSE)</f>
        <v>792</v>
      </c>
      <c r="L1234" s="7" t="str">
        <f t="shared" si="78"/>
        <v>ГОТОВ</v>
      </c>
      <c r="M1234" s="7" t="str">
        <f t="shared" si="79"/>
        <v>61001005000</v>
      </c>
    </row>
    <row r="1235" spans="1:13" x14ac:dyDescent="0.25">
      <c r="A1235" s="1">
        <v>351095</v>
      </c>
      <c r="B1235" s="6" t="s">
        <v>1342</v>
      </c>
      <c r="C1235" s="9" t="s">
        <v>33</v>
      </c>
      <c r="D1235" s="6" t="s">
        <v>20</v>
      </c>
      <c r="E1235" s="6" t="s">
        <v>37</v>
      </c>
      <c r="F1235" s="6" t="s">
        <v>9</v>
      </c>
      <c r="G1235" s="6" t="s">
        <v>38</v>
      </c>
      <c r="H1235" s="9" t="s">
        <v>33</v>
      </c>
      <c r="I1235" s="7" t="str">
        <f t="shared" si="76"/>
        <v>61001005000</v>
      </c>
      <c r="J1235" s="7" t="str">
        <f t="shared" si="77"/>
        <v>Материал по ЕГРН</v>
      </c>
      <c r="K1235" s="7">
        <f>VLOOKUP(J1235,Лист2!A$2:B$4,2,FALSE)</f>
        <v>792</v>
      </c>
      <c r="L1235" s="7" t="str">
        <f t="shared" si="78"/>
        <v>ГОТОВ</v>
      </c>
      <c r="M1235" s="7" t="str">
        <f t="shared" si="79"/>
        <v>61001005000</v>
      </c>
    </row>
    <row r="1236" spans="1:13" x14ac:dyDescent="0.25">
      <c r="A1236" s="1">
        <v>591886</v>
      </c>
      <c r="B1236" s="6" t="s">
        <v>1343</v>
      </c>
      <c r="C1236" s="9" t="s">
        <v>33</v>
      </c>
      <c r="D1236" s="6" t="s">
        <v>20</v>
      </c>
      <c r="E1236" s="6" t="s">
        <v>37</v>
      </c>
      <c r="F1236" s="6" t="s">
        <v>9</v>
      </c>
      <c r="G1236" s="6" t="s">
        <v>38</v>
      </c>
      <c r="H1236" s="9" t="s">
        <v>33</v>
      </c>
      <c r="I1236" s="7" t="str">
        <f t="shared" si="76"/>
        <v>61001005000</v>
      </c>
      <c r="J1236" s="7" t="str">
        <f t="shared" si="77"/>
        <v>Материал по ЕГРН</v>
      </c>
      <c r="K1236" s="7">
        <f>VLOOKUP(J1236,Лист2!A$2:B$4,2,FALSE)</f>
        <v>792</v>
      </c>
      <c r="L1236" s="7" t="str">
        <f t="shared" si="78"/>
        <v>ГОТОВ</v>
      </c>
      <c r="M1236" s="7" t="str">
        <f t="shared" si="79"/>
        <v>61001005000</v>
      </c>
    </row>
    <row r="1237" spans="1:13" x14ac:dyDescent="0.25">
      <c r="A1237" s="1">
        <v>178244</v>
      </c>
      <c r="B1237" s="6" t="s">
        <v>1344</v>
      </c>
      <c r="C1237" s="9" t="s">
        <v>33</v>
      </c>
      <c r="D1237" s="6" t="s">
        <v>20</v>
      </c>
      <c r="E1237" s="6" t="s">
        <v>37</v>
      </c>
      <c r="F1237" s="6" t="s">
        <v>9</v>
      </c>
      <c r="G1237" s="6" t="s">
        <v>38</v>
      </c>
      <c r="H1237" s="9" t="s">
        <v>33</v>
      </c>
      <c r="I1237" s="7" t="str">
        <f t="shared" si="76"/>
        <v>61001005000</v>
      </c>
      <c r="J1237" s="7" t="str">
        <f t="shared" si="77"/>
        <v>Материал по ЕГРН</v>
      </c>
      <c r="K1237" s="7">
        <f>VLOOKUP(J1237,Лист2!A$2:B$4,2,FALSE)</f>
        <v>792</v>
      </c>
      <c r="L1237" s="7" t="str">
        <f t="shared" si="78"/>
        <v>ГОТОВ</v>
      </c>
      <c r="M1237" s="7" t="str">
        <f t="shared" si="79"/>
        <v>61001005000</v>
      </c>
    </row>
    <row r="1238" spans="1:13" x14ac:dyDescent="0.25">
      <c r="A1238" s="1">
        <v>350539</v>
      </c>
      <c r="B1238" s="6" t="s">
        <v>1345</v>
      </c>
      <c r="C1238" s="9" t="s">
        <v>42</v>
      </c>
      <c r="D1238" s="6" t="s">
        <v>20</v>
      </c>
      <c r="E1238" s="6" t="s">
        <v>37</v>
      </c>
      <c r="F1238" s="6" t="s">
        <v>9</v>
      </c>
      <c r="G1238" s="6" t="s">
        <v>43</v>
      </c>
      <c r="H1238" s="9" t="s">
        <v>42</v>
      </c>
      <c r="I1238" s="7" t="str">
        <f t="shared" si="76"/>
        <v>61001002001</v>
      </c>
      <c r="J1238" s="7" t="str">
        <f t="shared" si="77"/>
        <v>Материал по ЕГРН</v>
      </c>
      <c r="K1238" s="7">
        <f>VLOOKUP(J1238,Лист2!A$2:B$4,2,FALSE)</f>
        <v>792</v>
      </c>
      <c r="L1238" s="7" t="str">
        <f t="shared" si="78"/>
        <v>ГОТОВ</v>
      </c>
      <c r="M1238" s="7" t="str">
        <f t="shared" si="79"/>
        <v>61001002001</v>
      </c>
    </row>
    <row r="1239" spans="1:13" x14ac:dyDescent="0.25">
      <c r="A1239" s="1">
        <v>787494</v>
      </c>
      <c r="B1239" s="6" t="s">
        <v>1346</v>
      </c>
      <c r="C1239" s="9" t="s">
        <v>33</v>
      </c>
      <c r="D1239" s="6" t="s">
        <v>20</v>
      </c>
      <c r="E1239" s="6" t="s">
        <v>37</v>
      </c>
      <c r="F1239" s="6" t="s">
        <v>9</v>
      </c>
      <c r="G1239" s="6" t="s">
        <v>38</v>
      </c>
      <c r="H1239" s="9" t="s">
        <v>33</v>
      </c>
      <c r="I1239" s="7" t="str">
        <f t="shared" si="76"/>
        <v>61001005000</v>
      </c>
      <c r="J1239" s="7" t="str">
        <f t="shared" si="77"/>
        <v>Материал по ЕГРН</v>
      </c>
      <c r="K1239" s="7">
        <f>VLOOKUP(J1239,Лист2!A$2:B$4,2,FALSE)</f>
        <v>792</v>
      </c>
      <c r="L1239" s="7" t="str">
        <f t="shared" si="78"/>
        <v>ГОТОВ</v>
      </c>
      <c r="M1239" s="7" t="str">
        <f t="shared" si="79"/>
        <v>61001005000</v>
      </c>
    </row>
    <row r="1240" spans="1:13" x14ac:dyDescent="0.25">
      <c r="A1240" s="1">
        <v>787667</v>
      </c>
      <c r="B1240" s="6" t="s">
        <v>1347</v>
      </c>
      <c r="C1240" s="9" t="s">
        <v>33</v>
      </c>
      <c r="D1240" s="6" t="s">
        <v>20</v>
      </c>
      <c r="E1240" s="6" t="s">
        <v>37</v>
      </c>
      <c r="F1240" s="6" t="s">
        <v>9</v>
      </c>
      <c r="G1240" s="6" t="s">
        <v>38</v>
      </c>
      <c r="H1240" s="9" t="s">
        <v>33</v>
      </c>
      <c r="I1240" s="7" t="str">
        <f t="shared" si="76"/>
        <v>61001005000</v>
      </c>
      <c r="J1240" s="7" t="str">
        <f t="shared" si="77"/>
        <v>Материал по ЕГРН</v>
      </c>
      <c r="K1240" s="7">
        <f>VLOOKUP(J1240,Лист2!A$2:B$4,2,FALSE)</f>
        <v>792</v>
      </c>
      <c r="L1240" s="7" t="str">
        <f t="shared" si="78"/>
        <v>ГОТОВ</v>
      </c>
      <c r="M1240" s="7" t="str">
        <f t="shared" si="79"/>
        <v>61001005000</v>
      </c>
    </row>
    <row r="1241" spans="1:13" x14ac:dyDescent="0.25">
      <c r="A1241" s="1">
        <v>943421</v>
      </c>
      <c r="B1241" s="6" t="s">
        <v>1348</v>
      </c>
      <c r="F1241" s="6" t="s">
        <v>9</v>
      </c>
      <c r="G1241" s="6" t="s">
        <v>34</v>
      </c>
      <c r="H1241" s="9" t="s">
        <v>35</v>
      </c>
      <c r="I1241" s="7" t="str">
        <f t="shared" si="76"/>
        <v>61001002000</v>
      </c>
      <c r="J1241" s="7" t="str">
        <f t="shared" si="77"/>
        <v>Материал по ЕГРН</v>
      </c>
      <c r="K1241" s="7">
        <f>VLOOKUP(J1241,Лист2!A$2:B$4,2,FALSE)</f>
        <v>792</v>
      </c>
      <c r="L1241" s="7" t="str">
        <f t="shared" si="78"/>
        <v>ГОТОВ_ИЗМЕНЕН</v>
      </c>
      <c r="M1241" s="7">
        <f t="shared" si="79"/>
        <v>0</v>
      </c>
    </row>
    <row r="1242" spans="1:13" x14ac:dyDescent="0.25">
      <c r="A1242" s="1">
        <v>943433</v>
      </c>
      <c r="B1242" s="6" t="s">
        <v>1349</v>
      </c>
      <c r="F1242" s="6" t="s">
        <v>9</v>
      </c>
      <c r="G1242" s="6" t="s">
        <v>59</v>
      </c>
      <c r="H1242" s="9" t="s">
        <v>60</v>
      </c>
      <c r="I1242" s="7" t="str">
        <f t="shared" si="76"/>
        <v>61001001001</v>
      </c>
      <c r="J1242" s="7" t="str">
        <f t="shared" si="77"/>
        <v>Материал по ЕГРН</v>
      </c>
      <c r="K1242" s="7">
        <f>VLOOKUP(J1242,Лист2!A$2:B$4,2,FALSE)</f>
        <v>792</v>
      </c>
      <c r="L1242" s="7" t="str">
        <f t="shared" si="78"/>
        <v>ГОТОВ_ИЗМЕНЕН</v>
      </c>
      <c r="M1242" s="7">
        <f t="shared" si="79"/>
        <v>0</v>
      </c>
    </row>
    <row r="1243" spans="1:13" x14ac:dyDescent="0.25">
      <c r="A1243" s="1">
        <v>943445</v>
      </c>
      <c r="B1243" s="6" t="s">
        <v>1350</v>
      </c>
      <c r="F1243" s="6" t="s">
        <v>9</v>
      </c>
      <c r="G1243" s="6" t="s">
        <v>170</v>
      </c>
      <c r="H1243" s="9" t="s">
        <v>171</v>
      </c>
      <c r="I1243" s="7" t="str">
        <f t="shared" si="76"/>
        <v>61001001000</v>
      </c>
      <c r="J1243" s="7" t="str">
        <f t="shared" si="77"/>
        <v>Материал по ЕГРН</v>
      </c>
      <c r="K1243" s="7">
        <f>VLOOKUP(J1243,Лист2!A$2:B$4,2,FALSE)</f>
        <v>792</v>
      </c>
      <c r="L1243" s="7" t="str">
        <f t="shared" si="78"/>
        <v>ГОТОВ_ИЗМЕНЕН</v>
      </c>
      <c r="M1243" s="7">
        <f t="shared" si="79"/>
        <v>0</v>
      </c>
    </row>
    <row r="1244" spans="1:13" x14ac:dyDescent="0.25">
      <c r="A1244" s="1">
        <v>943457</v>
      </c>
      <c r="B1244" s="6" t="s">
        <v>1351</v>
      </c>
      <c r="F1244" s="6" t="s">
        <v>9</v>
      </c>
      <c r="G1244" s="6" t="s">
        <v>38</v>
      </c>
      <c r="H1244" s="9" t="s">
        <v>33</v>
      </c>
      <c r="I1244" s="7" t="str">
        <f t="shared" si="76"/>
        <v>61001005000</v>
      </c>
      <c r="J1244" s="7" t="str">
        <f t="shared" si="77"/>
        <v>Материал по ЕГРН</v>
      </c>
      <c r="K1244" s="7">
        <f>VLOOKUP(J1244,Лист2!A$2:B$4,2,FALSE)</f>
        <v>792</v>
      </c>
      <c r="L1244" s="7" t="str">
        <f t="shared" si="78"/>
        <v>ГОТОВ_ИЗМЕНЕН</v>
      </c>
      <c r="M1244" s="7">
        <f t="shared" si="79"/>
        <v>0</v>
      </c>
    </row>
    <row r="1245" spans="1:13" x14ac:dyDescent="0.25">
      <c r="A1245" s="1">
        <v>943469</v>
      </c>
      <c r="B1245" s="6" t="s">
        <v>1352</v>
      </c>
      <c r="F1245" s="6" t="s">
        <v>9</v>
      </c>
      <c r="G1245" s="6" t="s">
        <v>38</v>
      </c>
      <c r="H1245" s="9" t="s">
        <v>33</v>
      </c>
      <c r="I1245" s="7" t="str">
        <f t="shared" si="76"/>
        <v>61001005000</v>
      </c>
      <c r="J1245" s="7" t="str">
        <f t="shared" si="77"/>
        <v>Материал по ЕГРН</v>
      </c>
      <c r="K1245" s="7">
        <f>VLOOKUP(J1245,Лист2!A$2:B$4,2,FALSE)</f>
        <v>792</v>
      </c>
      <c r="L1245" s="7" t="str">
        <f t="shared" si="78"/>
        <v>ГОТОВ_ИЗМЕНЕН</v>
      </c>
      <c r="M1245" s="7">
        <f t="shared" si="79"/>
        <v>0</v>
      </c>
    </row>
    <row r="1246" spans="1:13" x14ac:dyDescent="0.25">
      <c r="A1246" s="1">
        <v>943481</v>
      </c>
      <c r="B1246" s="6" t="s">
        <v>1353</v>
      </c>
      <c r="F1246" s="6" t="s">
        <v>9</v>
      </c>
      <c r="G1246" s="6" t="s">
        <v>10</v>
      </c>
      <c r="H1246" s="9" t="s">
        <v>11</v>
      </c>
      <c r="I1246" s="7" t="str">
        <f t="shared" si="76"/>
        <v>61001003000</v>
      </c>
      <c r="J1246" s="7" t="str">
        <f t="shared" si="77"/>
        <v>Материал по ЕГРН</v>
      </c>
      <c r="K1246" s="7">
        <f>VLOOKUP(J1246,Лист2!A$2:B$4,2,FALSE)</f>
        <v>792</v>
      </c>
      <c r="L1246" s="7" t="str">
        <f t="shared" si="78"/>
        <v>ГОТОВ_ИЗМЕНЕН</v>
      </c>
      <c r="M1246" s="7">
        <f t="shared" si="79"/>
        <v>0</v>
      </c>
    </row>
    <row r="1247" spans="1:13" x14ac:dyDescent="0.25">
      <c r="A1247" s="1">
        <v>943493</v>
      </c>
      <c r="B1247" s="6" t="s">
        <v>1354</v>
      </c>
      <c r="F1247" s="6" t="s">
        <v>9</v>
      </c>
      <c r="G1247" s="6" t="s">
        <v>38</v>
      </c>
      <c r="H1247" s="9" t="s">
        <v>33</v>
      </c>
      <c r="I1247" s="7" t="str">
        <f t="shared" si="76"/>
        <v>61001005000</v>
      </c>
      <c r="J1247" s="7" t="str">
        <f t="shared" si="77"/>
        <v>Материал по ЕГРН</v>
      </c>
      <c r="K1247" s="7">
        <f>VLOOKUP(J1247,Лист2!A$2:B$4,2,FALSE)</f>
        <v>792</v>
      </c>
      <c r="L1247" s="7" t="str">
        <f t="shared" si="78"/>
        <v>ГОТОВ_ИЗМЕНЕН</v>
      </c>
      <c r="M1247" s="7">
        <f t="shared" si="79"/>
        <v>0</v>
      </c>
    </row>
    <row r="1248" spans="1:13" x14ac:dyDescent="0.25">
      <c r="A1248" s="1">
        <v>943505</v>
      </c>
      <c r="B1248" s="6" t="s">
        <v>1355</v>
      </c>
      <c r="F1248" s="6" t="s">
        <v>9</v>
      </c>
      <c r="G1248" s="6" t="s">
        <v>62</v>
      </c>
      <c r="H1248" s="9" t="s">
        <v>63</v>
      </c>
      <c r="I1248" s="7" t="str">
        <f t="shared" si="76"/>
        <v>61001006002</v>
      </c>
      <c r="J1248" s="7" t="str">
        <f t="shared" si="77"/>
        <v>Материал по ЕГРН</v>
      </c>
      <c r="K1248" s="7">
        <f>VLOOKUP(J1248,Лист2!A$2:B$4,2,FALSE)</f>
        <v>792</v>
      </c>
      <c r="L1248" s="7" t="str">
        <f t="shared" si="78"/>
        <v>ГОТОВ_ИЗМЕНЕН</v>
      </c>
      <c r="M1248" s="7">
        <f t="shared" si="79"/>
        <v>0</v>
      </c>
    </row>
    <row r="1249" spans="1:13" x14ac:dyDescent="0.25">
      <c r="A1249" s="1">
        <v>943517</v>
      </c>
      <c r="B1249" s="6" t="s">
        <v>1356</v>
      </c>
      <c r="F1249" s="6" t="s">
        <v>9</v>
      </c>
      <c r="G1249" s="6" t="s">
        <v>59</v>
      </c>
      <c r="H1249" s="9" t="s">
        <v>60</v>
      </c>
      <c r="I1249" s="7" t="str">
        <f t="shared" si="76"/>
        <v>61001001001</v>
      </c>
      <c r="J1249" s="7" t="str">
        <f t="shared" si="77"/>
        <v>Материал по ЕГРН</v>
      </c>
      <c r="K1249" s="7">
        <f>VLOOKUP(J1249,Лист2!A$2:B$4,2,FALSE)</f>
        <v>792</v>
      </c>
      <c r="L1249" s="7" t="str">
        <f t="shared" si="78"/>
        <v>ГОТОВ_ИЗМЕНЕН</v>
      </c>
      <c r="M1249" s="7">
        <f t="shared" si="79"/>
        <v>0</v>
      </c>
    </row>
    <row r="1250" spans="1:13" x14ac:dyDescent="0.25">
      <c r="A1250" s="1">
        <v>943529</v>
      </c>
      <c r="B1250" s="6" t="s">
        <v>1357</v>
      </c>
      <c r="F1250" s="6" t="s">
        <v>9</v>
      </c>
      <c r="G1250" s="6" t="s">
        <v>1358</v>
      </c>
      <c r="H1250" s="9" t="s">
        <v>805</v>
      </c>
      <c r="I1250" s="7" t="str">
        <f t="shared" si="76"/>
        <v>61001003000</v>
      </c>
      <c r="J1250" s="7" t="str">
        <f t="shared" si="77"/>
        <v>Смешанные по допущению</v>
      </c>
      <c r="K1250" s="7">
        <f>VLOOKUP(J1250,Лист2!A$2:B$4,2,FALSE)</f>
        <v>793</v>
      </c>
      <c r="L1250" s="7" t="str">
        <f t="shared" si="78"/>
        <v>ГОТОВ_ИЗМЕНЕН</v>
      </c>
      <c r="M1250" s="7">
        <f t="shared" si="79"/>
        <v>0</v>
      </c>
    </row>
    <row r="1251" spans="1:13" x14ac:dyDescent="0.25">
      <c r="A1251" s="1">
        <v>943541</v>
      </c>
      <c r="B1251" s="6" t="s">
        <v>1359</v>
      </c>
      <c r="F1251" s="6" t="s">
        <v>9</v>
      </c>
      <c r="G1251" s="6" t="s">
        <v>38</v>
      </c>
      <c r="H1251" s="9" t="s">
        <v>33</v>
      </c>
      <c r="I1251" s="7" t="str">
        <f t="shared" si="76"/>
        <v>61001005000</v>
      </c>
      <c r="J1251" s="7" t="str">
        <f t="shared" si="77"/>
        <v>Материал по ЕГРН</v>
      </c>
      <c r="K1251" s="7">
        <f>VLOOKUP(J1251,Лист2!A$2:B$4,2,FALSE)</f>
        <v>792</v>
      </c>
      <c r="L1251" s="7" t="str">
        <f t="shared" si="78"/>
        <v>ГОТОВ_ИЗМЕНЕН</v>
      </c>
      <c r="M1251" s="7">
        <f t="shared" si="79"/>
        <v>0</v>
      </c>
    </row>
    <row r="1252" spans="1:13" x14ac:dyDescent="0.25">
      <c r="A1252" s="1">
        <v>943553</v>
      </c>
      <c r="B1252" s="6" t="s">
        <v>1360</v>
      </c>
      <c r="F1252" s="6" t="s">
        <v>9</v>
      </c>
      <c r="G1252" s="6" t="s">
        <v>159</v>
      </c>
      <c r="H1252" s="9" t="s">
        <v>160</v>
      </c>
      <c r="I1252" s="7" t="str">
        <f t="shared" si="76"/>
        <v>61001002005</v>
      </c>
      <c r="J1252" s="7" t="str">
        <f t="shared" si="77"/>
        <v>Материал по ЕГРН</v>
      </c>
      <c r="K1252" s="7">
        <f>VLOOKUP(J1252,Лист2!A$2:B$4,2,FALSE)</f>
        <v>792</v>
      </c>
      <c r="L1252" s="7" t="str">
        <f t="shared" si="78"/>
        <v>ГОТОВ_ИЗМЕНЕН</v>
      </c>
      <c r="M1252" s="7">
        <f t="shared" si="79"/>
        <v>0</v>
      </c>
    </row>
    <row r="1253" spans="1:13" x14ac:dyDescent="0.25">
      <c r="A1253" s="1">
        <v>943565</v>
      </c>
      <c r="B1253" s="6" t="s">
        <v>1361</v>
      </c>
      <c r="F1253" s="6" t="s">
        <v>9</v>
      </c>
      <c r="G1253" s="6" t="s">
        <v>38</v>
      </c>
      <c r="H1253" s="9" t="s">
        <v>33</v>
      </c>
      <c r="I1253" s="7" t="str">
        <f t="shared" si="76"/>
        <v>61001005000</v>
      </c>
      <c r="J1253" s="7" t="str">
        <f t="shared" si="77"/>
        <v>Материал по ЕГРН</v>
      </c>
      <c r="K1253" s="7">
        <f>VLOOKUP(J1253,Лист2!A$2:B$4,2,FALSE)</f>
        <v>792</v>
      </c>
      <c r="L1253" s="7" t="str">
        <f t="shared" si="78"/>
        <v>ГОТОВ_ИЗМЕНЕН</v>
      </c>
      <c r="M1253" s="7">
        <f t="shared" si="79"/>
        <v>0</v>
      </c>
    </row>
    <row r="1254" spans="1:13" x14ac:dyDescent="0.25">
      <c r="A1254" s="1">
        <v>943577</v>
      </c>
      <c r="B1254" s="6" t="s">
        <v>1362</v>
      </c>
      <c r="F1254" s="6" t="s">
        <v>9</v>
      </c>
      <c r="G1254" s="6" t="s">
        <v>34</v>
      </c>
      <c r="H1254" s="9" t="s">
        <v>35</v>
      </c>
      <c r="I1254" s="7" t="str">
        <f t="shared" si="76"/>
        <v>61001002000</v>
      </c>
      <c r="J1254" s="7" t="str">
        <f t="shared" si="77"/>
        <v>Материал по ЕГРН</v>
      </c>
      <c r="K1254" s="7">
        <f>VLOOKUP(J1254,Лист2!A$2:B$4,2,FALSE)</f>
        <v>792</v>
      </c>
      <c r="L1254" s="7" t="str">
        <f t="shared" si="78"/>
        <v>ГОТОВ_ИЗМЕНЕН</v>
      </c>
      <c r="M1254" s="7">
        <f t="shared" si="79"/>
        <v>0</v>
      </c>
    </row>
    <row r="1255" spans="1:13" x14ac:dyDescent="0.25">
      <c r="A1255" s="1">
        <v>943589</v>
      </c>
      <c r="B1255" s="6" t="s">
        <v>1363</v>
      </c>
      <c r="F1255" s="6" t="s">
        <v>9</v>
      </c>
      <c r="G1255" s="6" t="s">
        <v>38</v>
      </c>
      <c r="H1255" s="9" t="s">
        <v>33</v>
      </c>
      <c r="I1255" s="7" t="str">
        <f t="shared" si="76"/>
        <v>61001005000</v>
      </c>
      <c r="J1255" s="7" t="str">
        <f t="shared" si="77"/>
        <v>Материал по ЕГРН</v>
      </c>
      <c r="K1255" s="7">
        <f>VLOOKUP(J1255,Лист2!A$2:B$4,2,FALSE)</f>
        <v>792</v>
      </c>
      <c r="L1255" s="7" t="str">
        <f t="shared" si="78"/>
        <v>ГОТОВ_ИЗМЕНЕН</v>
      </c>
      <c r="M1255" s="7">
        <f t="shared" si="79"/>
        <v>0</v>
      </c>
    </row>
    <row r="1256" spans="1:13" x14ac:dyDescent="0.25">
      <c r="A1256" s="1">
        <v>943601</v>
      </c>
      <c r="B1256" s="6" t="s">
        <v>1364</v>
      </c>
      <c r="F1256" s="6" t="s">
        <v>9</v>
      </c>
      <c r="G1256" s="6" t="s">
        <v>62</v>
      </c>
      <c r="H1256" s="9" t="s">
        <v>63</v>
      </c>
      <c r="I1256" s="7" t="str">
        <f t="shared" si="76"/>
        <v>61001006002</v>
      </c>
      <c r="J1256" s="7" t="str">
        <f t="shared" si="77"/>
        <v>Материал по ЕГРН</v>
      </c>
      <c r="K1256" s="7">
        <f>VLOOKUP(J1256,Лист2!A$2:B$4,2,FALSE)</f>
        <v>792</v>
      </c>
      <c r="L1256" s="7" t="str">
        <f t="shared" si="78"/>
        <v>ГОТОВ_ИЗМЕНЕН</v>
      </c>
      <c r="M1256" s="7">
        <f t="shared" si="79"/>
        <v>0</v>
      </c>
    </row>
    <row r="1257" spans="1:13" x14ac:dyDescent="0.25">
      <c r="A1257" s="1">
        <v>943613</v>
      </c>
      <c r="B1257" s="6" t="s">
        <v>1365</v>
      </c>
      <c r="F1257" s="6" t="s">
        <v>9</v>
      </c>
      <c r="G1257" s="6" t="s">
        <v>38</v>
      </c>
      <c r="H1257" s="9" t="s">
        <v>33</v>
      </c>
      <c r="I1257" s="7" t="str">
        <f t="shared" si="76"/>
        <v>61001005000</v>
      </c>
      <c r="J1257" s="7" t="str">
        <f t="shared" si="77"/>
        <v>Материал по ЕГРН</v>
      </c>
      <c r="K1257" s="7">
        <f>VLOOKUP(J1257,Лист2!A$2:B$4,2,FALSE)</f>
        <v>792</v>
      </c>
      <c r="L1257" s="7" t="str">
        <f t="shared" si="78"/>
        <v>ГОТОВ_ИЗМЕНЕН</v>
      </c>
      <c r="M1257" s="7">
        <f t="shared" si="79"/>
        <v>0</v>
      </c>
    </row>
    <row r="1258" spans="1:13" x14ac:dyDescent="0.25">
      <c r="A1258" s="1">
        <v>219498</v>
      </c>
      <c r="B1258" s="6" t="s">
        <v>1366</v>
      </c>
      <c r="C1258" s="9" t="s">
        <v>33</v>
      </c>
      <c r="D1258" s="6" t="s">
        <v>20</v>
      </c>
      <c r="E1258" s="6" t="s">
        <v>37</v>
      </c>
      <c r="F1258" s="6" t="s">
        <v>9</v>
      </c>
      <c r="G1258" s="6" t="s">
        <v>38</v>
      </c>
      <c r="H1258" s="9" t="s">
        <v>33</v>
      </c>
      <c r="I1258" s="7" t="str">
        <f t="shared" si="76"/>
        <v>61001005000</v>
      </c>
      <c r="J1258" s="7" t="str">
        <f t="shared" si="77"/>
        <v>Материал по ЕГРН</v>
      </c>
      <c r="K1258" s="7">
        <f>VLOOKUP(J1258,Лист2!A$2:B$4,2,FALSE)</f>
        <v>792</v>
      </c>
      <c r="L1258" s="7" t="str">
        <f t="shared" si="78"/>
        <v>ГОТОВ</v>
      </c>
      <c r="M1258" s="7" t="str">
        <f t="shared" si="79"/>
        <v>61001005000</v>
      </c>
    </row>
    <row r="1259" spans="1:13" x14ac:dyDescent="0.25">
      <c r="A1259" s="1">
        <v>453178</v>
      </c>
      <c r="B1259" s="6" t="s">
        <v>1367</v>
      </c>
      <c r="C1259" s="9" t="s">
        <v>42</v>
      </c>
      <c r="D1259" s="6" t="s">
        <v>20</v>
      </c>
      <c r="E1259" s="6" t="s">
        <v>37</v>
      </c>
      <c r="F1259" s="6" t="s">
        <v>9</v>
      </c>
      <c r="G1259" s="6" t="s">
        <v>43</v>
      </c>
      <c r="H1259" s="9" t="s">
        <v>42</v>
      </c>
      <c r="I1259" s="7" t="str">
        <f t="shared" si="76"/>
        <v>61001002001</v>
      </c>
      <c r="J1259" s="7" t="str">
        <f t="shared" si="77"/>
        <v>Материал по ЕГРН</v>
      </c>
      <c r="K1259" s="7">
        <f>VLOOKUP(J1259,Лист2!A$2:B$4,2,FALSE)</f>
        <v>792</v>
      </c>
      <c r="L1259" s="7" t="str">
        <f t="shared" si="78"/>
        <v>ГОТОВ</v>
      </c>
      <c r="M1259" s="7" t="str">
        <f t="shared" si="79"/>
        <v>61001002001</v>
      </c>
    </row>
    <row r="1260" spans="1:13" x14ac:dyDescent="0.25">
      <c r="A1260" s="1">
        <v>520902</v>
      </c>
      <c r="B1260" s="6" t="s">
        <v>1368</v>
      </c>
      <c r="C1260" s="9" t="s">
        <v>33</v>
      </c>
      <c r="D1260" s="6" t="s">
        <v>20</v>
      </c>
      <c r="E1260" s="6" t="s">
        <v>37</v>
      </c>
      <c r="F1260" s="6" t="s">
        <v>9</v>
      </c>
      <c r="G1260" s="6" t="s">
        <v>38</v>
      </c>
      <c r="H1260" s="9" t="s">
        <v>33</v>
      </c>
      <c r="I1260" s="7" t="str">
        <f t="shared" si="76"/>
        <v>61001005000</v>
      </c>
      <c r="J1260" s="7" t="str">
        <f t="shared" si="77"/>
        <v>Материал по ЕГРН</v>
      </c>
      <c r="K1260" s="7">
        <f>VLOOKUP(J1260,Лист2!A$2:B$4,2,FALSE)</f>
        <v>792</v>
      </c>
      <c r="L1260" s="7" t="str">
        <f t="shared" si="78"/>
        <v>ГОТОВ</v>
      </c>
      <c r="M1260" s="7" t="str">
        <f t="shared" si="79"/>
        <v>61001005000</v>
      </c>
    </row>
    <row r="1261" spans="1:13" x14ac:dyDescent="0.25">
      <c r="A1261" s="1">
        <v>527702</v>
      </c>
      <c r="B1261" s="6" t="s">
        <v>1369</v>
      </c>
      <c r="C1261" s="9" t="s">
        <v>42</v>
      </c>
      <c r="D1261" s="6" t="s">
        <v>20</v>
      </c>
      <c r="E1261" s="6" t="s">
        <v>37</v>
      </c>
      <c r="F1261" s="6" t="s">
        <v>9</v>
      </c>
      <c r="G1261" s="6" t="s">
        <v>43</v>
      </c>
      <c r="H1261" s="9" t="s">
        <v>42</v>
      </c>
      <c r="I1261" s="7" t="str">
        <f t="shared" si="76"/>
        <v>61001002001</v>
      </c>
      <c r="J1261" s="7" t="str">
        <f t="shared" si="77"/>
        <v>Материал по ЕГРН</v>
      </c>
      <c r="K1261" s="7">
        <f>VLOOKUP(J1261,Лист2!A$2:B$4,2,FALSE)</f>
        <v>792</v>
      </c>
      <c r="L1261" s="7" t="str">
        <f t="shared" si="78"/>
        <v>ГОТОВ</v>
      </c>
      <c r="M1261" s="7" t="str">
        <f t="shared" si="79"/>
        <v>61001002001</v>
      </c>
    </row>
    <row r="1262" spans="1:13" x14ac:dyDescent="0.25">
      <c r="A1262" s="1">
        <v>944638</v>
      </c>
      <c r="B1262" s="6" t="s">
        <v>1370</v>
      </c>
      <c r="F1262" s="6" t="s">
        <v>9</v>
      </c>
      <c r="G1262" s="6" t="s">
        <v>1371</v>
      </c>
      <c r="H1262" s="9" t="s">
        <v>1372</v>
      </c>
      <c r="I1262" s="7" t="str">
        <f t="shared" si="76"/>
        <v>61001007002</v>
      </c>
      <c r="J1262" s="7" t="str">
        <f t="shared" si="77"/>
        <v>Материал по ЕГРН</v>
      </c>
      <c r="K1262" s="7">
        <f>VLOOKUP(J1262,Лист2!A$2:B$4,2,FALSE)</f>
        <v>792</v>
      </c>
      <c r="L1262" s="7" t="str">
        <f t="shared" si="78"/>
        <v>ГОТОВ_ИЗМЕНЕН</v>
      </c>
      <c r="M1262" s="7">
        <f t="shared" si="79"/>
        <v>0</v>
      </c>
    </row>
    <row r="1263" spans="1:13" x14ac:dyDescent="0.25">
      <c r="A1263" s="1">
        <v>944650</v>
      </c>
      <c r="B1263" s="6" t="s">
        <v>1373</v>
      </c>
      <c r="F1263" s="6" t="s">
        <v>9</v>
      </c>
      <c r="G1263" s="6" t="s">
        <v>10</v>
      </c>
      <c r="H1263" s="9" t="s">
        <v>11</v>
      </c>
      <c r="I1263" s="7" t="str">
        <f t="shared" si="76"/>
        <v>61001003000</v>
      </c>
      <c r="J1263" s="7" t="str">
        <f t="shared" si="77"/>
        <v>Материал по ЕГРН</v>
      </c>
      <c r="K1263" s="7">
        <f>VLOOKUP(J1263,Лист2!A$2:B$4,2,FALSE)</f>
        <v>792</v>
      </c>
      <c r="L1263" s="7" t="str">
        <f t="shared" si="78"/>
        <v>ГОТОВ_ИЗМЕНЕН</v>
      </c>
      <c r="M1263" s="7">
        <f t="shared" si="79"/>
        <v>0</v>
      </c>
    </row>
    <row r="1264" spans="1:13" x14ac:dyDescent="0.25">
      <c r="A1264" s="1">
        <v>944662</v>
      </c>
      <c r="B1264" s="6" t="s">
        <v>1374</v>
      </c>
      <c r="F1264" s="6" t="s">
        <v>9</v>
      </c>
      <c r="G1264" s="6" t="s">
        <v>62</v>
      </c>
      <c r="H1264" s="9" t="s">
        <v>63</v>
      </c>
      <c r="I1264" s="7" t="str">
        <f t="shared" si="76"/>
        <v>61001006002</v>
      </c>
      <c r="J1264" s="7" t="str">
        <f t="shared" si="77"/>
        <v>Материал по ЕГРН</v>
      </c>
      <c r="K1264" s="7">
        <f>VLOOKUP(J1264,Лист2!A$2:B$4,2,FALSE)</f>
        <v>792</v>
      </c>
      <c r="L1264" s="7" t="str">
        <f t="shared" si="78"/>
        <v>ГОТОВ_ИЗМЕНЕН</v>
      </c>
      <c r="M1264" s="7">
        <f t="shared" si="79"/>
        <v>0</v>
      </c>
    </row>
    <row r="1265" spans="1:13" x14ac:dyDescent="0.25">
      <c r="A1265" s="1">
        <v>944674</v>
      </c>
      <c r="B1265" s="6" t="s">
        <v>1375</v>
      </c>
      <c r="F1265" s="6" t="s">
        <v>9</v>
      </c>
      <c r="G1265" s="6" t="s">
        <v>38</v>
      </c>
      <c r="H1265" s="9" t="s">
        <v>33</v>
      </c>
      <c r="I1265" s="7" t="str">
        <f t="shared" si="76"/>
        <v>61001005000</v>
      </c>
      <c r="J1265" s="7" t="str">
        <f t="shared" si="77"/>
        <v>Материал по ЕГРН</v>
      </c>
      <c r="K1265" s="7">
        <f>VLOOKUP(J1265,Лист2!A$2:B$4,2,FALSE)</f>
        <v>792</v>
      </c>
      <c r="L1265" s="7" t="str">
        <f t="shared" si="78"/>
        <v>ГОТОВ_ИЗМЕНЕН</v>
      </c>
      <c r="M1265" s="7">
        <f t="shared" si="79"/>
        <v>0</v>
      </c>
    </row>
    <row r="1266" spans="1:13" x14ac:dyDescent="0.25">
      <c r="A1266" s="1">
        <v>944686</v>
      </c>
      <c r="B1266" s="6" t="s">
        <v>1376</v>
      </c>
      <c r="F1266" s="6" t="s">
        <v>9</v>
      </c>
      <c r="G1266" s="6" t="s">
        <v>59</v>
      </c>
      <c r="H1266" s="9" t="s">
        <v>60</v>
      </c>
      <c r="I1266" s="7" t="str">
        <f t="shared" si="76"/>
        <v>61001001001</v>
      </c>
      <c r="J1266" s="7" t="str">
        <f t="shared" si="77"/>
        <v>Материал по ЕГРН</v>
      </c>
      <c r="K1266" s="7">
        <f>VLOOKUP(J1266,Лист2!A$2:B$4,2,FALSE)</f>
        <v>792</v>
      </c>
      <c r="L1266" s="7" t="str">
        <f t="shared" si="78"/>
        <v>ГОТОВ_ИЗМЕНЕН</v>
      </c>
      <c r="M1266" s="7">
        <f t="shared" si="79"/>
        <v>0</v>
      </c>
    </row>
    <row r="1267" spans="1:13" x14ac:dyDescent="0.25">
      <c r="A1267" s="1">
        <v>944698</v>
      </c>
      <c r="B1267" s="6" t="s">
        <v>1377</v>
      </c>
      <c r="F1267" s="6" t="s">
        <v>9</v>
      </c>
      <c r="G1267" s="6" t="s">
        <v>38</v>
      </c>
      <c r="H1267" s="9" t="s">
        <v>33</v>
      </c>
      <c r="I1267" s="7" t="str">
        <f t="shared" si="76"/>
        <v>61001005000</v>
      </c>
      <c r="J1267" s="7" t="str">
        <f t="shared" si="77"/>
        <v>Материал по ЕГРН</v>
      </c>
      <c r="K1267" s="7">
        <f>VLOOKUP(J1267,Лист2!A$2:B$4,2,FALSE)</f>
        <v>792</v>
      </c>
      <c r="L1267" s="7" t="str">
        <f t="shared" si="78"/>
        <v>ГОТОВ_ИЗМЕНЕН</v>
      </c>
      <c r="M1267" s="7">
        <f t="shared" si="79"/>
        <v>0</v>
      </c>
    </row>
    <row r="1268" spans="1:13" x14ac:dyDescent="0.25">
      <c r="A1268" s="1">
        <v>944710</v>
      </c>
      <c r="B1268" s="6" t="s">
        <v>1378</v>
      </c>
      <c r="F1268" s="6" t="s">
        <v>9</v>
      </c>
      <c r="G1268" s="6" t="s">
        <v>62</v>
      </c>
      <c r="H1268" s="9" t="s">
        <v>63</v>
      </c>
      <c r="I1268" s="7" t="str">
        <f t="shared" si="76"/>
        <v>61001006002</v>
      </c>
      <c r="J1268" s="7" t="str">
        <f t="shared" si="77"/>
        <v>Материал по ЕГРН</v>
      </c>
      <c r="K1268" s="7">
        <f>VLOOKUP(J1268,Лист2!A$2:B$4,2,FALSE)</f>
        <v>792</v>
      </c>
      <c r="L1268" s="7" t="str">
        <f t="shared" si="78"/>
        <v>ГОТОВ_ИЗМЕНЕН</v>
      </c>
      <c r="M1268" s="7">
        <f t="shared" si="79"/>
        <v>0</v>
      </c>
    </row>
    <row r="1269" spans="1:13" x14ac:dyDescent="0.25">
      <c r="A1269" s="1">
        <v>944722</v>
      </c>
      <c r="B1269" s="6" t="s">
        <v>1379</v>
      </c>
      <c r="F1269" s="6" t="s">
        <v>9</v>
      </c>
      <c r="G1269" s="6" t="s">
        <v>10</v>
      </c>
      <c r="H1269" s="9" t="s">
        <v>11</v>
      </c>
      <c r="I1269" s="7" t="str">
        <f t="shared" si="76"/>
        <v>61001003000</v>
      </c>
      <c r="J1269" s="7" t="str">
        <f t="shared" si="77"/>
        <v>Материал по ЕГРН</v>
      </c>
      <c r="K1269" s="7">
        <f>VLOOKUP(J1269,Лист2!A$2:B$4,2,FALSE)</f>
        <v>792</v>
      </c>
      <c r="L1269" s="7" t="str">
        <f t="shared" si="78"/>
        <v>ГОТОВ_ИЗМЕНЕН</v>
      </c>
      <c r="M1269" s="7">
        <f t="shared" si="79"/>
        <v>0</v>
      </c>
    </row>
    <row r="1270" spans="1:13" x14ac:dyDescent="0.25">
      <c r="A1270" s="1">
        <v>944734</v>
      </c>
      <c r="B1270" s="6" t="s">
        <v>1380</v>
      </c>
      <c r="F1270" s="6" t="s">
        <v>9</v>
      </c>
      <c r="G1270" s="6" t="s">
        <v>62</v>
      </c>
      <c r="H1270" s="9" t="s">
        <v>63</v>
      </c>
      <c r="I1270" s="7" t="str">
        <f t="shared" si="76"/>
        <v>61001006002</v>
      </c>
      <c r="J1270" s="7" t="str">
        <f t="shared" si="77"/>
        <v>Материал по ЕГРН</v>
      </c>
      <c r="K1270" s="7">
        <f>VLOOKUP(J1270,Лист2!A$2:B$4,2,FALSE)</f>
        <v>792</v>
      </c>
      <c r="L1270" s="7" t="str">
        <f t="shared" si="78"/>
        <v>ГОТОВ_ИЗМЕНЕН</v>
      </c>
      <c r="M1270" s="7">
        <f t="shared" si="79"/>
        <v>0</v>
      </c>
    </row>
    <row r="1271" spans="1:13" x14ac:dyDescent="0.25">
      <c r="A1271" s="1">
        <v>944746</v>
      </c>
      <c r="B1271" s="6" t="s">
        <v>1381</v>
      </c>
      <c r="F1271" s="6" t="s">
        <v>9</v>
      </c>
      <c r="G1271" s="6" t="s">
        <v>38</v>
      </c>
      <c r="H1271" s="9" t="s">
        <v>33</v>
      </c>
      <c r="I1271" s="7" t="str">
        <f t="shared" si="76"/>
        <v>61001005000</v>
      </c>
      <c r="J1271" s="7" t="str">
        <f t="shared" si="77"/>
        <v>Материал по ЕГРН</v>
      </c>
      <c r="K1271" s="7">
        <f>VLOOKUP(J1271,Лист2!A$2:B$4,2,FALSE)</f>
        <v>792</v>
      </c>
      <c r="L1271" s="7" t="str">
        <f t="shared" si="78"/>
        <v>ГОТОВ_ИЗМЕНЕН</v>
      </c>
      <c r="M1271" s="7">
        <f t="shared" si="79"/>
        <v>0</v>
      </c>
    </row>
    <row r="1272" spans="1:13" x14ac:dyDescent="0.25">
      <c r="A1272" s="1">
        <v>944758</v>
      </c>
      <c r="B1272" s="6" t="s">
        <v>1382</v>
      </c>
      <c r="F1272" s="6" t="s">
        <v>9</v>
      </c>
      <c r="G1272" s="6" t="s">
        <v>170</v>
      </c>
      <c r="H1272" s="9" t="s">
        <v>171</v>
      </c>
      <c r="I1272" s="7" t="str">
        <f t="shared" si="76"/>
        <v>61001001000</v>
      </c>
      <c r="J1272" s="7" t="str">
        <f t="shared" si="77"/>
        <v>Материал по ЕГРН</v>
      </c>
      <c r="K1272" s="7">
        <f>VLOOKUP(J1272,Лист2!A$2:B$4,2,FALSE)</f>
        <v>792</v>
      </c>
      <c r="L1272" s="7" t="str">
        <f t="shared" si="78"/>
        <v>ГОТОВ_ИЗМЕНЕН</v>
      </c>
      <c r="M1272" s="7">
        <f t="shared" si="79"/>
        <v>0</v>
      </c>
    </row>
    <row r="1273" spans="1:13" x14ac:dyDescent="0.25">
      <c r="A1273" s="1">
        <v>944770</v>
      </c>
      <c r="B1273" s="6" t="s">
        <v>1383</v>
      </c>
      <c r="F1273" s="6" t="s">
        <v>9</v>
      </c>
      <c r="G1273" s="6" t="s">
        <v>62</v>
      </c>
      <c r="H1273" s="9" t="s">
        <v>63</v>
      </c>
      <c r="I1273" s="7" t="str">
        <f t="shared" si="76"/>
        <v>61001006002</v>
      </c>
      <c r="J1273" s="7" t="str">
        <f t="shared" si="77"/>
        <v>Материал по ЕГРН</v>
      </c>
      <c r="K1273" s="7">
        <f>VLOOKUP(J1273,Лист2!A$2:B$4,2,FALSE)</f>
        <v>792</v>
      </c>
      <c r="L1273" s="7" t="str">
        <f t="shared" si="78"/>
        <v>ГОТОВ_ИЗМЕНЕН</v>
      </c>
      <c r="M1273" s="7">
        <f t="shared" si="79"/>
        <v>0</v>
      </c>
    </row>
    <row r="1274" spans="1:13" x14ac:dyDescent="0.25">
      <c r="A1274" s="1">
        <v>944782</v>
      </c>
      <c r="B1274" s="6" t="s">
        <v>1384</v>
      </c>
      <c r="F1274" s="6" t="s">
        <v>9</v>
      </c>
      <c r="G1274" s="6" t="s">
        <v>59</v>
      </c>
      <c r="H1274" s="9" t="s">
        <v>60</v>
      </c>
      <c r="I1274" s="7" t="str">
        <f t="shared" si="76"/>
        <v>61001001001</v>
      </c>
      <c r="J1274" s="7" t="str">
        <f t="shared" si="77"/>
        <v>Материал по ЕГРН</v>
      </c>
      <c r="K1274" s="7">
        <f>VLOOKUP(J1274,Лист2!A$2:B$4,2,FALSE)</f>
        <v>792</v>
      </c>
      <c r="L1274" s="7" t="str">
        <f t="shared" si="78"/>
        <v>ГОТОВ_ИЗМЕНЕН</v>
      </c>
      <c r="M1274" s="7">
        <f t="shared" si="79"/>
        <v>0</v>
      </c>
    </row>
    <row r="1275" spans="1:13" x14ac:dyDescent="0.25">
      <c r="A1275" s="1">
        <v>944794</v>
      </c>
      <c r="B1275" s="6" t="s">
        <v>1385</v>
      </c>
      <c r="F1275" s="6" t="s">
        <v>9</v>
      </c>
      <c r="G1275" s="6" t="s">
        <v>38</v>
      </c>
      <c r="H1275" s="9" t="s">
        <v>33</v>
      </c>
      <c r="I1275" s="7" t="str">
        <f t="shared" si="76"/>
        <v>61001005000</v>
      </c>
      <c r="J1275" s="7" t="str">
        <f t="shared" si="77"/>
        <v>Материал по ЕГРН</v>
      </c>
      <c r="K1275" s="7">
        <f>VLOOKUP(J1275,Лист2!A$2:B$4,2,FALSE)</f>
        <v>792</v>
      </c>
      <c r="L1275" s="7" t="str">
        <f t="shared" si="78"/>
        <v>ГОТОВ_ИЗМЕНЕН</v>
      </c>
      <c r="M1275" s="7">
        <f t="shared" si="79"/>
        <v>0</v>
      </c>
    </row>
    <row r="1276" spans="1:13" x14ac:dyDescent="0.25">
      <c r="A1276" s="1">
        <v>944806</v>
      </c>
      <c r="B1276" s="6" t="s">
        <v>1386</v>
      </c>
      <c r="F1276" s="6" t="s">
        <v>9</v>
      </c>
      <c r="G1276" s="6" t="s">
        <v>10</v>
      </c>
      <c r="H1276" s="9" t="s">
        <v>11</v>
      </c>
      <c r="I1276" s="7" t="str">
        <f t="shared" si="76"/>
        <v>61001003000</v>
      </c>
      <c r="J1276" s="7" t="str">
        <f t="shared" si="77"/>
        <v>Материал по ЕГРН</v>
      </c>
      <c r="K1276" s="7">
        <f>VLOOKUP(J1276,Лист2!A$2:B$4,2,FALSE)</f>
        <v>792</v>
      </c>
      <c r="L1276" s="7" t="str">
        <f t="shared" si="78"/>
        <v>ГОТОВ_ИЗМЕНЕН</v>
      </c>
      <c r="M1276" s="7">
        <f t="shared" si="79"/>
        <v>0</v>
      </c>
    </row>
    <row r="1277" spans="1:13" x14ac:dyDescent="0.25">
      <c r="A1277" s="1">
        <v>944818</v>
      </c>
      <c r="B1277" s="6" t="s">
        <v>1387</v>
      </c>
      <c r="F1277" s="6" t="s">
        <v>9</v>
      </c>
      <c r="G1277" s="6" t="s">
        <v>59</v>
      </c>
      <c r="H1277" s="9" t="s">
        <v>60</v>
      </c>
      <c r="I1277" s="7" t="str">
        <f t="shared" si="76"/>
        <v>61001001001</v>
      </c>
      <c r="J1277" s="7" t="str">
        <f t="shared" si="77"/>
        <v>Материал по ЕГРН</v>
      </c>
      <c r="K1277" s="7">
        <f>VLOOKUP(J1277,Лист2!A$2:B$4,2,FALSE)</f>
        <v>792</v>
      </c>
      <c r="L1277" s="7" t="str">
        <f t="shared" si="78"/>
        <v>ГОТОВ_ИЗМЕНЕН</v>
      </c>
      <c r="M1277" s="7">
        <f t="shared" si="79"/>
        <v>0</v>
      </c>
    </row>
    <row r="1278" spans="1:13" x14ac:dyDescent="0.25">
      <c r="A1278" s="1">
        <v>944830</v>
      </c>
      <c r="B1278" s="6" t="s">
        <v>1388</v>
      </c>
      <c r="F1278" s="6" t="s">
        <v>9</v>
      </c>
      <c r="G1278" s="6" t="s">
        <v>38</v>
      </c>
      <c r="H1278" s="9" t="s">
        <v>33</v>
      </c>
      <c r="I1278" s="7" t="str">
        <f t="shared" si="76"/>
        <v>61001005000</v>
      </c>
      <c r="J1278" s="7" t="str">
        <f t="shared" si="77"/>
        <v>Материал по ЕГРН</v>
      </c>
      <c r="K1278" s="7">
        <f>VLOOKUP(J1278,Лист2!A$2:B$4,2,FALSE)</f>
        <v>792</v>
      </c>
      <c r="L1278" s="7" t="str">
        <f t="shared" si="78"/>
        <v>ГОТОВ_ИЗМЕНЕН</v>
      </c>
      <c r="M1278" s="7">
        <f t="shared" si="79"/>
        <v>0</v>
      </c>
    </row>
    <row r="1279" spans="1:13" x14ac:dyDescent="0.25">
      <c r="A1279" s="1">
        <v>944842</v>
      </c>
      <c r="B1279" s="6" t="s">
        <v>1389</v>
      </c>
      <c r="F1279" s="6" t="s">
        <v>9</v>
      </c>
      <c r="G1279" s="6" t="s">
        <v>10</v>
      </c>
      <c r="H1279" s="9" t="s">
        <v>11</v>
      </c>
      <c r="I1279" s="7" t="str">
        <f t="shared" si="76"/>
        <v>61001003000</v>
      </c>
      <c r="J1279" s="7" t="str">
        <f t="shared" si="77"/>
        <v>Материал по ЕГРН</v>
      </c>
      <c r="K1279" s="7">
        <f>VLOOKUP(J1279,Лист2!A$2:B$4,2,FALSE)</f>
        <v>792</v>
      </c>
      <c r="L1279" s="7" t="str">
        <f t="shared" si="78"/>
        <v>ГОТОВ_ИЗМЕНЕН</v>
      </c>
      <c r="M1279" s="7">
        <f t="shared" si="79"/>
        <v>0</v>
      </c>
    </row>
    <row r="1280" spans="1:13" x14ac:dyDescent="0.25">
      <c r="A1280" s="1">
        <v>944854</v>
      </c>
      <c r="B1280" s="6" t="s">
        <v>1390</v>
      </c>
      <c r="F1280" s="6" t="s">
        <v>9</v>
      </c>
      <c r="G1280" s="6" t="s">
        <v>38</v>
      </c>
      <c r="H1280" s="9" t="s">
        <v>33</v>
      </c>
      <c r="I1280" s="7" t="str">
        <f t="shared" si="76"/>
        <v>61001005000</v>
      </c>
      <c r="J1280" s="7" t="str">
        <f t="shared" si="77"/>
        <v>Материал по ЕГРН</v>
      </c>
      <c r="K1280" s="7">
        <f>VLOOKUP(J1280,Лист2!A$2:B$4,2,FALSE)</f>
        <v>792</v>
      </c>
      <c r="L1280" s="7" t="str">
        <f t="shared" si="78"/>
        <v>ГОТОВ_ИЗМЕНЕН</v>
      </c>
      <c r="M1280" s="7">
        <f t="shared" si="79"/>
        <v>0</v>
      </c>
    </row>
    <row r="1281" spans="1:13" x14ac:dyDescent="0.25">
      <c r="A1281" s="1">
        <v>944866</v>
      </c>
      <c r="B1281" s="6" t="s">
        <v>1391</v>
      </c>
      <c r="F1281" s="6" t="s">
        <v>9</v>
      </c>
      <c r="G1281" s="6" t="s">
        <v>34</v>
      </c>
      <c r="H1281" s="9" t="s">
        <v>35</v>
      </c>
      <c r="I1281" s="7" t="str">
        <f t="shared" si="76"/>
        <v>61001002000</v>
      </c>
      <c r="J1281" s="7" t="str">
        <f t="shared" si="77"/>
        <v>Материал по ЕГРН</v>
      </c>
      <c r="K1281" s="7">
        <f>VLOOKUP(J1281,Лист2!A$2:B$4,2,FALSE)</f>
        <v>792</v>
      </c>
      <c r="L1281" s="7" t="str">
        <f t="shared" si="78"/>
        <v>ГОТОВ_ИЗМЕНЕН</v>
      </c>
      <c r="M1281" s="7">
        <f t="shared" si="79"/>
        <v>0</v>
      </c>
    </row>
    <row r="1282" spans="1:13" x14ac:dyDescent="0.25">
      <c r="A1282" s="1">
        <v>944878</v>
      </c>
      <c r="B1282" s="6" t="s">
        <v>1392</v>
      </c>
      <c r="F1282" s="6" t="s">
        <v>9</v>
      </c>
      <c r="G1282" s="6" t="s">
        <v>38</v>
      </c>
      <c r="H1282" s="9" t="s">
        <v>33</v>
      </c>
      <c r="I1282" s="7" t="str">
        <f t="shared" si="76"/>
        <v>61001005000</v>
      </c>
      <c r="J1282" s="7" t="str">
        <f t="shared" si="77"/>
        <v>Материал по ЕГРН</v>
      </c>
      <c r="K1282" s="7">
        <f>VLOOKUP(J1282,Лист2!A$2:B$4,2,FALSE)</f>
        <v>792</v>
      </c>
      <c r="L1282" s="7" t="str">
        <f t="shared" si="78"/>
        <v>ГОТОВ_ИЗМЕНЕН</v>
      </c>
      <c r="M1282" s="7">
        <f t="shared" si="79"/>
        <v>0</v>
      </c>
    </row>
    <row r="1283" spans="1:13" x14ac:dyDescent="0.25">
      <c r="A1283" s="1">
        <v>944890</v>
      </c>
      <c r="B1283" s="6" t="s">
        <v>1393</v>
      </c>
      <c r="F1283" s="6" t="s">
        <v>9</v>
      </c>
      <c r="G1283" s="6" t="s">
        <v>10</v>
      </c>
      <c r="H1283" s="9" t="s">
        <v>11</v>
      </c>
      <c r="I1283" s="7" t="str">
        <f t="shared" si="76"/>
        <v>61001003000</v>
      </c>
      <c r="J1283" s="7" t="str">
        <f t="shared" si="77"/>
        <v>Материал по ЕГРН</v>
      </c>
      <c r="K1283" s="7">
        <f>VLOOKUP(J1283,Лист2!A$2:B$4,2,FALSE)</f>
        <v>792</v>
      </c>
      <c r="L1283" s="7" t="str">
        <f t="shared" si="78"/>
        <v>ГОТОВ_ИЗМЕНЕН</v>
      </c>
      <c r="M1283" s="7">
        <f t="shared" si="79"/>
        <v>0</v>
      </c>
    </row>
    <row r="1284" spans="1:13" x14ac:dyDescent="0.25">
      <c r="A1284" s="1">
        <v>944902</v>
      </c>
      <c r="B1284" s="6" t="s">
        <v>1394</v>
      </c>
      <c r="F1284" s="6" t="s">
        <v>9</v>
      </c>
      <c r="G1284" s="6" t="s">
        <v>10</v>
      </c>
      <c r="H1284" s="9" t="s">
        <v>11</v>
      </c>
      <c r="I1284" s="7" t="str">
        <f t="shared" si="76"/>
        <v>61001003000</v>
      </c>
      <c r="J1284" s="7" t="str">
        <f t="shared" si="77"/>
        <v>Материал по ЕГРН</v>
      </c>
      <c r="K1284" s="7">
        <f>VLOOKUP(J1284,Лист2!A$2:B$4,2,FALSE)</f>
        <v>792</v>
      </c>
      <c r="L1284" s="7" t="str">
        <f t="shared" si="78"/>
        <v>ГОТОВ_ИЗМЕНЕН</v>
      </c>
      <c r="M1284" s="7">
        <f t="shared" si="79"/>
        <v>0</v>
      </c>
    </row>
    <row r="1285" spans="1:13" x14ac:dyDescent="0.25">
      <c r="A1285" s="1">
        <v>146789</v>
      </c>
      <c r="B1285" s="6" t="s">
        <v>1395</v>
      </c>
      <c r="C1285" s="9" t="s">
        <v>60</v>
      </c>
      <c r="D1285" s="6" t="s">
        <v>20</v>
      </c>
      <c r="E1285" s="6" t="s">
        <v>8</v>
      </c>
      <c r="F1285" s="6" t="s">
        <v>9</v>
      </c>
      <c r="G1285" s="6" t="s">
        <v>1396</v>
      </c>
      <c r="H1285" s="9" t="s">
        <v>1397</v>
      </c>
      <c r="I1285" s="7" t="str">
        <f t="shared" ref="I1285:I1348" si="80">IF(LEN(H1285)=11,H1285,IF(LEN(H1285)=0,"61001005000","61001003000"))</f>
        <v>61001007003</v>
      </c>
      <c r="J1285" s="7" t="str">
        <f t="shared" ref="J1285:J1348" si="81">IF(LEN(H1285)=11,"Материал по ЕГРН",IF(LEN(H1285)=0,"Прочие по допущению","Смешанные по допущению"))</f>
        <v>Материал по ЕГРН</v>
      </c>
      <c r="K1285" s="7">
        <f>VLOOKUP(J1285,Лист2!A$2:B$4,2,FALSE)</f>
        <v>792</v>
      </c>
      <c r="L1285" s="7" t="str">
        <f t="shared" ref="L1285:L1348" si="82">IF(I1285=C1285,"ГОТОВ","ГОТОВ_ИЗМЕНЕН")</f>
        <v>ГОТОВ_ИЗМЕНЕН</v>
      </c>
      <c r="M1285" s="7" t="str">
        <f t="shared" ref="M1285:M1348" si="83">C1285</f>
        <v>61001001001</v>
      </c>
    </row>
    <row r="1286" spans="1:13" x14ac:dyDescent="0.25">
      <c r="A1286" s="1">
        <v>362062</v>
      </c>
      <c r="B1286" s="6" t="s">
        <v>1398</v>
      </c>
      <c r="C1286" s="9" t="s">
        <v>35</v>
      </c>
      <c r="D1286" s="6" t="s">
        <v>20</v>
      </c>
      <c r="E1286" s="6" t="s">
        <v>37</v>
      </c>
      <c r="F1286" s="6" t="s">
        <v>9</v>
      </c>
      <c r="G1286" s="6" t="s">
        <v>34</v>
      </c>
      <c r="H1286" s="9" t="s">
        <v>35</v>
      </c>
      <c r="I1286" s="7" t="str">
        <f t="shared" si="80"/>
        <v>61001002000</v>
      </c>
      <c r="J1286" s="7" t="str">
        <f t="shared" si="81"/>
        <v>Материал по ЕГРН</v>
      </c>
      <c r="K1286" s="7">
        <f>VLOOKUP(J1286,Лист2!A$2:B$4,2,FALSE)</f>
        <v>792</v>
      </c>
      <c r="L1286" s="7" t="str">
        <f t="shared" si="82"/>
        <v>ГОТОВ</v>
      </c>
      <c r="M1286" s="7" t="str">
        <f t="shared" si="83"/>
        <v>61001002000</v>
      </c>
    </row>
    <row r="1287" spans="1:13" x14ac:dyDescent="0.25">
      <c r="A1287" s="1">
        <v>454476</v>
      </c>
      <c r="B1287" s="6" t="s">
        <v>1399</v>
      </c>
      <c r="C1287" s="9" t="s">
        <v>33</v>
      </c>
      <c r="D1287" s="6" t="s">
        <v>20</v>
      </c>
      <c r="E1287" s="6" t="s">
        <v>37</v>
      </c>
      <c r="F1287" s="6" t="s">
        <v>9</v>
      </c>
      <c r="G1287" s="6" t="s">
        <v>38</v>
      </c>
      <c r="H1287" s="9" t="s">
        <v>33</v>
      </c>
      <c r="I1287" s="7" t="str">
        <f t="shared" si="80"/>
        <v>61001005000</v>
      </c>
      <c r="J1287" s="7" t="str">
        <f t="shared" si="81"/>
        <v>Материал по ЕГРН</v>
      </c>
      <c r="K1287" s="7">
        <f>VLOOKUP(J1287,Лист2!A$2:B$4,2,FALSE)</f>
        <v>792</v>
      </c>
      <c r="L1287" s="7" t="str">
        <f t="shared" si="82"/>
        <v>ГОТОВ</v>
      </c>
      <c r="M1287" s="7" t="str">
        <f t="shared" si="83"/>
        <v>61001005000</v>
      </c>
    </row>
    <row r="1288" spans="1:13" x14ac:dyDescent="0.25">
      <c r="A1288" s="1">
        <v>792573</v>
      </c>
      <c r="B1288" s="6" t="s">
        <v>1400</v>
      </c>
      <c r="C1288" s="9" t="s">
        <v>33</v>
      </c>
      <c r="D1288" s="6" t="s">
        <v>20</v>
      </c>
      <c r="E1288" s="6" t="s">
        <v>37</v>
      </c>
      <c r="F1288" s="6" t="s">
        <v>9</v>
      </c>
      <c r="G1288" s="6" t="s">
        <v>38</v>
      </c>
      <c r="H1288" s="9" t="s">
        <v>33</v>
      </c>
      <c r="I1288" s="7" t="str">
        <f t="shared" si="80"/>
        <v>61001005000</v>
      </c>
      <c r="J1288" s="7" t="str">
        <f t="shared" si="81"/>
        <v>Материал по ЕГРН</v>
      </c>
      <c r="K1288" s="7">
        <f>VLOOKUP(J1288,Лист2!A$2:B$4,2,FALSE)</f>
        <v>792</v>
      </c>
      <c r="L1288" s="7" t="str">
        <f t="shared" si="82"/>
        <v>ГОТОВ</v>
      </c>
      <c r="M1288" s="7" t="str">
        <f t="shared" si="83"/>
        <v>61001005000</v>
      </c>
    </row>
    <row r="1289" spans="1:13" x14ac:dyDescent="0.25">
      <c r="A1289" s="1">
        <v>946166</v>
      </c>
      <c r="B1289" s="6" t="s">
        <v>1401</v>
      </c>
      <c r="F1289" s="6" t="s">
        <v>9</v>
      </c>
      <c r="G1289" s="6" t="s">
        <v>38</v>
      </c>
      <c r="H1289" s="9" t="s">
        <v>33</v>
      </c>
      <c r="I1289" s="7" t="str">
        <f t="shared" si="80"/>
        <v>61001005000</v>
      </c>
      <c r="J1289" s="7" t="str">
        <f t="shared" si="81"/>
        <v>Материал по ЕГРН</v>
      </c>
      <c r="K1289" s="7">
        <f>VLOOKUP(J1289,Лист2!A$2:B$4,2,FALSE)</f>
        <v>792</v>
      </c>
      <c r="L1289" s="7" t="str">
        <f t="shared" si="82"/>
        <v>ГОТОВ_ИЗМЕНЕН</v>
      </c>
      <c r="M1289" s="7">
        <f t="shared" si="83"/>
        <v>0</v>
      </c>
    </row>
    <row r="1290" spans="1:13" x14ac:dyDescent="0.25">
      <c r="A1290" s="1">
        <v>946178</v>
      </c>
      <c r="B1290" s="6" t="s">
        <v>1402</v>
      </c>
      <c r="F1290" s="6" t="s">
        <v>9</v>
      </c>
      <c r="G1290" s="6" t="s">
        <v>38</v>
      </c>
      <c r="H1290" s="9" t="s">
        <v>33</v>
      </c>
      <c r="I1290" s="7" t="str">
        <f t="shared" si="80"/>
        <v>61001005000</v>
      </c>
      <c r="J1290" s="7" t="str">
        <f t="shared" si="81"/>
        <v>Материал по ЕГРН</v>
      </c>
      <c r="K1290" s="7">
        <f>VLOOKUP(J1290,Лист2!A$2:B$4,2,FALSE)</f>
        <v>792</v>
      </c>
      <c r="L1290" s="7" t="str">
        <f t="shared" si="82"/>
        <v>ГОТОВ_ИЗМЕНЕН</v>
      </c>
      <c r="M1290" s="7">
        <f t="shared" si="83"/>
        <v>0</v>
      </c>
    </row>
    <row r="1291" spans="1:13" x14ac:dyDescent="0.25">
      <c r="A1291" s="1">
        <v>946190</v>
      </c>
      <c r="B1291" s="6" t="s">
        <v>1403</v>
      </c>
      <c r="F1291" s="6" t="s">
        <v>9</v>
      </c>
      <c r="G1291" s="6" t="s">
        <v>38</v>
      </c>
      <c r="H1291" s="9" t="s">
        <v>33</v>
      </c>
      <c r="I1291" s="7" t="str">
        <f t="shared" si="80"/>
        <v>61001005000</v>
      </c>
      <c r="J1291" s="7" t="str">
        <f t="shared" si="81"/>
        <v>Материал по ЕГРН</v>
      </c>
      <c r="K1291" s="7">
        <f>VLOOKUP(J1291,Лист2!A$2:B$4,2,FALSE)</f>
        <v>792</v>
      </c>
      <c r="L1291" s="7" t="str">
        <f t="shared" si="82"/>
        <v>ГОТОВ_ИЗМЕНЕН</v>
      </c>
      <c r="M1291" s="7">
        <f t="shared" si="83"/>
        <v>0</v>
      </c>
    </row>
    <row r="1292" spans="1:13" x14ac:dyDescent="0.25">
      <c r="A1292" s="1">
        <v>946202</v>
      </c>
      <c r="B1292" s="6" t="s">
        <v>1404</v>
      </c>
      <c r="F1292" s="6" t="s">
        <v>9</v>
      </c>
      <c r="G1292" s="6" t="s">
        <v>38</v>
      </c>
      <c r="H1292" s="9" t="s">
        <v>33</v>
      </c>
      <c r="I1292" s="7" t="str">
        <f t="shared" si="80"/>
        <v>61001005000</v>
      </c>
      <c r="J1292" s="7" t="str">
        <f t="shared" si="81"/>
        <v>Материал по ЕГРН</v>
      </c>
      <c r="K1292" s="7">
        <f>VLOOKUP(J1292,Лист2!A$2:B$4,2,FALSE)</f>
        <v>792</v>
      </c>
      <c r="L1292" s="7" t="str">
        <f t="shared" si="82"/>
        <v>ГОТОВ_ИЗМЕНЕН</v>
      </c>
      <c r="M1292" s="7">
        <f t="shared" si="83"/>
        <v>0</v>
      </c>
    </row>
    <row r="1293" spans="1:13" x14ac:dyDescent="0.25">
      <c r="A1293" s="1">
        <v>946214</v>
      </c>
      <c r="B1293" s="6" t="s">
        <v>1405</v>
      </c>
      <c r="F1293" s="6" t="s">
        <v>9</v>
      </c>
      <c r="G1293" s="6" t="s">
        <v>59</v>
      </c>
      <c r="H1293" s="9" t="s">
        <v>60</v>
      </c>
      <c r="I1293" s="7" t="str">
        <f t="shared" si="80"/>
        <v>61001001001</v>
      </c>
      <c r="J1293" s="7" t="str">
        <f t="shared" si="81"/>
        <v>Материал по ЕГРН</v>
      </c>
      <c r="K1293" s="7">
        <f>VLOOKUP(J1293,Лист2!A$2:B$4,2,FALSE)</f>
        <v>792</v>
      </c>
      <c r="L1293" s="7" t="str">
        <f t="shared" si="82"/>
        <v>ГОТОВ_ИЗМЕНЕН</v>
      </c>
      <c r="M1293" s="7">
        <f t="shared" si="83"/>
        <v>0</v>
      </c>
    </row>
    <row r="1294" spans="1:13" x14ac:dyDescent="0.25">
      <c r="A1294" s="1">
        <v>946226</v>
      </c>
      <c r="B1294" s="6" t="s">
        <v>1406</v>
      </c>
      <c r="F1294" s="6" t="s">
        <v>9</v>
      </c>
      <c r="G1294" s="6" t="s">
        <v>38</v>
      </c>
      <c r="H1294" s="9" t="s">
        <v>33</v>
      </c>
      <c r="I1294" s="7" t="str">
        <f t="shared" si="80"/>
        <v>61001005000</v>
      </c>
      <c r="J1294" s="7" t="str">
        <f t="shared" si="81"/>
        <v>Материал по ЕГРН</v>
      </c>
      <c r="K1294" s="7">
        <f>VLOOKUP(J1294,Лист2!A$2:B$4,2,FALSE)</f>
        <v>792</v>
      </c>
      <c r="L1294" s="7" t="str">
        <f t="shared" si="82"/>
        <v>ГОТОВ_ИЗМЕНЕН</v>
      </c>
      <c r="M1294" s="7">
        <f t="shared" si="83"/>
        <v>0</v>
      </c>
    </row>
    <row r="1295" spans="1:13" x14ac:dyDescent="0.25">
      <c r="A1295" s="1">
        <v>946238</v>
      </c>
      <c r="B1295" s="6" t="s">
        <v>1407</v>
      </c>
      <c r="F1295" s="6" t="s">
        <v>9</v>
      </c>
      <c r="G1295" s="6" t="s">
        <v>34</v>
      </c>
      <c r="H1295" s="9" t="s">
        <v>35</v>
      </c>
      <c r="I1295" s="7" t="str">
        <f t="shared" si="80"/>
        <v>61001002000</v>
      </c>
      <c r="J1295" s="7" t="str">
        <f t="shared" si="81"/>
        <v>Материал по ЕГРН</v>
      </c>
      <c r="K1295" s="7">
        <f>VLOOKUP(J1295,Лист2!A$2:B$4,2,FALSE)</f>
        <v>792</v>
      </c>
      <c r="L1295" s="7" t="str">
        <f t="shared" si="82"/>
        <v>ГОТОВ_ИЗМЕНЕН</v>
      </c>
      <c r="M1295" s="7">
        <f t="shared" si="83"/>
        <v>0</v>
      </c>
    </row>
    <row r="1296" spans="1:13" x14ac:dyDescent="0.25">
      <c r="A1296" s="1">
        <v>946250</v>
      </c>
      <c r="B1296" s="6" t="s">
        <v>1408</v>
      </c>
      <c r="F1296" s="6" t="s">
        <v>9</v>
      </c>
      <c r="G1296" s="6" t="s">
        <v>629</v>
      </c>
      <c r="H1296" s="9" t="s">
        <v>630</v>
      </c>
      <c r="I1296" s="7" t="str">
        <f t="shared" si="80"/>
        <v>61001003000</v>
      </c>
      <c r="J1296" s="7" t="str">
        <f t="shared" si="81"/>
        <v>Смешанные по допущению</v>
      </c>
      <c r="K1296" s="7">
        <f>VLOOKUP(J1296,Лист2!A$2:B$4,2,FALSE)</f>
        <v>793</v>
      </c>
      <c r="L1296" s="7" t="str">
        <f t="shared" si="82"/>
        <v>ГОТОВ_ИЗМЕНЕН</v>
      </c>
      <c r="M1296" s="7">
        <f t="shared" si="83"/>
        <v>0</v>
      </c>
    </row>
    <row r="1297" spans="1:13" x14ac:dyDescent="0.25">
      <c r="A1297" s="1">
        <v>946262</v>
      </c>
      <c r="B1297" s="6" t="s">
        <v>1409</v>
      </c>
      <c r="F1297" s="6" t="s">
        <v>9</v>
      </c>
      <c r="G1297" s="6" t="s">
        <v>34</v>
      </c>
      <c r="H1297" s="9" t="s">
        <v>35</v>
      </c>
      <c r="I1297" s="7" t="str">
        <f t="shared" si="80"/>
        <v>61001002000</v>
      </c>
      <c r="J1297" s="7" t="str">
        <f t="shared" si="81"/>
        <v>Материал по ЕГРН</v>
      </c>
      <c r="K1297" s="7">
        <f>VLOOKUP(J1297,Лист2!A$2:B$4,2,FALSE)</f>
        <v>792</v>
      </c>
      <c r="L1297" s="7" t="str">
        <f t="shared" si="82"/>
        <v>ГОТОВ_ИЗМЕНЕН</v>
      </c>
      <c r="M1297" s="7">
        <f t="shared" si="83"/>
        <v>0</v>
      </c>
    </row>
    <row r="1298" spans="1:13" x14ac:dyDescent="0.25">
      <c r="A1298" s="1">
        <v>946274</v>
      </c>
      <c r="B1298" s="6" t="s">
        <v>1410</v>
      </c>
      <c r="F1298" s="6" t="s">
        <v>9</v>
      </c>
      <c r="G1298" s="6" t="s">
        <v>34</v>
      </c>
      <c r="H1298" s="9" t="s">
        <v>35</v>
      </c>
      <c r="I1298" s="7" t="str">
        <f t="shared" si="80"/>
        <v>61001002000</v>
      </c>
      <c r="J1298" s="7" t="str">
        <f t="shared" si="81"/>
        <v>Материал по ЕГРН</v>
      </c>
      <c r="K1298" s="7">
        <f>VLOOKUP(J1298,Лист2!A$2:B$4,2,FALSE)</f>
        <v>792</v>
      </c>
      <c r="L1298" s="7" t="str">
        <f t="shared" si="82"/>
        <v>ГОТОВ_ИЗМЕНЕН</v>
      </c>
      <c r="M1298" s="7">
        <f t="shared" si="83"/>
        <v>0</v>
      </c>
    </row>
    <row r="1299" spans="1:13" x14ac:dyDescent="0.25">
      <c r="A1299" s="1">
        <v>946286</v>
      </c>
      <c r="B1299" s="6" t="s">
        <v>1411</v>
      </c>
      <c r="F1299" s="6" t="s">
        <v>9</v>
      </c>
      <c r="G1299" s="6" t="s">
        <v>149</v>
      </c>
      <c r="H1299" s="9" t="s">
        <v>150</v>
      </c>
      <c r="I1299" s="7" t="str">
        <f t="shared" si="80"/>
        <v>61001007000</v>
      </c>
      <c r="J1299" s="7" t="str">
        <f t="shared" si="81"/>
        <v>Материал по ЕГРН</v>
      </c>
      <c r="K1299" s="7">
        <f>VLOOKUP(J1299,Лист2!A$2:B$4,2,FALSE)</f>
        <v>792</v>
      </c>
      <c r="L1299" s="7" t="str">
        <f t="shared" si="82"/>
        <v>ГОТОВ_ИЗМЕНЕН</v>
      </c>
      <c r="M1299" s="7">
        <f t="shared" si="83"/>
        <v>0</v>
      </c>
    </row>
    <row r="1300" spans="1:13" x14ac:dyDescent="0.25">
      <c r="A1300" s="1">
        <v>946298</v>
      </c>
      <c r="B1300" s="6" t="s">
        <v>1412</v>
      </c>
      <c r="F1300" s="6" t="s">
        <v>9</v>
      </c>
      <c r="G1300" s="6" t="s">
        <v>90</v>
      </c>
      <c r="H1300" s="9" t="s">
        <v>12</v>
      </c>
      <c r="I1300" s="7" t="str">
        <f t="shared" si="80"/>
        <v>61001008000</v>
      </c>
      <c r="J1300" s="7" t="str">
        <f t="shared" si="81"/>
        <v>Материал по ЕГРН</v>
      </c>
      <c r="K1300" s="7">
        <f>VLOOKUP(J1300,Лист2!A$2:B$4,2,FALSE)</f>
        <v>792</v>
      </c>
      <c r="L1300" s="7" t="str">
        <f t="shared" si="82"/>
        <v>ГОТОВ_ИЗМЕНЕН</v>
      </c>
      <c r="M1300" s="7">
        <f t="shared" si="83"/>
        <v>0</v>
      </c>
    </row>
    <row r="1301" spans="1:13" x14ac:dyDescent="0.25">
      <c r="A1301" s="1">
        <v>946310</v>
      </c>
      <c r="B1301" s="6" t="s">
        <v>1413</v>
      </c>
      <c r="F1301" s="6" t="s">
        <v>9</v>
      </c>
      <c r="G1301" s="6" t="s">
        <v>10</v>
      </c>
      <c r="H1301" s="9" t="s">
        <v>11</v>
      </c>
      <c r="I1301" s="7" t="str">
        <f t="shared" si="80"/>
        <v>61001003000</v>
      </c>
      <c r="J1301" s="7" t="str">
        <f t="shared" si="81"/>
        <v>Материал по ЕГРН</v>
      </c>
      <c r="K1301" s="7">
        <f>VLOOKUP(J1301,Лист2!A$2:B$4,2,FALSE)</f>
        <v>792</v>
      </c>
      <c r="L1301" s="7" t="str">
        <f t="shared" si="82"/>
        <v>ГОТОВ_ИЗМЕНЕН</v>
      </c>
      <c r="M1301" s="7">
        <f t="shared" si="83"/>
        <v>0</v>
      </c>
    </row>
    <row r="1302" spans="1:13" x14ac:dyDescent="0.25">
      <c r="A1302" s="1">
        <v>946322</v>
      </c>
      <c r="B1302" s="6" t="s">
        <v>1414</v>
      </c>
      <c r="F1302" s="6" t="s">
        <v>9</v>
      </c>
      <c r="G1302" s="6" t="s">
        <v>180</v>
      </c>
      <c r="H1302" s="9" t="s">
        <v>181</v>
      </c>
      <c r="I1302" s="7" t="str">
        <f t="shared" si="80"/>
        <v>61001009000</v>
      </c>
      <c r="J1302" s="7" t="str">
        <f t="shared" si="81"/>
        <v>Материал по ЕГРН</v>
      </c>
      <c r="K1302" s="7">
        <f>VLOOKUP(J1302,Лист2!A$2:B$4,2,FALSE)</f>
        <v>792</v>
      </c>
      <c r="L1302" s="7" t="str">
        <f t="shared" si="82"/>
        <v>ГОТОВ_ИЗМЕНЕН</v>
      </c>
      <c r="M1302" s="7">
        <f t="shared" si="83"/>
        <v>0</v>
      </c>
    </row>
    <row r="1303" spans="1:13" x14ac:dyDescent="0.25">
      <c r="A1303" s="1">
        <v>946334</v>
      </c>
      <c r="B1303" s="6" t="s">
        <v>1415</v>
      </c>
      <c r="F1303" s="6" t="s">
        <v>9</v>
      </c>
      <c r="G1303" s="6" t="s">
        <v>59</v>
      </c>
      <c r="H1303" s="9" t="s">
        <v>60</v>
      </c>
      <c r="I1303" s="7" t="str">
        <f t="shared" si="80"/>
        <v>61001001001</v>
      </c>
      <c r="J1303" s="7" t="str">
        <f t="shared" si="81"/>
        <v>Материал по ЕГРН</v>
      </c>
      <c r="K1303" s="7">
        <f>VLOOKUP(J1303,Лист2!A$2:B$4,2,FALSE)</f>
        <v>792</v>
      </c>
      <c r="L1303" s="7" t="str">
        <f t="shared" si="82"/>
        <v>ГОТОВ_ИЗМЕНЕН</v>
      </c>
      <c r="M1303" s="7">
        <f t="shared" si="83"/>
        <v>0</v>
      </c>
    </row>
    <row r="1304" spans="1:13" x14ac:dyDescent="0.25">
      <c r="A1304" s="1">
        <v>946346</v>
      </c>
      <c r="B1304" s="6" t="s">
        <v>1416</v>
      </c>
      <c r="F1304" s="6" t="s">
        <v>9</v>
      </c>
      <c r="G1304" s="6" t="s">
        <v>10</v>
      </c>
      <c r="H1304" s="9" t="s">
        <v>11</v>
      </c>
      <c r="I1304" s="7" t="str">
        <f t="shared" si="80"/>
        <v>61001003000</v>
      </c>
      <c r="J1304" s="7" t="str">
        <f t="shared" si="81"/>
        <v>Материал по ЕГРН</v>
      </c>
      <c r="K1304" s="7">
        <f>VLOOKUP(J1304,Лист2!A$2:B$4,2,FALSE)</f>
        <v>792</v>
      </c>
      <c r="L1304" s="7" t="str">
        <f t="shared" si="82"/>
        <v>ГОТОВ_ИЗМЕНЕН</v>
      </c>
      <c r="M1304" s="7">
        <f t="shared" si="83"/>
        <v>0</v>
      </c>
    </row>
    <row r="1305" spans="1:13" x14ac:dyDescent="0.25">
      <c r="A1305" s="1">
        <v>946358</v>
      </c>
      <c r="B1305" s="6" t="s">
        <v>1417</v>
      </c>
      <c r="F1305" s="6" t="s">
        <v>9</v>
      </c>
      <c r="G1305" s="6" t="s">
        <v>38</v>
      </c>
      <c r="H1305" s="9" t="s">
        <v>33</v>
      </c>
      <c r="I1305" s="7" t="str">
        <f t="shared" si="80"/>
        <v>61001005000</v>
      </c>
      <c r="J1305" s="7" t="str">
        <f t="shared" si="81"/>
        <v>Материал по ЕГРН</v>
      </c>
      <c r="K1305" s="7">
        <f>VLOOKUP(J1305,Лист2!A$2:B$4,2,FALSE)</f>
        <v>792</v>
      </c>
      <c r="L1305" s="7" t="str">
        <f t="shared" si="82"/>
        <v>ГОТОВ_ИЗМЕНЕН</v>
      </c>
      <c r="M1305" s="7">
        <f t="shared" si="83"/>
        <v>0</v>
      </c>
    </row>
    <row r="1306" spans="1:13" x14ac:dyDescent="0.25">
      <c r="A1306" s="1">
        <v>946370</v>
      </c>
      <c r="B1306" s="6" t="s">
        <v>1418</v>
      </c>
      <c r="F1306" s="6" t="s">
        <v>9</v>
      </c>
      <c r="G1306" s="6" t="s">
        <v>38</v>
      </c>
      <c r="H1306" s="9" t="s">
        <v>33</v>
      </c>
      <c r="I1306" s="7" t="str">
        <f t="shared" si="80"/>
        <v>61001005000</v>
      </c>
      <c r="J1306" s="7" t="str">
        <f t="shared" si="81"/>
        <v>Материал по ЕГРН</v>
      </c>
      <c r="K1306" s="7">
        <f>VLOOKUP(J1306,Лист2!A$2:B$4,2,FALSE)</f>
        <v>792</v>
      </c>
      <c r="L1306" s="7" t="str">
        <f t="shared" si="82"/>
        <v>ГОТОВ_ИЗМЕНЕН</v>
      </c>
      <c r="M1306" s="7">
        <f t="shared" si="83"/>
        <v>0</v>
      </c>
    </row>
    <row r="1307" spans="1:13" x14ac:dyDescent="0.25">
      <c r="A1307" s="1">
        <v>946382</v>
      </c>
      <c r="B1307" s="6" t="s">
        <v>1419</v>
      </c>
      <c r="F1307" s="6" t="s">
        <v>9</v>
      </c>
      <c r="G1307" s="6" t="s">
        <v>10</v>
      </c>
      <c r="H1307" s="9" t="s">
        <v>11</v>
      </c>
      <c r="I1307" s="7" t="str">
        <f t="shared" si="80"/>
        <v>61001003000</v>
      </c>
      <c r="J1307" s="7" t="str">
        <f t="shared" si="81"/>
        <v>Материал по ЕГРН</v>
      </c>
      <c r="K1307" s="7">
        <f>VLOOKUP(J1307,Лист2!A$2:B$4,2,FALSE)</f>
        <v>792</v>
      </c>
      <c r="L1307" s="7" t="str">
        <f t="shared" si="82"/>
        <v>ГОТОВ_ИЗМЕНЕН</v>
      </c>
      <c r="M1307" s="7">
        <f t="shared" si="83"/>
        <v>0</v>
      </c>
    </row>
    <row r="1308" spans="1:13" x14ac:dyDescent="0.25">
      <c r="A1308" s="1">
        <v>946394</v>
      </c>
      <c r="B1308" s="6" t="s">
        <v>1420</v>
      </c>
      <c r="F1308" s="6" t="s">
        <v>9</v>
      </c>
      <c r="G1308" s="6" t="s">
        <v>10</v>
      </c>
      <c r="H1308" s="9" t="s">
        <v>11</v>
      </c>
      <c r="I1308" s="7" t="str">
        <f t="shared" si="80"/>
        <v>61001003000</v>
      </c>
      <c r="J1308" s="7" t="str">
        <f t="shared" si="81"/>
        <v>Материал по ЕГРН</v>
      </c>
      <c r="K1308" s="7">
        <f>VLOOKUP(J1308,Лист2!A$2:B$4,2,FALSE)</f>
        <v>792</v>
      </c>
      <c r="L1308" s="7" t="str">
        <f t="shared" si="82"/>
        <v>ГОТОВ_ИЗМЕНЕН</v>
      </c>
      <c r="M1308" s="7">
        <f t="shared" si="83"/>
        <v>0</v>
      </c>
    </row>
    <row r="1309" spans="1:13" x14ac:dyDescent="0.25">
      <c r="A1309" s="1">
        <v>305318</v>
      </c>
      <c r="B1309" s="6" t="s">
        <v>1421</v>
      </c>
      <c r="C1309" s="9" t="s">
        <v>42</v>
      </c>
      <c r="D1309" s="6" t="s">
        <v>20</v>
      </c>
      <c r="E1309" s="6" t="s">
        <v>8</v>
      </c>
      <c r="F1309" s="6" t="s">
        <v>9</v>
      </c>
      <c r="G1309" s="6" t="s">
        <v>38</v>
      </c>
      <c r="H1309" s="9" t="s">
        <v>33</v>
      </c>
      <c r="I1309" s="7" t="str">
        <f t="shared" si="80"/>
        <v>61001005000</v>
      </c>
      <c r="J1309" s="7" t="str">
        <f t="shared" si="81"/>
        <v>Материал по ЕГРН</v>
      </c>
      <c r="K1309" s="7">
        <f>VLOOKUP(J1309,Лист2!A$2:B$4,2,FALSE)</f>
        <v>792</v>
      </c>
      <c r="L1309" s="7" t="str">
        <f t="shared" si="82"/>
        <v>ГОТОВ_ИЗМЕНЕН</v>
      </c>
      <c r="M1309" s="7" t="str">
        <f t="shared" si="83"/>
        <v>61001002001</v>
      </c>
    </row>
    <row r="1310" spans="1:13" x14ac:dyDescent="0.25">
      <c r="A1310" s="1">
        <v>535914</v>
      </c>
      <c r="B1310" s="6" t="s">
        <v>1422</v>
      </c>
      <c r="C1310" s="9" t="s">
        <v>33</v>
      </c>
      <c r="D1310" s="6" t="s">
        <v>20</v>
      </c>
      <c r="E1310" s="6" t="s">
        <v>37</v>
      </c>
      <c r="F1310" s="6" t="s">
        <v>9</v>
      </c>
      <c r="G1310" s="6" t="s">
        <v>38</v>
      </c>
      <c r="H1310" s="9" t="s">
        <v>33</v>
      </c>
      <c r="I1310" s="7" t="str">
        <f t="shared" si="80"/>
        <v>61001005000</v>
      </c>
      <c r="J1310" s="7" t="str">
        <f t="shared" si="81"/>
        <v>Материал по ЕГРН</v>
      </c>
      <c r="K1310" s="7">
        <f>VLOOKUP(J1310,Лист2!A$2:B$4,2,FALSE)</f>
        <v>792</v>
      </c>
      <c r="L1310" s="7" t="str">
        <f t="shared" si="82"/>
        <v>ГОТОВ</v>
      </c>
      <c r="M1310" s="7" t="str">
        <f t="shared" si="83"/>
        <v>61001005000</v>
      </c>
    </row>
    <row r="1311" spans="1:13" x14ac:dyDescent="0.25">
      <c r="A1311" s="1">
        <v>792652</v>
      </c>
      <c r="B1311" s="6" t="s">
        <v>1423</v>
      </c>
      <c r="C1311" s="9" t="s">
        <v>33</v>
      </c>
      <c r="D1311" s="6" t="s">
        <v>20</v>
      </c>
      <c r="E1311" s="6" t="s">
        <v>37</v>
      </c>
      <c r="F1311" s="6" t="s">
        <v>9</v>
      </c>
      <c r="G1311" s="6" t="s">
        <v>38</v>
      </c>
      <c r="H1311" s="9" t="s">
        <v>33</v>
      </c>
      <c r="I1311" s="7" t="str">
        <f t="shared" si="80"/>
        <v>61001005000</v>
      </c>
      <c r="J1311" s="7" t="str">
        <f t="shared" si="81"/>
        <v>Материал по ЕГРН</v>
      </c>
      <c r="K1311" s="7">
        <f>VLOOKUP(J1311,Лист2!A$2:B$4,2,FALSE)</f>
        <v>792</v>
      </c>
      <c r="L1311" s="7" t="str">
        <f t="shared" si="82"/>
        <v>ГОТОВ</v>
      </c>
      <c r="M1311" s="7" t="str">
        <f t="shared" si="83"/>
        <v>61001005000</v>
      </c>
    </row>
    <row r="1312" spans="1:13" x14ac:dyDescent="0.25">
      <c r="A1312" s="1">
        <v>944918</v>
      </c>
      <c r="B1312" s="6" t="s">
        <v>1424</v>
      </c>
      <c r="F1312" s="6" t="s">
        <v>9</v>
      </c>
      <c r="G1312" s="6" t="s">
        <v>38</v>
      </c>
      <c r="H1312" s="9" t="s">
        <v>33</v>
      </c>
      <c r="I1312" s="7" t="str">
        <f t="shared" si="80"/>
        <v>61001005000</v>
      </c>
      <c r="J1312" s="7" t="str">
        <f t="shared" si="81"/>
        <v>Материал по ЕГРН</v>
      </c>
      <c r="K1312" s="7">
        <f>VLOOKUP(J1312,Лист2!A$2:B$4,2,FALSE)</f>
        <v>792</v>
      </c>
      <c r="L1312" s="7" t="str">
        <f t="shared" si="82"/>
        <v>ГОТОВ_ИЗМЕНЕН</v>
      </c>
      <c r="M1312" s="7">
        <f t="shared" si="83"/>
        <v>0</v>
      </c>
    </row>
    <row r="1313" spans="1:13" x14ac:dyDescent="0.25">
      <c r="A1313" s="1">
        <v>944930</v>
      </c>
      <c r="B1313" s="6" t="s">
        <v>1425</v>
      </c>
      <c r="F1313" s="6" t="s">
        <v>9</v>
      </c>
      <c r="G1313" s="6" t="s">
        <v>90</v>
      </c>
      <c r="H1313" s="9" t="s">
        <v>12</v>
      </c>
      <c r="I1313" s="7" t="str">
        <f t="shared" si="80"/>
        <v>61001008000</v>
      </c>
      <c r="J1313" s="7" t="str">
        <f t="shared" si="81"/>
        <v>Материал по ЕГРН</v>
      </c>
      <c r="K1313" s="7">
        <f>VLOOKUP(J1313,Лист2!A$2:B$4,2,FALSE)</f>
        <v>792</v>
      </c>
      <c r="L1313" s="7" t="str">
        <f t="shared" si="82"/>
        <v>ГОТОВ_ИЗМЕНЕН</v>
      </c>
      <c r="M1313" s="7">
        <f t="shared" si="83"/>
        <v>0</v>
      </c>
    </row>
    <row r="1314" spans="1:13" x14ac:dyDescent="0.25">
      <c r="A1314" s="1">
        <v>944942</v>
      </c>
      <c r="B1314" s="6" t="s">
        <v>1426</v>
      </c>
      <c r="F1314" s="6" t="s">
        <v>9</v>
      </c>
      <c r="G1314" s="6" t="s">
        <v>38</v>
      </c>
      <c r="H1314" s="9" t="s">
        <v>33</v>
      </c>
      <c r="I1314" s="7" t="str">
        <f t="shared" si="80"/>
        <v>61001005000</v>
      </c>
      <c r="J1314" s="7" t="str">
        <f t="shared" si="81"/>
        <v>Материал по ЕГРН</v>
      </c>
      <c r="K1314" s="7">
        <f>VLOOKUP(J1314,Лист2!A$2:B$4,2,FALSE)</f>
        <v>792</v>
      </c>
      <c r="L1314" s="7" t="str">
        <f t="shared" si="82"/>
        <v>ГОТОВ_ИЗМЕНЕН</v>
      </c>
      <c r="M1314" s="7">
        <f t="shared" si="83"/>
        <v>0</v>
      </c>
    </row>
    <row r="1315" spans="1:13" x14ac:dyDescent="0.25">
      <c r="A1315" s="1">
        <v>944954</v>
      </c>
      <c r="B1315" s="6" t="s">
        <v>1427</v>
      </c>
      <c r="F1315" s="6" t="s">
        <v>9</v>
      </c>
      <c r="G1315" s="6" t="s">
        <v>62</v>
      </c>
      <c r="H1315" s="9" t="s">
        <v>63</v>
      </c>
      <c r="I1315" s="7" t="str">
        <f t="shared" si="80"/>
        <v>61001006002</v>
      </c>
      <c r="J1315" s="7" t="str">
        <f t="shared" si="81"/>
        <v>Материал по ЕГРН</v>
      </c>
      <c r="K1315" s="7">
        <f>VLOOKUP(J1315,Лист2!A$2:B$4,2,FALSE)</f>
        <v>792</v>
      </c>
      <c r="L1315" s="7" t="str">
        <f t="shared" si="82"/>
        <v>ГОТОВ_ИЗМЕНЕН</v>
      </c>
      <c r="M1315" s="7">
        <f t="shared" si="83"/>
        <v>0</v>
      </c>
    </row>
    <row r="1316" spans="1:13" x14ac:dyDescent="0.25">
      <c r="A1316" s="1">
        <v>944966</v>
      </c>
      <c r="B1316" s="6" t="s">
        <v>1428</v>
      </c>
      <c r="F1316" s="6" t="s">
        <v>9</v>
      </c>
      <c r="G1316" s="6" t="s">
        <v>38</v>
      </c>
      <c r="H1316" s="9" t="s">
        <v>33</v>
      </c>
      <c r="I1316" s="7" t="str">
        <f t="shared" si="80"/>
        <v>61001005000</v>
      </c>
      <c r="J1316" s="7" t="str">
        <f t="shared" si="81"/>
        <v>Материал по ЕГРН</v>
      </c>
      <c r="K1316" s="7">
        <f>VLOOKUP(J1316,Лист2!A$2:B$4,2,FALSE)</f>
        <v>792</v>
      </c>
      <c r="L1316" s="7" t="str">
        <f t="shared" si="82"/>
        <v>ГОТОВ_ИЗМЕНЕН</v>
      </c>
      <c r="M1316" s="7">
        <f t="shared" si="83"/>
        <v>0</v>
      </c>
    </row>
    <row r="1317" spans="1:13" x14ac:dyDescent="0.25">
      <c r="A1317" s="1">
        <v>944978</v>
      </c>
      <c r="B1317" s="6" t="s">
        <v>1429</v>
      </c>
      <c r="F1317" s="6" t="s">
        <v>9</v>
      </c>
      <c r="G1317" s="6" t="s">
        <v>38</v>
      </c>
      <c r="H1317" s="9" t="s">
        <v>33</v>
      </c>
      <c r="I1317" s="7" t="str">
        <f t="shared" si="80"/>
        <v>61001005000</v>
      </c>
      <c r="J1317" s="7" t="str">
        <f t="shared" si="81"/>
        <v>Материал по ЕГРН</v>
      </c>
      <c r="K1317" s="7">
        <f>VLOOKUP(J1317,Лист2!A$2:B$4,2,FALSE)</f>
        <v>792</v>
      </c>
      <c r="L1317" s="7" t="str">
        <f t="shared" si="82"/>
        <v>ГОТОВ_ИЗМЕНЕН</v>
      </c>
      <c r="M1317" s="7">
        <f t="shared" si="83"/>
        <v>0</v>
      </c>
    </row>
    <row r="1318" spans="1:13" x14ac:dyDescent="0.25">
      <c r="A1318" s="1">
        <v>944990</v>
      </c>
      <c r="B1318" s="6" t="s">
        <v>1430</v>
      </c>
      <c r="F1318" s="6" t="s">
        <v>9</v>
      </c>
      <c r="G1318" s="6" t="s">
        <v>90</v>
      </c>
      <c r="H1318" s="9" t="s">
        <v>12</v>
      </c>
      <c r="I1318" s="7" t="str">
        <f t="shared" si="80"/>
        <v>61001008000</v>
      </c>
      <c r="J1318" s="7" t="str">
        <f t="shared" si="81"/>
        <v>Материал по ЕГРН</v>
      </c>
      <c r="K1318" s="7">
        <f>VLOOKUP(J1318,Лист2!A$2:B$4,2,FALSE)</f>
        <v>792</v>
      </c>
      <c r="L1318" s="7" t="str">
        <f t="shared" si="82"/>
        <v>ГОТОВ_ИЗМЕНЕН</v>
      </c>
      <c r="M1318" s="7">
        <f t="shared" si="83"/>
        <v>0</v>
      </c>
    </row>
    <row r="1319" spans="1:13" x14ac:dyDescent="0.25">
      <c r="A1319" s="1">
        <v>945002</v>
      </c>
      <c r="B1319" s="6" t="s">
        <v>1431</v>
      </c>
      <c r="F1319" s="6" t="s">
        <v>9</v>
      </c>
      <c r="G1319" s="6" t="s">
        <v>34</v>
      </c>
      <c r="H1319" s="9" t="s">
        <v>35</v>
      </c>
      <c r="I1319" s="7" t="str">
        <f t="shared" si="80"/>
        <v>61001002000</v>
      </c>
      <c r="J1319" s="7" t="str">
        <f t="shared" si="81"/>
        <v>Материал по ЕГРН</v>
      </c>
      <c r="K1319" s="7">
        <f>VLOOKUP(J1319,Лист2!A$2:B$4,2,FALSE)</f>
        <v>792</v>
      </c>
      <c r="L1319" s="7" t="str">
        <f t="shared" si="82"/>
        <v>ГОТОВ_ИЗМЕНЕН</v>
      </c>
      <c r="M1319" s="7">
        <f t="shared" si="83"/>
        <v>0</v>
      </c>
    </row>
    <row r="1320" spans="1:13" x14ac:dyDescent="0.25">
      <c r="A1320" s="1">
        <v>945014</v>
      </c>
      <c r="B1320" s="6" t="s">
        <v>1432</v>
      </c>
      <c r="F1320" s="6" t="s">
        <v>9</v>
      </c>
      <c r="G1320" s="6" t="s">
        <v>10</v>
      </c>
      <c r="H1320" s="9" t="s">
        <v>11</v>
      </c>
      <c r="I1320" s="7" t="str">
        <f t="shared" si="80"/>
        <v>61001003000</v>
      </c>
      <c r="J1320" s="7" t="str">
        <f t="shared" si="81"/>
        <v>Материал по ЕГРН</v>
      </c>
      <c r="K1320" s="7">
        <f>VLOOKUP(J1320,Лист2!A$2:B$4,2,FALSE)</f>
        <v>792</v>
      </c>
      <c r="L1320" s="7" t="str">
        <f t="shared" si="82"/>
        <v>ГОТОВ_ИЗМЕНЕН</v>
      </c>
      <c r="M1320" s="7">
        <f t="shared" si="83"/>
        <v>0</v>
      </c>
    </row>
    <row r="1321" spans="1:13" x14ac:dyDescent="0.25">
      <c r="A1321" s="1">
        <v>945026</v>
      </c>
      <c r="B1321" s="6" t="s">
        <v>1433</v>
      </c>
      <c r="F1321" s="6" t="s">
        <v>9</v>
      </c>
      <c r="G1321" s="6" t="s">
        <v>34</v>
      </c>
      <c r="H1321" s="9" t="s">
        <v>35</v>
      </c>
      <c r="I1321" s="7" t="str">
        <f t="shared" si="80"/>
        <v>61001002000</v>
      </c>
      <c r="J1321" s="7" t="str">
        <f t="shared" si="81"/>
        <v>Материал по ЕГРН</v>
      </c>
      <c r="K1321" s="7">
        <f>VLOOKUP(J1321,Лист2!A$2:B$4,2,FALSE)</f>
        <v>792</v>
      </c>
      <c r="L1321" s="7" t="str">
        <f t="shared" si="82"/>
        <v>ГОТОВ_ИЗМЕНЕН</v>
      </c>
      <c r="M1321" s="7">
        <f t="shared" si="83"/>
        <v>0</v>
      </c>
    </row>
    <row r="1322" spans="1:13" x14ac:dyDescent="0.25">
      <c r="A1322" s="1">
        <v>945038</v>
      </c>
      <c r="B1322" s="6" t="s">
        <v>1434</v>
      </c>
      <c r="F1322" s="6" t="s">
        <v>9</v>
      </c>
      <c r="G1322" s="6" t="s">
        <v>34</v>
      </c>
      <c r="H1322" s="9" t="s">
        <v>35</v>
      </c>
      <c r="I1322" s="7" t="str">
        <f t="shared" si="80"/>
        <v>61001002000</v>
      </c>
      <c r="J1322" s="7" t="str">
        <f t="shared" si="81"/>
        <v>Материал по ЕГРН</v>
      </c>
      <c r="K1322" s="7">
        <f>VLOOKUP(J1322,Лист2!A$2:B$4,2,FALSE)</f>
        <v>792</v>
      </c>
      <c r="L1322" s="7" t="str">
        <f t="shared" si="82"/>
        <v>ГОТОВ_ИЗМЕНЕН</v>
      </c>
      <c r="M1322" s="7">
        <f t="shared" si="83"/>
        <v>0</v>
      </c>
    </row>
    <row r="1323" spans="1:13" x14ac:dyDescent="0.25">
      <c r="A1323" s="1">
        <v>945050</v>
      </c>
      <c r="B1323" s="6" t="s">
        <v>1435</v>
      </c>
      <c r="F1323" s="6" t="s">
        <v>9</v>
      </c>
      <c r="G1323" s="6" t="s">
        <v>10</v>
      </c>
      <c r="H1323" s="9" t="s">
        <v>11</v>
      </c>
      <c r="I1323" s="7" t="str">
        <f t="shared" si="80"/>
        <v>61001003000</v>
      </c>
      <c r="J1323" s="7" t="str">
        <f t="shared" si="81"/>
        <v>Материал по ЕГРН</v>
      </c>
      <c r="K1323" s="7">
        <f>VLOOKUP(J1323,Лист2!A$2:B$4,2,FALSE)</f>
        <v>792</v>
      </c>
      <c r="L1323" s="7" t="str">
        <f t="shared" si="82"/>
        <v>ГОТОВ_ИЗМЕНЕН</v>
      </c>
      <c r="M1323" s="7">
        <f t="shared" si="83"/>
        <v>0</v>
      </c>
    </row>
    <row r="1324" spans="1:13" x14ac:dyDescent="0.25">
      <c r="A1324" s="1">
        <v>945062</v>
      </c>
      <c r="B1324" s="6" t="s">
        <v>1436</v>
      </c>
      <c r="F1324" s="6" t="s">
        <v>9</v>
      </c>
      <c r="G1324" s="6" t="s">
        <v>38</v>
      </c>
      <c r="H1324" s="9" t="s">
        <v>33</v>
      </c>
      <c r="I1324" s="7" t="str">
        <f t="shared" si="80"/>
        <v>61001005000</v>
      </c>
      <c r="J1324" s="7" t="str">
        <f t="shared" si="81"/>
        <v>Материал по ЕГРН</v>
      </c>
      <c r="K1324" s="7">
        <f>VLOOKUP(J1324,Лист2!A$2:B$4,2,FALSE)</f>
        <v>792</v>
      </c>
      <c r="L1324" s="7" t="str">
        <f t="shared" si="82"/>
        <v>ГОТОВ_ИЗМЕНЕН</v>
      </c>
      <c r="M1324" s="7">
        <f t="shared" si="83"/>
        <v>0</v>
      </c>
    </row>
    <row r="1325" spans="1:13" x14ac:dyDescent="0.25">
      <c r="A1325" s="1">
        <v>945074</v>
      </c>
      <c r="B1325" s="6" t="s">
        <v>1437</v>
      </c>
      <c r="F1325" s="6" t="s">
        <v>9</v>
      </c>
      <c r="G1325" s="6" t="s">
        <v>90</v>
      </c>
      <c r="H1325" s="9" t="s">
        <v>12</v>
      </c>
      <c r="I1325" s="7" t="str">
        <f t="shared" si="80"/>
        <v>61001008000</v>
      </c>
      <c r="J1325" s="7" t="str">
        <f t="shared" si="81"/>
        <v>Материал по ЕГРН</v>
      </c>
      <c r="K1325" s="7">
        <f>VLOOKUP(J1325,Лист2!A$2:B$4,2,FALSE)</f>
        <v>792</v>
      </c>
      <c r="L1325" s="7" t="str">
        <f t="shared" si="82"/>
        <v>ГОТОВ_ИЗМЕНЕН</v>
      </c>
      <c r="M1325" s="7">
        <f t="shared" si="83"/>
        <v>0</v>
      </c>
    </row>
    <row r="1326" spans="1:13" x14ac:dyDescent="0.25">
      <c r="A1326" s="1">
        <v>945086</v>
      </c>
      <c r="B1326" s="6" t="s">
        <v>1438</v>
      </c>
      <c r="F1326" s="6" t="s">
        <v>9</v>
      </c>
      <c r="G1326" s="6" t="s">
        <v>34</v>
      </c>
      <c r="H1326" s="9" t="s">
        <v>35</v>
      </c>
      <c r="I1326" s="7" t="str">
        <f t="shared" si="80"/>
        <v>61001002000</v>
      </c>
      <c r="J1326" s="7" t="str">
        <f t="shared" si="81"/>
        <v>Материал по ЕГРН</v>
      </c>
      <c r="K1326" s="7">
        <f>VLOOKUP(J1326,Лист2!A$2:B$4,2,FALSE)</f>
        <v>792</v>
      </c>
      <c r="L1326" s="7" t="str">
        <f t="shared" si="82"/>
        <v>ГОТОВ_ИЗМЕНЕН</v>
      </c>
      <c r="M1326" s="7">
        <f t="shared" si="83"/>
        <v>0</v>
      </c>
    </row>
    <row r="1327" spans="1:13" x14ac:dyDescent="0.25">
      <c r="A1327" s="1">
        <v>945098</v>
      </c>
      <c r="B1327" s="6" t="s">
        <v>1439</v>
      </c>
      <c r="F1327" s="6" t="s">
        <v>9</v>
      </c>
      <c r="G1327" s="6" t="s">
        <v>10</v>
      </c>
      <c r="H1327" s="9" t="s">
        <v>11</v>
      </c>
      <c r="I1327" s="7" t="str">
        <f t="shared" si="80"/>
        <v>61001003000</v>
      </c>
      <c r="J1327" s="7" t="str">
        <f t="shared" si="81"/>
        <v>Материал по ЕГРН</v>
      </c>
      <c r="K1327" s="7">
        <f>VLOOKUP(J1327,Лист2!A$2:B$4,2,FALSE)</f>
        <v>792</v>
      </c>
      <c r="L1327" s="7" t="str">
        <f t="shared" si="82"/>
        <v>ГОТОВ_ИЗМЕНЕН</v>
      </c>
      <c r="M1327" s="7">
        <f t="shared" si="83"/>
        <v>0</v>
      </c>
    </row>
    <row r="1328" spans="1:13" x14ac:dyDescent="0.25">
      <c r="A1328" s="1">
        <v>945110</v>
      </c>
      <c r="B1328" s="6" t="s">
        <v>1440</v>
      </c>
      <c r="F1328" s="6" t="s">
        <v>9</v>
      </c>
      <c r="G1328" s="6" t="s">
        <v>34</v>
      </c>
      <c r="H1328" s="9" t="s">
        <v>35</v>
      </c>
      <c r="I1328" s="7" t="str">
        <f t="shared" si="80"/>
        <v>61001002000</v>
      </c>
      <c r="J1328" s="7" t="str">
        <f t="shared" si="81"/>
        <v>Материал по ЕГРН</v>
      </c>
      <c r="K1328" s="7">
        <f>VLOOKUP(J1328,Лист2!A$2:B$4,2,FALSE)</f>
        <v>792</v>
      </c>
      <c r="L1328" s="7" t="str">
        <f t="shared" si="82"/>
        <v>ГОТОВ_ИЗМЕНЕН</v>
      </c>
      <c r="M1328" s="7">
        <f t="shared" si="83"/>
        <v>0</v>
      </c>
    </row>
    <row r="1329" spans="1:13" x14ac:dyDescent="0.25">
      <c r="A1329" s="1">
        <v>945122</v>
      </c>
      <c r="B1329" s="6" t="s">
        <v>1441</v>
      </c>
      <c r="F1329" s="6" t="s">
        <v>9</v>
      </c>
      <c r="G1329" s="6" t="s">
        <v>90</v>
      </c>
      <c r="H1329" s="9" t="s">
        <v>12</v>
      </c>
      <c r="I1329" s="7" t="str">
        <f t="shared" si="80"/>
        <v>61001008000</v>
      </c>
      <c r="J1329" s="7" t="str">
        <f t="shared" si="81"/>
        <v>Материал по ЕГРН</v>
      </c>
      <c r="K1329" s="7">
        <f>VLOOKUP(J1329,Лист2!A$2:B$4,2,FALSE)</f>
        <v>792</v>
      </c>
      <c r="L1329" s="7" t="str">
        <f t="shared" si="82"/>
        <v>ГОТОВ_ИЗМЕНЕН</v>
      </c>
      <c r="M1329" s="7">
        <f t="shared" si="83"/>
        <v>0</v>
      </c>
    </row>
    <row r="1330" spans="1:13" x14ac:dyDescent="0.25">
      <c r="A1330" s="1">
        <v>945134</v>
      </c>
      <c r="B1330" s="6" t="s">
        <v>1442</v>
      </c>
      <c r="F1330" s="6" t="s">
        <v>9</v>
      </c>
      <c r="G1330" s="6" t="s">
        <v>38</v>
      </c>
      <c r="H1330" s="9" t="s">
        <v>33</v>
      </c>
      <c r="I1330" s="7" t="str">
        <f t="shared" si="80"/>
        <v>61001005000</v>
      </c>
      <c r="J1330" s="7" t="str">
        <f t="shared" si="81"/>
        <v>Материал по ЕГРН</v>
      </c>
      <c r="K1330" s="7">
        <f>VLOOKUP(J1330,Лист2!A$2:B$4,2,FALSE)</f>
        <v>792</v>
      </c>
      <c r="L1330" s="7" t="str">
        <f t="shared" si="82"/>
        <v>ГОТОВ_ИЗМЕНЕН</v>
      </c>
      <c r="M1330" s="7">
        <f t="shared" si="83"/>
        <v>0</v>
      </c>
    </row>
    <row r="1331" spans="1:13" x14ac:dyDescent="0.25">
      <c r="A1331" s="1">
        <v>945146</v>
      </c>
      <c r="B1331" s="6" t="s">
        <v>1443</v>
      </c>
      <c r="F1331" s="6" t="s">
        <v>9</v>
      </c>
      <c r="G1331" s="6" t="s">
        <v>38</v>
      </c>
      <c r="H1331" s="9" t="s">
        <v>33</v>
      </c>
      <c r="I1331" s="7" t="str">
        <f t="shared" si="80"/>
        <v>61001005000</v>
      </c>
      <c r="J1331" s="7" t="str">
        <f t="shared" si="81"/>
        <v>Материал по ЕГРН</v>
      </c>
      <c r="K1331" s="7">
        <f>VLOOKUP(J1331,Лист2!A$2:B$4,2,FALSE)</f>
        <v>792</v>
      </c>
      <c r="L1331" s="7" t="str">
        <f t="shared" si="82"/>
        <v>ГОТОВ_ИЗМЕНЕН</v>
      </c>
      <c r="M1331" s="7">
        <f t="shared" si="83"/>
        <v>0</v>
      </c>
    </row>
    <row r="1332" spans="1:13" x14ac:dyDescent="0.25">
      <c r="A1332" s="1">
        <v>945158</v>
      </c>
      <c r="B1332" s="6" t="s">
        <v>1444</v>
      </c>
      <c r="F1332" s="6" t="s">
        <v>9</v>
      </c>
      <c r="G1332" s="6" t="s">
        <v>62</v>
      </c>
      <c r="H1332" s="9" t="s">
        <v>63</v>
      </c>
      <c r="I1332" s="7" t="str">
        <f t="shared" si="80"/>
        <v>61001006002</v>
      </c>
      <c r="J1332" s="7" t="str">
        <f t="shared" si="81"/>
        <v>Материал по ЕГРН</v>
      </c>
      <c r="K1332" s="7">
        <f>VLOOKUP(J1332,Лист2!A$2:B$4,2,FALSE)</f>
        <v>792</v>
      </c>
      <c r="L1332" s="7" t="str">
        <f t="shared" si="82"/>
        <v>ГОТОВ_ИЗМЕНЕН</v>
      </c>
      <c r="M1332" s="7">
        <f t="shared" si="83"/>
        <v>0</v>
      </c>
    </row>
    <row r="1333" spans="1:13" x14ac:dyDescent="0.25">
      <c r="A1333" s="1">
        <v>945170</v>
      </c>
      <c r="B1333" s="6" t="s">
        <v>1445</v>
      </c>
      <c r="F1333" s="6" t="s">
        <v>9</v>
      </c>
      <c r="G1333" s="6" t="s">
        <v>59</v>
      </c>
      <c r="H1333" s="9" t="s">
        <v>60</v>
      </c>
      <c r="I1333" s="7" t="str">
        <f t="shared" si="80"/>
        <v>61001001001</v>
      </c>
      <c r="J1333" s="7" t="str">
        <f t="shared" si="81"/>
        <v>Материал по ЕГРН</v>
      </c>
      <c r="K1333" s="7">
        <f>VLOOKUP(J1333,Лист2!A$2:B$4,2,FALSE)</f>
        <v>792</v>
      </c>
      <c r="L1333" s="7" t="str">
        <f t="shared" si="82"/>
        <v>ГОТОВ_ИЗМЕНЕН</v>
      </c>
      <c r="M1333" s="7">
        <f t="shared" si="83"/>
        <v>0</v>
      </c>
    </row>
    <row r="1334" spans="1:13" x14ac:dyDescent="0.25">
      <c r="A1334" s="1">
        <v>945182</v>
      </c>
      <c r="B1334" s="6" t="s">
        <v>1446</v>
      </c>
      <c r="F1334" s="6" t="s">
        <v>9</v>
      </c>
      <c r="G1334" s="6" t="s">
        <v>90</v>
      </c>
      <c r="H1334" s="9" t="s">
        <v>12</v>
      </c>
      <c r="I1334" s="7" t="str">
        <f t="shared" si="80"/>
        <v>61001008000</v>
      </c>
      <c r="J1334" s="7" t="str">
        <f t="shared" si="81"/>
        <v>Материал по ЕГРН</v>
      </c>
      <c r="K1334" s="7">
        <f>VLOOKUP(J1334,Лист2!A$2:B$4,2,FALSE)</f>
        <v>792</v>
      </c>
      <c r="L1334" s="7" t="str">
        <f t="shared" si="82"/>
        <v>ГОТОВ_ИЗМЕНЕН</v>
      </c>
      <c r="M1334" s="7">
        <f t="shared" si="83"/>
        <v>0</v>
      </c>
    </row>
    <row r="1335" spans="1:13" x14ac:dyDescent="0.25">
      <c r="A1335" s="1">
        <v>945194</v>
      </c>
      <c r="B1335" s="6" t="s">
        <v>1447</v>
      </c>
      <c r="F1335" s="6" t="s">
        <v>9</v>
      </c>
      <c r="G1335" s="6" t="s">
        <v>59</v>
      </c>
      <c r="H1335" s="9" t="s">
        <v>60</v>
      </c>
      <c r="I1335" s="7" t="str">
        <f t="shared" si="80"/>
        <v>61001001001</v>
      </c>
      <c r="J1335" s="7" t="str">
        <f t="shared" si="81"/>
        <v>Материал по ЕГРН</v>
      </c>
      <c r="K1335" s="7">
        <f>VLOOKUP(J1335,Лист2!A$2:B$4,2,FALSE)</f>
        <v>792</v>
      </c>
      <c r="L1335" s="7" t="str">
        <f t="shared" si="82"/>
        <v>ГОТОВ_ИЗМЕНЕН</v>
      </c>
      <c r="M1335" s="7">
        <f t="shared" si="83"/>
        <v>0</v>
      </c>
    </row>
    <row r="1336" spans="1:13" x14ac:dyDescent="0.25">
      <c r="A1336" s="1">
        <v>47522</v>
      </c>
      <c r="B1336" s="6" t="s">
        <v>1448</v>
      </c>
      <c r="C1336" s="9" t="s">
        <v>60</v>
      </c>
      <c r="D1336" s="6" t="s">
        <v>20</v>
      </c>
      <c r="E1336" s="6" t="s">
        <v>37</v>
      </c>
      <c r="F1336" s="6" t="s">
        <v>9</v>
      </c>
      <c r="G1336" s="6" t="s">
        <v>59</v>
      </c>
      <c r="H1336" s="9" t="s">
        <v>60</v>
      </c>
      <c r="I1336" s="7" t="str">
        <f t="shared" si="80"/>
        <v>61001001001</v>
      </c>
      <c r="J1336" s="7" t="str">
        <f t="shared" si="81"/>
        <v>Материал по ЕГРН</v>
      </c>
      <c r="K1336" s="7">
        <f>VLOOKUP(J1336,Лист2!A$2:B$4,2,FALSE)</f>
        <v>792</v>
      </c>
      <c r="L1336" s="7" t="str">
        <f t="shared" si="82"/>
        <v>ГОТОВ</v>
      </c>
      <c r="M1336" s="7" t="str">
        <f t="shared" si="83"/>
        <v>61001001001</v>
      </c>
    </row>
    <row r="1337" spans="1:13" x14ac:dyDescent="0.25">
      <c r="A1337" s="1">
        <v>354074</v>
      </c>
      <c r="B1337" s="6" t="s">
        <v>1449</v>
      </c>
      <c r="C1337" s="9" t="s">
        <v>12</v>
      </c>
      <c r="D1337" s="6" t="s">
        <v>20</v>
      </c>
      <c r="E1337" s="6" t="s">
        <v>37</v>
      </c>
      <c r="F1337" s="6" t="s">
        <v>9</v>
      </c>
      <c r="G1337" s="6" t="s">
        <v>90</v>
      </c>
      <c r="H1337" s="9" t="s">
        <v>12</v>
      </c>
      <c r="I1337" s="7" t="str">
        <f t="shared" si="80"/>
        <v>61001008000</v>
      </c>
      <c r="J1337" s="7" t="str">
        <f t="shared" si="81"/>
        <v>Материал по ЕГРН</v>
      </c>
      <c r="K1337" s="7">
        <f>VLOOKUP(J1337,Лист2!A$2:B$4,2,FALSE)</f>
        <v>792</v>
      </c>
      <c r="L1337" s="7" t="str">
        <f t="shared" si="82"/>
        <v>ГОТОВ</v>
      </c>
      <c r="M1337" s="7" t="str">
        <f t="shared" si="83"/>
        <v>61001008000</v>
      </c>
    </row>
    <row r="1338" spans="1:13" x14ac:dyDescent="0.25">
      <c r="A1338" s="1">
        <v>584075</v>
      </c>
      <c r="B1338" s="6" t="s">
        <v>1450</v>
      </c>
      <c r="C1338" s="9" t="s">
        <v>33</v>
      </c>
      <c r="D1338" s="6" t="s">
        <v>20</v>
      </c>
      <c r="E1338" s="6" t="s">
        <v>37</v>
      </c>
      <c r="F1338" s="6" t="s">
        <v>9</v>
      </c>
      <c r="G1338" s="6" t="s">
        <v>38</v>
      </c>
      <c r="H1338" s="9" t="s">
        <v>33</v>
      </c>
      <c r="I1338" s="7" t="str">
        <f t="shared" si="80"/>
        <v>61001005000</v>
      </c>
      <c r="J1338" s="7" t="str">
        <f t="shared" si="81"/>
        <v>Материал по ЕГРН</v>
      </c>
      <c r="K1338" s="7">
        <f>VLOOKUP(J1338,Лист2!A$2:B$4,2,FALSE)</f>
        <v>792</v>
      </c>
      <c r="L1338" s="7" t="str">
        <f t="shared" si="82"/>
        <v>ГОТОВ</v>
      </c>
      <c r="M1338" s="7" t="str">
        <f t="shared" si="83"/>
        <v>61001005000</v>
      </c>
    </row>
    <row r="1339" spans="1:13" x14ac:dyDescent="0.25">
      <c r="A1339" s="1">
        <v>945197</v>
      </c>
      <c r="B1339" s="6" t="s">
        <v>1451</v>
      </c>
      <c r="F1339" s="6" t="s">
        <v>9</v>
      </c>
      <c r="G1339" s="6" t="s">
        <v>10</v>
      </c>
      <c r="H1339" s="9" t="s">
        <v>11</v>
      </c>
      <c r="I1339" s="7" t="str">
        <f t="shared" si="80"/>
        <v>61001003000</v>
      </c>
      <c r="J1339" s="7" t="str">
        <f t="shared" si="81"/>
        <v>Материал по ЕГРН</v>
      </c>
      <c r="K1339" s="7">
        <f>VLOOKUP(J1339,Лист2!A$2:B$4,2,FALSE)</f>
        <v>792</v>
      </c>
      <c r="L1339" s="7" t="str">
        <f t="shared" si="82"/>
        <v>ГОТОВ_ИЗМЕНЕН</v>
      </c>
      <c r="M1339" s="7">
        <f t="shared" si="83"/>
        <v>0</v>
      </c>
    </row>
    <row r="1340" spans="1:13" x14ac:dyDescent="0.25">
      <c r="A1340" s="1">
        <v>945209</v>
      </c>
      <c r="B1340" s="6" t="s">
        <v>1452</v>
      </c>
      <c r="F1340" s="6" t="s">
        <v>9</v>
      </c>
      <c r="G1340" s="6" t="s">
        <v>38</v>
      </c>
      <c r="H1340" s="9" t="s">
        <v>33</v>
      </c>
      <c r="I1340" s="7" t="str">
        <f t="shared" si="80"/>
        <v>61001005000</v>
      </c>
      <c r="J1340" s="7" t="str">
        <f t="shared" si="81"/>
        <v>Материал по ЕГРН</v>
      </c>
      <c r="K1340" s="7">
        <f>VLOOKUP(J1340,Лист2!A$2:B$4,2,FALSE)</f>
        <v>792</v>
      </c>
      <c r="L1340" s="7" t="str">
        <f t="shared" si="82"/>
        <v>ГОТОВ_ИЗМЕНЕН</v>
      </c>
      <c r="M1340" s="7">
        <f t="shared" si="83"/>
        <v>0</v>
      </c>
    </row>
    <row r="1341" spans="1:13" x14ac:dyDescent="0.25">
      <c r="A1341" s="1">
        <v>945221</v>
      </c>
      <c r="B1341" s="6" t="s">
        <v>1453</v>
      </c>
      <c r="F1341" s="6" t="s">
        <v>9</v>
      </c>
      <c r="G1341" s="6" t="s">
        <v>34</v>
      </c>
      <c r="H1341" s="9" t="s">
        <v>35</v>
      </c>
      <c r="I1341" s="7" t="str">
        <f t="shared" si="80"/>
        <v>61001002000</v>
      </c>
      <c r="J1341" s="7" t="str">
        <f t="shared" si="81"/>
        <v>Материал по ЕГРН</v>
      </c>
      <c r="K1341" s="7">
        <f>VLOOKUP(J1341,Лист2!A$2:B$4,2,FALSE)</f>
        <v>792</v>
      </c>
      <c r="L1341" s="7" t="str">
        <f t="shared" si="82"/>
        <v>ГОТОВ_ИЗМЕНЕН</v>
      </c>
      <c r="M1341" s="7">
        <f t="shared" si="83"/>
        <v>0</v>
      </c>
    </row>
    <row r="1342" spans="1:13" x14ac:dyDescent="0.25">
      <c r="A1342" s="1">
        <v>945233</v>
      </c>
      <c r="B1342" s="6" t="s">
        <v>1454</v>
      </c>
      <c r="F1342" s="6" t="s">
        <v>9</v>
      </c>
      <c r="G1342" s="6" t="s">
        <v>170</v>
      </c>
      <c r="H1342" s="9" t="s">
        <v>171</v>
      </c>
      <c r="I1342" s="7" t="str">
        <f t="shared" si="80"/>
        <v>61001001000</v>
      </c>
      <c r="J1342" s="7" t="str">
        <f t="shared" si="81"/>
        <v>Материал по ЕГРН</v>
      </c>
      <c r="K1342" s="7">
        <f>VLOOKUP(J1342,Лист2!A$2:B$4,2,FALSE)</f>
        <v>792</v>
      </c>
      <c r="L1342" s="7" t="str">
        <f t="shared" si="82"/>
        <v>ГОТОВ_ИЗМЕНЕН</v>
      </c>
      <c r="M1342" s="7">
        <f t="shared" si="83"/>
        <v>0</v>
      </c>
    </row>
    <row r="1343" spans="1:13" x14ac:dyDescent="0.25">
      <c r="A1343" s="1">
        <v>945245</v>
      </c>
      <c r="B1343" s="6" t="s">
        <v>1455</v>
      </c>
      <c r="F1343" s="6" t="s">
        <v>9</v>
      </c>
      <c r="G1343" s="6" t="s">
        <v>62</v>
      </c>
      <c r="H1343" s="9" t="s">
        <v>63</v>
      </c>
      <c r="I1343" s="7" t="str">
        <f t="shared" si="80"/>
        <v>61001006002</v>
      </c>
      <c r="J1343" s="7" t="str">
        <f t="shared" si="81"/>
        <v>Материал по ЕГРН</v>
      </c>
      <c r="K1343" s="7">
        <f>VLOOKUP(J1343,Лист2!A$2:B$4,2,FALSE)</f>
        <v>792</v>
      </c>
      <c r="L1343" s="7" t="str">
        <f t="shared" si="82"/>
        <v>ГОТОВ_ИЗМЕНЕН</v>
      </c>
      <c r="M1343" s="7">
        <f t="shared" si="83"/>
        <v>0</v>
      </c>
    </row>
    <row r="1344" spans="1:13" x14ac:dyDescent="0.25">
      <c r="A1344" s="1">
        <v>945257</v>
      </c>
      <c r="B1344" s="6" t="s">
        <v>1456</v>
      </c>
      <c r="F1344" s="6" t="s">
        <v>9</v>
      </c>
      <c r="G1344" s="6" t="s">
        <v>38</v>
      </c>
      <c r="H1344" s="9" t="s">
        <v>33</v>
      </c>
      <c r="I1344" s="7" t="str">
        <f t="shared" si="80"/>
        <v>61001005000</v>
      </c>
      <c r="J1344" s="7" t="str">
        <f t="shared" si="81"/>
        <v>Материал по ЕГРН</v>
      </c>
      <c r="K1344" s="7">
        <f>VLOOKUP(J1344,Лист2!A$2:B$4,2,FALSE)</f>
        <v>792</v>
      </c>
      <c r="L1344" s="7" t="str">
        <f t="shared" si="82"/>
        <v>ГОТОВ_ИЗМЕНЕН</v>
      </c>
      <c r="M1344" s="7">
        <f t="shared" si="83"/>
        <v>0</v>
      </c>
    </row>
    <row r="1345" spans="1:13" x14ac:dyDescent="0.25">
      <c r="A1345" s="1">
        <v>945269</v>
      </c>
      <c r="B1345" s="6" t="s">
        <v>1457</v>
      </c>
      <c r="F1345" s="6" t="s">
        <v>9</v>
      </c>
      <c r="G1345" s="6" t="s">
        <v>90</v>
      </c>
      <c r="H1345" s="9" t="s">
        <v>12</v>
      </c>
      <c r="I1345" s="7" t="str">
        <f t="shared" si="80"/>
        <v>61001008000</v>
      </c>
      <c r="J1345" s="7" t="str">
        <f t="shared" si="81"/>
        <v>Материал по ЕГРН</v>
      </c>
      <c r="K1345" s="7">
        <f>VLOOKUP(J1345,Лист2!A$2:B$4,2,FALSE)</f>
        <v>792</v>
      </c>
      <c r="L1345" s="7" t="str">
        <f t="shared" si="82"/>
        <v>ГОТОВ_ИЗМЕНЕН</v>
      </c>
      <c r="M1345" s="7">
        <f t="shared" si="83"/>
        <v>0</v>
      </c>
    </row>
    <row r="1346" spans="1:13" x14ac:dyDescent="0.25">
      <c r="A1346" s="1">
        <v>945281</v>
      </c>
      <c r="B1346" s="6" t="s">
        <v>1458</v>
      </c>
      <c r="F1346" s="6" t="s">
        <v>9</v>
      </c>
      <c r="G1346" s="6" t="s">
        <v>62</v>
      </c>
      <c r="H1346" s="9" t="s">
        <v>63</v>
      </c>
      <c r="I1346" s="7" t="str">
        <f t="shared" si="80"/>
        <v>61001006002</v>
      </c>
      <c r="J1346" s="7" t="str">
        <f t="shared" si="81"/>
        <v>Материал по ЕГРН</v>
      </c>
      <c r="K1346" s="7">
        <f>VLOOKUP(J1346,Лист2!A$2:B$4,2,FALSE)</f>
        <v>792</v>
      </c>
      <c r="L1346" s="7" t="str">
        <f t="shared" si="82"/>
        <v>ГОТОВ_ИЗМЕНЕН</v>
      </c>
      <c r="M1346" s="7">
        <f t="shared" si="83"/>
        <v>0</v>
      </c>
    </row>
    <row r="1347" spans="1:13" x14ac:dyDescent="0.25">
      <c r="A1347" s="1">
        <v>945293</v>
      </c>
      <c r="B1347" s="6" t="s">
        <v>1459</v>
      </c>
      <c r="F1347" s="6" t="s">
        <v>9</v>
      </c>
      <c r="G1347" s="6" t="s">
        <v>59</v>
      </c>
      <c r="H1347" s="9" t="s">
        <v>60</v>
      </c>
      <c r="I1347" s="7" t="str">
        <f t="shared" si="80"/>
        <v>61001001001</v>
      </c>
      <c r="J1347" s="7" t="str">
        <f t="shared" si="81"/>
        <v>Материал по ЕГРН</v>
      </c>
      <c r="K1347" s="7">
        <f>VLOOKUP(J1347,Лист2!A$2:B$4,2,FALSE)</f>
        <v>792</v>
      </c>
      <c r="L1347" s="7" t="str">
        <f t="shared" si="82"/>
        <v>ГОТОВ_ИЗМЕНЕН</v>
      </c>
      <c r="M1347" s="7">
        <f t="shared" si="83"/>
        <v>0</v>
      </c>
    </row>
    <row r="1348" spans="1:13" x14ac:dyDescent="0.25">
      <c r="A1348" s="1">
        <v>945305</v>
      </c>
      <c r="B1348" s="6" t="s">
        <v>1460</v>
      </c>
      <c r="F1348" s="6" t="s">
        <v>9</v>
      </c>
      <c r="G1348" s="6" t="s">
        <v>34</v>
      </c>
      <c r="H1348" s="9" t="s">
        <v>35</v>
      </c>
      <c r="I1348" s="7" t="str">
        <f t="shared" si="80"/>
        <v>61001002000</v>
      </c>
      <c r="J1348" s="7" t="str">
        <f t="shared" si="81"/>
        <v>Материал по ЕГРН</v>
      </c>
      <c r="K1348" s="7">
        <f>VLOOKUP(J1348,Лист2!A$2:B$4,2,FALSE)</f>
        <v>792</v>
      </c>
      <c r="L1348" s="7" t="str">
        <f t="shared" si="82"/>
        <v>ГОТОВ_ИЗМЕНЕН</v>
      </c>
      <c r="M1348" s="7">
        <f t="shared" si="83"/>
        <v>0</v>
      </c>
    </row>
    <row r="1349" spans="1:13" x14ac:dyDescent="0.25">
      <c r="A1349" s="1">
        <v>945317</v>
      </c>
      <c r="B1349" s="6" t="s">
        <v>1461</v>
      </c>
      <c r="F1349" s="6" t="s">
        <v>9</v>
      </c>
      <c r="G1349" s="6" t="s">
        <v>38</v>
      </c>
      <c r="H1349" s="9" t="s">
        <v>33</v>
      </c>
      <c r="I1349" s="7" t="str">
        <f t="shared" ref="I1349:I1412" si="84">IF(LEN(H1349)=11,H1349,IF(LEN(H1349)=0,"61001005000","61001003000"))</f>
        <v>61001005000</v>
      </c>
      <c r="J1349" s="7" t="str">
        <f t="shared" ref="J1349:J1412" si="85">IF(LEN(H1349)=11,"Материал по ЕГРН",IF(LEN(H1349)=0,"Прочие по допущению","Смешанные по допущению"))</f>
        <v>Материал по ЕГРН</v>
      </c>
      <c r="K1349" s="7">
        <f>VLOOKUP(J1349,Лист2!A$2:B$4,2,FALSE)</f>
        <v>792</v>
      </c>
      <c r="L1349" s="7" t="str">
        <f t="shared" ref="L1349:L1412" si="86">IF(I1349=C1349,"ГОТОВ","ГОТОВ_ИЗМЕНЕН")</f>
        <v>ГОТОВ_ИЗМЕНЕН</v>
      </c>
      <c r="M1349" s="7">
        <f t="shared" ref="M1349:M1412" si="87">C1349</f>
        <v>0</v>
      </c>
    </row>
    <row r="1350" spans="1:13" x14ac:dyDescent="0.25">
      <c r="A1350" s="1">
        <v>945329</v>
      </c>
      <c r="B1350" s="6" t="s">
        <v>1462</v>
      </c>
      <c r="F1350" s="6" t="s">
        <v>9</v>
      </c>
      <c r="G1350" s="6" t="s">
        <v>38</v>
      </c>
      <c r="H1350" s="9" t="s">
        <v>33</v>
      </c>
      <c r="I1350" s="7" t="str">
        <f t="shared" si="84"/>
        <v>61001005000</v>
      </c>
      <c r="J1350" s="7" t="str">
        <f t="shared" si="85"/>
        <v>Материал по ЕГРН</v>
      </c>
      <c r="K1350" s="7">
        <f>VLOOKUP(J1350,Лист2!A$2:B$4,2,FALSE)</f>
        <v>792</v>
      </c>
      <c r="L1350" s="7" t="str">
        <f t="shared" si="86"/>
        <v>ГОТОВ_ИЗМЕНЕН</v>
      </c>
      <c r="M1350" s="7">
        <f t="shared" si="87"/>
        <v>0</v>
      </c>
    </row>
    <row r="1351" spans="1:13" x14ac:dyDescent="0.25">
      <c r="A1351" s="1">
        <v>945341</v>
      </c>
      <c r="B1351" s="6" t="s">
        <v>1463</v>
      </c>
      <c r="F1351" s="6" t="s">
        <v>9</v>
      </c>
      <c r="G1351" s="6" t="s">
        <v>34</v>
      </c>
      <c r="H1351" s="9" t="s">
        <v>35</v>
      </c>
      <c r="I1351" s="7" t="str">
        <f t="shared" si="84"/>
        <v>61001002000</v>
      </c>
      <c r="J1351" s="7" t="str">
        <f t="shared" si="85"/>
        <v>Материал по ЕГРН</v>
      </c>
      <c r="K1351" s="7">
        <f>VLOOKUP(J1351,Лист2!A$2:B$4,2,FALSE)</f>
        <v>792</v>
      </c>
      <c r="L1351" s="7" t="str">
        <f t="shared" si="86"/>
        <v>ГОТОВ_ИЗМЕНЕН</v>
      </c>
      <c r="M1351" s="7">
        <f t="shared" si="87"/>
        <v>0</v>
      </c>
    </row>
    <row r="1352" spans="1:13" x14ac:dyDescent="0.25">
      <c r="A1352" s="1">
        <v>945353</v>
      </c>
      <c r="B1352" s="6" t="s">
        <v>1464</v>
      </c>
      <c r="F1352" s="6" t="s">
        <v>9</v>
      </c>
      <c r="G1352" s="6" t="s">
        <v>38</v>
      </c>
      <c r="H1352" s="9" t="s">
        <v>33</v>
      </c>
      <c r="I1352" s="7" t="str">
        <f t="shared" si="84"/>
        <v>61001005000</v>
      </c>
      <c r="J1352" s="7" t="str">
        <f t="shared" si="85"/>
        <v>Материал по ЕГРН</v>
      </c>
      <c r="K1352" s="7">
        <f>VLOOKUP(J1352,Лист2!A$2:B$4,2,FALSE)</f>
        <v>792</v>
      </c>
      <c r="L1352" s="7" t="str">
        <f t="shared" si="86"/>
        <v>ГОТОВ_ИЗМЕНЕН</v>
      </c>
      <c r="M1352" s="7">
        <f t="shared" si="87"/>
        <v>0</v>
      </c>
    </row>
    <row r="1353" spans="1:13" x14ac:dyDescent="0.25">
      <c r="A1353" s="1">
        <v>945365</v>
      </c>
      <c r="B1353" s="6" t="s">
        <v>1465</v>
      </c>
      <c r="F1353" s="6" t="s">
        <v>9</v>
      </c>
      <c r="G1353" s="6" t="s">
        <v>38</v>
      </c>
      <c r="H1353" s="9" t="s">
        <v>33</v>
      </c>
      <c r="I1353" s="7" t="str">
        <f t="shared" si="84"/>
        <v>61001005000</v>
      </c>
      <c r="J1353" s="7" t="str">
        <f t="shared" si="85"/>
        <v>Материал по ЕГРН</v>
      </c>
      <c r="K1353" s="7">
        <f>VLOOKUP(J1353,Лист2!A$2:B$4,2,FALSE)</f>
        <v>792</v>
      </c>
      <c r="L1353" s="7" t="str">
        <f t="shared" si="86"/>
        <v>ГОТОВ_ИЗМЕНЕН</v>
      </c>
      <c r="M1353" s="7">
        <f t="shared" si="87"/>
        <v>0</v>
      </c>
    </row>
    <row r="1354" spans="1:13" x14ac:dyDescent="0.25">
      <c r="A1354" s="1">
        <v>945377</v>
      </c>
      <c r="B1354" s="6" t="s">
        <v>1466</v>
      </c>
      <c r="F1354" s="6" t="s">
        <v>9</v>
      </c>
      <c r="G1354" s="6" t="s">
        <v>38</v>
      </c>
      <c r="H1354" s="9" t="s">
        <v>33</v>
      </c>
      <c r="I1354" s="7" t="str">
        <f t="shared" si="84"/>
        <v>61001005000</v>
      </c>
      <c r="J1354" s="7" t="str">
        <f t="shared" si="85"/>
        <v>Материал по ЕГРН</v>
      </c>
      <c r="K1354" s="7">
        <f>VLOOKUP(J1354,Лист2!A$2:B$4,2,FALSE)</f>
        <v>792</v>
      </c>
      <c r="L1354" s="7" t="str">
        <f t="shared" si="86"/>
        <v>ГОТОВ_ИЗМЕНЕН</v>
      </c>
      <c r="M1354" s="7">
        <f t="shared" si="87"/>
        <v>0</v>
      </c>
    </row>
    <row r="1355" spans="1:13" x14ac:dyDescent="0.25">
      <c r="A1355" s="1">
        <v>945389</v>
      </c>
      <c r="B1355" s="6" t="s">
        <v>1467</v>
      </c>
      <c r="F1355" s="6" t="s">
        <v>9</v>
      </c>
      <c r="G1355" s="6" t="s">
        <v>34</v>
      </c>
      <c r="H1355" s="9" t="s">
        <v>35</v>
      </c>
      <c r="I1355" s="7" t="str">
        <f t="shared" si="84"/>
        <v>61001002000</v>
      </c>
      <c r="J1355" s="7" t="str">
        <f t="shared" si="85"/>
        <v>Материал по ЕГРН</v>
      </c>
      <c r="K1355" s="7">
        <f>VLOOKUP(J1355,Лист2!A$2:B$4,2,FALSE)</f>
        <v>792</v>
      </c>
      <c r="L1355" s="7" t="str">
        <f t="shared" si="86"/>
        <v>ГОТОВ_ИЗМЕНЕН</v>
      </c>
      <c r="M1355" s="7">
        <f t="shared" si="87"/>
        <v>0</v>
      </c>
    </row>
    <row r="1356" spans="1:13" x14ac:dyDescent="0.25">
      <c r="A1356" s="1">
        <v>945401</v>
      </c>
      <c r="B1356" s="6" t="s">
        <v>1468</v>
      </c>
      <c r="F1356" s="6" t="s">
        <v>9</v>
      </c>
      <c r="G1356" s="6" t="s">
        <v>38</v>
      </c>
      <c r="H1356" s="9" t="s">
        <v>33</v>
      </c>
      <c r="I1356" s="7" t="str">
        <f t="shared" si="84"/>
        <v>61001005000</v>
      </c>
      <c r="J1356" s="7" t="str">
        <f t="shared" si="85"/>
        <v>Материал по ЕГРН</v>
      </c>
      <c r="K1356" s="7">
        <f>VLOOKUP(J1356,Лист2!A$2:B$4,2,FALSE)</f>
        <v>792</v>
      </c>
      <c r="L1356" s="7" t="str">
        <f t="shared" si="86"/>
        <v>ГОТОВ_ИЗМЕНЕН</v>
      </c>
      <c r="M1356" s="7">
        <f t="shared" si="87"/>
        <v>0</v>
      </c>
    </row>
    <row r="1357" spans="1:13" x14ac:dyDescent="0.25">
      <c r="A1357" s="1">
        <v>945413</v>
      </c>
      <c r="B1357" s="6" t="s">
        <v>1469</v>
      </c>
      <c r="F1357" s="6" t="s">
        <v>9</v>
      </c>
      <c r="G1357" s="6" t="s">
        <v>38</v>
      </c>
      <c r="H1357" s="9" t="s">
        <v>33</v>
      </c>
      <c r="I1357" s="7" t="str">
        <f t="shared" si="84"/>
        <v>61001005000</v>
      </c>
      <c r="J1357" s="7" t="str">
        <f t="shared" si="85"/>
        <v>Материал по ЕГРН</v>
      </c>
      <c r="K1357" s="7">
        <f>VLOOKUP(J1357,Лист2!A$2:B$4,2,FALSE)</f>
        <v>792</v>
      </c>
      <c r="L1357" s="7" t="str">
        <f t="shared" si="86"/>
        <v>ГОТОВ_ИЗМЕНЕН</v>
      </c>
      <c r="M1357" s="7">
        <f t="shared" si="87"/>
        <v>0</v>
      </c>
    </row>
    <row r="1358" spans="1:13" x14ac:dyDescent="0.25">
      <c r="A1358" s="1">
        <v>945425</v>
      </c>
      <c r="B1358" s="6" t="s">
        <v>1470</v>
      </c>
      <c r="F1358" s="6" t="s">
        <v>9</v>
      </c>
      <c r="G1358" s="6" t="s">
        <v>59</v>
      </c>
      <c r="H1358" s="9" t="s">
        <v>60</v>
      </c>
      <c r="I1358" s="7" t="str">
        <f t="shared" si="84"/>
        <v>61001001001</v>
      </c>
      <c r="J1358" s="7" t="str">
        <f t="shared" si="85"/>
        <v>Материал по ЕГРН</v>
      </c>
      <c r="K1358" s="7">
        <f>VLOOKUP(J1358,Лист2!A$2:B$4,2,FALSE)</f>
        <v>792</v>
      </c>
      <c r="L1358" s="7" t="str">
        <f t="shared" si="86"/>
        <v>ГОТОВ_ИЗМЕНЕН</v>
      </c>
      <c r="M1358" s="7">
        <f t="shared" si="87"/>
        <v>0</v>
      </c>
    </row>
    <row r="1359" spans="1:13" x14ac:dyDescent="0.25">
      <c r="A1359" s="1">
        <v>945437</v>
      </c>
      <c r="B1359" s="6" t="s">
        <v>1471</v>
      </c>
      <c r="F1359" s="6" t="s">
        <v>9</v>
      </c>
      <c r="G1359" s="6" t="s">
        <v>10</v>
      </c>
      <c r="H1359" s="9" t="s">
        <v>11</v>
      </c>
      <c r="I1359" s="7" t="str">
        <f t="shared" si="84"/>
        <v>61001003000</v>
      </c>
      <c r="J1359" s="7" t="str">
        <f t="shared" si="85"/>
        <v>Материал по ЕГРН</v>
      </c>
      <c r="K1359" s="7">
        <f>VLOOKUP(J1359,Лист2!A$2:B$4,2,FALSE)</f>
        <v>792</v>
      </c>
      <c r="L1359" s="7" t="str">
        <f t="shared" si="86"/>
        <v>ГОТОВ_ИЗМЕНЕН</v>
      </c>
      <c r="M1359" s="7">
        <f t="shared" si="87"/>
        <v>0</v>
      </c>
    </row>
    <row r="1360" spans="1:13" x14ac:dyDescent="0.25">
      <c r="A1360" s="1">
        <v>945449</v>
      </c>
      <c r="B1360" s="6" t="s">
        <v>1472</v>
      </c>
      <c r="F1360" s="6" t="s">
        <v>9</v>
      </c>
      <c r="G1360" s="6" t="s">
        <v>38</v>
      </c>
      <c r="H1360" s="9" t="s">
        <v>33</v>
      </c>
      <c r="I1360" s="7" t="str">
        <f t="shared" si="84"/>
        <v>61001005000</v>
      </c>
      <c r="J1360" s="7" t="str">
        <f t="shared" si="85"/>
        <v>Материал по ЕГРН</v>
      </c>
      <c r="K1360" s="7">
        <f>VLOOKUP(J1360,Лист2!A$2:B$4,2,FALSE)</f>
        <v>792</v>
      </c>
      <c r="L1360" s="7" t="str">
        <f t="shared" si="86"/>
        <v>ГОТОВ_ИЗМЕНЕН</v>
      </c>
      <c r="M1360" s="7">
        <f t="shared" si="87"/>
        <v>0</v>
      </c>
    </row>
    <row r="1361" spans="1:13" x14ac:dyDescent="0.25">
      <c r="A1361" s="1">
        <v>945461</v>
      </c>
      <c r="B1361" s="6" t="s">
        <v>1473</v>
      </c>
      <c r="F1361" s="6" t="s">
        <v>9</v>
      </c>
      <c r="G1361" s="6" t="s">
        <v>59</v>
      </c>
      <c r="H1361" s="9" t="s">
        <v>60</v>
      </c>
      <c r="I1361" s="7" t="str">
        <f t="shared" si="84"/>
        <v>61001001001</v>
      </c>
      <c r="J1361" s="7" t="str">
        <f t="shared" si="85"/>
        <v>Материал по ЕГРН</v>
      </c>
      <c r="K1361" s="7">
        <f>VLOOKUP(J1361,Лист2!A$2:B$4,2,FALSE)</f>
        <v>792</v>
      </c>
      <c r="L1361" s="7" t="str">
        <f t="shared" si="86"/>
        <v>ГОТОВ_ИЗМЕНЕН</v>
      </c>
      <c r="M1361" s="7">
        <f t="shared" si="87"/>
        <v>0</v>
      </c>
    </row>
    <row r="1362" spans="1:13" x14ac:dyDescent="0.25">
      <c r="A1362" s="1">
        <v>945473</v>
      </c>
      <c r="B1362" s="6" t="s">
        <v>1474</v>
      </c>
      <c r="F1362" s="6" t="s">
        <v>9</v>
      </c>
      <c r="G1362" s="6" t="s">
        <v>38</v>
      </c>
      <c r="H1362" s="9" t="s">
        <v>33</v>
      </c>
      <c r="I1362" s="7" t="str">
        <f t="shared" si="84"/>
        <v>61001005000</v>
      </c>
      <c r="J1362" s="7" t="str">
        <f t="shared" si="85"/>
        <v>Материал по ЕГРН</v>
      </c>
      <c r="K1362" s="7">
        <f>VLOOKUP(J1362,Лист2!A$2:B$4,2,FALSE)</f>
        <v>792</v>
      </c>
      <c r="L1362" s="7" t="str">
        <f t="shared" si="86"/>
        <v>ГОТОВ_ИЗМЕНЕН</v>
      </c>
      <c r="M1362" s="7">
        <f t="shared" si="87"/>
        <v>0</v>
      </c>
    </row>
    <row r="1363" spans="1:13" x14ac:dyDescent="0.25">
      <c r="A1363" s="1">
        <v>945485</v>
      </c>
      <c r="B1363" s="6" t="s">
        <v>1475</v>
      </c>
      <c r="F1363" s="6" t="s">
        <v>9</v>
      </c>
      <c r="G1363" s="6" t="s">
        <v>59</v>
      </c>
      <c r="H1363" s="9" t="s">
        <v>60</v>
      </c>
      <c r="I1363" s="7" t="str">
        <f t="shared" si="84"/>
        <v>61001001001</v>
      </c>
      <c r="J1363" s="7" t="str">
        <f t="shared" si="85"/>
        <v>Материал по ЕГРН</v>
      </c>
      <c r="K1363" s="7">
        <f>VLOOKUP(J1363,Лист2!A$2:B$4,2,FALSE)</f>
        <v>792</v>
      </c>
      <c r="L1363" s="7" t="str">
        <f t="shared" si="86"/>
        <v>ГОТОВ_ИЗМЕНЕН</v>
      </c>
      <c r="M1363" s="7">
        <f t="shared" si="87"/>
        <v>0</v>
      </c>
    </row>
    <row r="1364" spans="1:13" x14ac:dyDescent="0.25">
      <c r="A1364" s="1">
        <v>295957</v>
      </c>
      <c r="B1364" s="6" t="s">
        <v>1476</v>
      </c>
      <c r="C1364" s="9" t="s">
        <v>42</v>
      </c>
      <c r="D1364" s="6" t="s">
        <v>20</v>
      </c>
      <c r="E1364" s="6" t="s">
        <v>37</v>
      </c>
      <c r="F1364" s="6" t="s">
        <v>9</v>
      </c>
      <c r="G1364" s="6" t="s">
        <v>43</v>
      </c>
      <c r="H1364" s="9" t="s">
        <v>42</v>
      </c>
      <c r="I1364" s="7" t="str">
        <f t="shared" si="84"/>
        <v>61001002001</v>
      </c>
      <c r="J1364" s="7" t="str">
        <f t="shared" si="85"/>
        <v>Материал по ЕГРН</v>
      </c>
      <c r="K1364" s="7">
        <f>VLOOKUP(J1364,Лист2!A$2:B$4,2,FALSE)</f>
        <v>792</v>
      </c>
      <c r="L1364" s="7" t="str">
        <f t="shared" si="86"/>
        <v>ГОТОВ</v>
      </c>
      <c r="M1364" s="7" t="str">
        <f t="shared" si="87"/>
        <v>61001002001</v>
      </c>
    </row>
    <row r="1365" spans="1:13" x14ac:dyDescent="0.25">
      <c r="A1365" s="1">
        <v>732966</v>
      </c>
      <c r="B1365" s="6" t="s">
        <v>1477</v>
      </c>
      <c r="C1365" s="9" t="s">
        <v>33</v>
      </c>
      <c r="D1365" s="6" t="s">
        <v>20</v>
      </c>
      <c r="E1365" s="6" t="s">
        <v>37</v>
      </c>
      <c r="F1365" s="6" t="s">
        <v>9</v>
      </c>
      <c r="G1365" s="6" t="s">
        <v>38</v>
      </c>
      <c r="H1365" s="9" t="s">
        <v>33</v>
      </c>
      <c r="I1365" s="7" t="str">
        <f t="shared" si="84"/>
        <v>61001005000</v>
      </c>
      <c r="J1365" s="7" t="str">
        <f t="shared" si="85"/>
        <v>Материал по ЕГРН</v>
      </c>
      <c r="K1365" s="7">
        <f>VLOOKUP(J1365,Лист2!A$2:B$4,2,FALSE)</f>
        <v>792</v>
      </c>
      <c r="L1365" s="7" t="str">
        <f t="shared" si="86"/>
        <v>ГОТОВ</v>
      </c>
      <c r="M1365" s="7" t="str">
        <f t="shared" si="87"/>
        <v>61001005000</v>
      </c>
    </row>
    <row r="1366" spans="1:13" x14ac:dyDescent="0.25">
      <c r="A1366" s="1">
        <v>845233</v>
      </c>
      <c r="B1366" s="6" t="s">
        <v>1478</v>
      </c>
      <c r="C1366" s="9" t="s">
        <v>12</v>
      </c>
      <c r="D1366" s="6" t="s">
        <v>20</v>
      </c>
      <c r="E1366" s="6" t="s">
        <v>37</v>
      </c>
      <c r="F1366" s="6" t="s">
        <v>9</v>
      </c>
      <c r="G1366" s="6" t="s">
        <v>90</v>
      </c>
      <c r="H1366" s="9" t="s">
        <v>12</v>
      </c>
      <c r="I1366" s="7" t="str">
        <f t="shared" si="84"/>
        <v>61001008000</v>
      </c>
      <c r="J1366" s="7" t="str">
        <f t="shared" si="85"/>
        <v>Материал по ЕГРН</v>
      </c>
      <c r="K1366" s="7">
        <f>VLOOKUP(J1366,Лист2!A$2:B$4,2,FALSE)</f>
        <v>792</v>
      </c>
      <c r="L1366" s="7" t="str">
        <f t="shared" si="86"/>
        <v>ГОТОВ</v>
      </c>
      <c r="M1366" s="7" t="str">
        <f t="shared" si="87"/>
        <v>61001008000</v>
      </c>
    </row>
    <row r="1367" spans="1:13" x14ac:dyDescent="0.25">
      <c r="A1367" s="1">
        <v>943630</v>
      </c>
      <c r="B1367" s="6" t="s">
        <v>1479</v>
      </c>
      <c r="F1367" s="6" t="s">
        <v>9</v>
      </c>
      <c r="G1367" s="6" t="s">
        <v>38</v>
      </c>
      <c r="H1367" s="9" t="s">
        <v>33</v>
      </c>
      <c r="I1367" s="7" t="str">
        <f t="shared" si="84"/>
        <v>61001005000</v>
      </c>
      <c r="J1367" s="7" t="str">
        <f t="shared" si="85"/>
        <v>Материал по ЕГРН</v>
      </c>
      <c r="K1367" s="7">
        <f>VLOOKUP(J1367,Лист2!A$2:B$4,2,FALSE)</f>
        <v>792</v>
      </c>
      <c r="L1367" s="7" t="str">
        <f t="shared" si="86"/>
        <v>ГОТОВ_ИЗМЕНЕН</v>
      </c>
      <c r="M1367" s="7">
        <f t="shared" si="87"/>
        <v>0</v>
      </c>
    </row>
    <row r="1368" spans="1:13" x14ac:dyDescent="0.25">
      <c r="A1368" s="1">
        <v>943642</v>
      </c>
      <c r="B1368" s="6" t="s">
        <v>1480</v>
      </c>
      <c r="F1368" s="6" t="s">
        <v>9</v>
      </c>
      <c r="G1368" s="6" t="s">
        <v>34</v>
      </c>
      <c r="H1368" s="9" t="s">
        <v>35</v>
      </c>
      <c r="I1368" s="7" t="str">
        <f t="shared" si="84"/>
        <v>61001002000</v>
      </c>
      <c r="J1368" s="7" t="str">
        <f t="shared" si="85"/>
        <v>Материал по ЕГРН</v>
      </c>
      <c r="K1368" s="7">
        <f>VLOOKUP(J1368,Лист2!A$2:B$4,2,FALSE)</f>
        <v>792</v>
      </c>
      <c r="L1368" s="7" t="str">
        <f t="shared" si="86"/>
        <v>ГОТОВ_ИЗМЕНЕН</v>
      </c>
      <c r="M1368" s="7">
        <f t="shared" si="87"/>
        <v>0</v>
      </c>
    </row>
    <row r="1369" spans="1:13" x14ac:dyDescent="0.25">
      <c r="A1369" s="1">
        <v>943654</v>
      </c>
      <c r="B1369" s="6" t="s">
        <v>1481</v>
      </c>
      <c r="F1369" s="6" t="s">
        <v>9</v>
      </c>
      <c r="G1369" s="6" t="s">
        <v>170</v>
      </c>
      <c r="H1369" s="9" t="s">
        <v>171</v>
      </c>
      <c r="I1369" s="7" t="str">
        <f t="shared" si="84"/>
        <v>61001001000</v>
      </c>
      <c r="J1369" s="7" t="str">
        <f t="shared" si="85"/>
        <v>Материал по ЕГРН</v>
      </c>
      <c r="K1369" s="7">
        <f>VLOOKUP(J1369,Лист2!A$2:B$4,2,FALSE)</f>
        <v>792</v>
      </c>
      <c r="L1369" s="7" t="str">
        <f t="shared" si="86"/>
        <v>ГОТОВ_ИЗМЕНЕН</v>
      </c>
      <c r="M1369" s="7">
        <f t="shared" si="87"/>
        <v>0</v>
      </c>
    </row>
    <row r="1370" spans="1:13" x14ac:dyDescent="0.25">
      <c r="A1370" s="1">
        <v>943666</v>
      </c>
      <c r="B1370" s="6" t="s">
        <v>1482</v>
      </c>
      <c r="F1370" s="6" t="s">
        <v>9</v>
      </c>
      <c r="G1370" s="6" t="s">
        <v>90</v>
      </c>
      <c r="H1370" s="9" t="s">
        <v>12</v>
      </c>
      <c r="I1370" s="7" t="str">
        <f t="shared" si="84"/>
        <v>61001008000</v>
      </c>
      <c r="J1370" s="7" t="str">
        <f t="shared" si="85"/>
        <v>Материал по ЕГРН</v>
      </c>
      <c r="K1370" s="7">
        <f>VLOOKUP(J1370,Лист2!A$2:B$4,2,FALSE)</f>
        <v>792</v>
      </c>
      <c r="L1370" s="7" t="str">
        <f t="shared" si="86"/>
        <v>ГОТОВ_ИЗМЕНЕН</v>
      </c>
      <c r="M1370" s="7">
        <f t="shared" si="87"/>
        <v>0</v>
      </c>
    </row>
    <row r="1371" spans="1:13" x14ac:dyDescent="0.25">
      <c r="A1371" s="1">
        <v>943678</v>
      </c>
      <c r="B1371" s="6" t="s">
        <v>1483</v>
      </c>
      <c r="F1371" s="6" t="s">
        <v>9</v>
      </c>
      <c r="G1371" s="6" t="s">
        <v>10</v>
      </c>
      <c r="H1371" s="9" t="s">
        <v>11</v>
      </c>
      <c r="I1371" s="7" t="str">
        <f t="shared" si="84"/>
        <v>61001003000</v>
      </c>
      <c r="J1371" s="7" t="str">
        <f t="shared" si="85"/>
        <v>Материал по ЕГРН</v>
      </c>
      <c r="K1371" s="7">
        <f>VLOOKUP(J1371,Лист2!A$2:B$4,2,FALSE)</f>
        <v>792</v>
      </c>
      <c r="L1371" s="7" t="str">
        <f t="shared" si="86"/>
        <v>ГОТОВ_ИЗМЕНЕН</v>
      </c>
      <c r="M1371" s="7">
        <f t="shared" si="87"/>
        <v>0</v>
      </c>
    </row>
    <row r="1372" spans="1:13" x14ac:dyDescent="0.25">
      <c r="A1372" s="1">
        <v>943690</v>
      </c>
      <c r="B1372" s="6" t="s">
        <v>1484</v>
      </c>
      <c r="F1372" s="6" t="s">
        <v>9</v>
      </c>
      <c r="G1372" s="6" t="s">
        <v>86</v>
      </c>
      <c r="H1372" s="9" t="s">
        <v>87</v>
      </c>
      <c r="I1372" s="7" t="str">
        <f t="shared" si="84"/>
        <v>61001003000</v>
      </c>
      <c r="J1372" s="7" t="str">
        <f t="shared" si="85"/>
        <v>Смешанные по допущению</v>
      </c>
      <c r="K1372" s="7">
        <f>VLOOKUP(J1372,Лист2!A$2:B$4,2,FALSE)</f>
        <v>793</v>
      </c>
      <c r="L1372" s="7" t="str">
        <f t="shared" si="86"/>
        <v>ГОТОВ_ИЗМЕНЕН</v>
      </c>
      <c r="M1372" s="7">
        <f t="shared" si="87"/>
        <v>0</v>
      </c>
    </row>
    <row r="1373" spans="1:13" x14ac:dyDescent="0.25">
      <c r="A1373" s="1">
        <v>943702</v>
      </c>
      <c r="B1373" s="6" t="s">
        <v>1485</v>
      </c>
      <c r="F1373" s="6" t="s">
        <v>9</v>
      </c>
      <c r="G1373" s="6" t="s">
        <v>139</v>
      </c>
      <c r="H1373" s="9" t="s">
        <v>140</v>
      </c>
      <c r="I1373" s="7" t="str">
        <f t="shared" si="84"/>
        <v>61001999000</v>
      </c>
      <c r="J1373" s="7" t="str">
        <f t="shared" si="85"/>
        <v>Материал по ЕГРН</v>
      </c>
      <c r="K1373" s="7">
        <f>VLOOKUP(J1373,Лист2!A$2:B$4,2,FALSE)</f>
        <v>792</v>
      </c>
      <c r="L1373" s="7" t="str">
        <f t="shared" si="86"/>
        <v>ГОТОВ_ИЗМЕНЕН</v>
      </c>
      <c r="M1373" s="7">
        <f t="shared" si="87"/>
        <v>0</v>
      </c>
    </row>
    <row r="1374" spans="1:13" x14ac:dyDescent="0.25">
      <c r="A1374" s="1">
        <v>943714</v>
      </c>
      <c r="B1374" s="6" t="s">
        <v>1486</v>
      </c>
      <c r="F1374" s="6" t="s">
        <v>9</v>
      </c>
      <c r="G1374" s="6" t="s">
        <v>34</v>
      </c>
      <c r="H1374" s="9" t="s">
        <v>35</v>
      </c>
      <c r="I1374" s="7" t="str">
        <f t="shared" si="84"/>
        <v>61001002000</v>
      </c>
      <c r="J1374" s="7" t="str">
        <f t="shared" si="85"/>
        <v>Материал по ЕГРН</v>
      </c>
      <c r="K1374" s="7">
        <f>VLOOKUP(J1374,Лист2!A$2:B$4,2,FALSE)</f>
        <v>792</v>
      </c>
      <c r="L1374" s="7" t="str">
        <f t="shared" si="86"/>
        <v>ГОТОВ_ИЗМЕНЕН</v>
      </c>
      <c r="M1374" s="7">
        <f t="shared" si="87"/>
        <v>0</v>
      </c>
    </row>
    <row r="1375" spans="1:13" x14ac:dyDescent="0.25">
      <c r="A1375" s="1">
        <v>943726</v>
      </c>
      <c r="B1375" s="6" t="s">
        <v>1487</v>
      </c>
      <c r="F1375" s="6" t="s">
        <v>9</v>
      </c>
      <c r="G1375" s="6" t="s">
        <v>34</v>
      </c>
      <c r="H1375" s="9" t="s">
        <v>35</v>
      </c>
      <c r="I1375" s="7" t="str">
        <f t="shared" si="84"/>
        <v>61001002000</v>
      </c>
      <c r="J1375" s="7" t="str">
        <f t="shared" si="85"/>
        <v>Материал по ЕГРН</v>
      </c>
      <c r="K1375" s="7">
        <f>VLOOKUP(J1375,Лист2!A$2:B$4,2,FALSE)</f>
        <v>792</v>
      </c>
      <c r="L1375" s="7" t="str">
        <f t="shared" si="86"/>
        <v>ГОТОВ_ИЗМЕНЕН</v>
      </c>
      <c r="M1375" s="7">
        <f t="shared" si="87"/>
        <v>0</v>
      </c>
    </row>
    <row r="1376" spans="1:13" x14ac:dyDescent="0.25">
      <c r="A1376" s="1">
        <v>943738</v>
      </c>
      <c r="B1376" s="6" t="s">
        <v>1488</v>
      </c>
      <c r="F1376" s="6" t="s">
        <v>9</v>
      </c>
      <c r="G1376" s="6" t="s">
        <v>62</v>
      </c>
      <c r="H1376" s="9" t="s">
        <v>63</v>
      </c>
      <c r="I1376" s="7" t="str">
        <f t="shared" si="84"/>
        <v>61001006002</v>
      </c>
      <c r="J1376" s="7" t="str">
        <f t="shared" si="85"/>
        <v>Материал по ЕГРН</v>
      </c>
      <c r="K1376" s="7">
        <f>VLOOKUP(J1376,Лист2!A$2:B$4,2,FALSE)</f>
        <v>792</v>
      </c>
      <c r="L1376" s="7" t="str">
        <f t="shared" si="86"/>
        <v>ГОТОВ_ИЗМЕНЕН</v>
      </c>
      <c r="M1376" s="7">
        <f t="shared" si="87"/>
        <v>0</v>
      </c>
    </row>
    <row r="1377" spans="1:13" x14ac:dyDescent="0.25">
      <c r="A1377" s="1">
        <v>943750</v>
      </c>
      <c r="B1377" s="6" t="s">
        <v>1489</v>
      </c>
      <c r="F1377" s="6" t="s">
        <v>9</v>
      </c>
      <c r="G1377" s="6" t="s">
        <v>38</v>
      </c>
      <c r="H1377" s="9" t="s">
        <v>33</v>
      </c>
      <c r="I1377" s="7" t="str">
        <f t="shared" si="84"/>
        <v>61001005000</v>
      </c>
      <c r="J1377" s="7" t="str">
        <f t="shared" si="85"/>
        <v>Материал по ЕГРН</v>
      </c>
      <c r="K1377" s="7">
        <f>VLOOKUP(J1377,Лист2!A$2:B$4,2,FALSE)</f>
        <v>792</v>
      </c>
      <c r="L1377" s="7" t="str">
        <f t="shared" si="86"/>
        <v>ГОТОВ_ИЗМЕНЕН</v>
      </c>
      <c r="M1377" s="7">
        <f t="shared" si="87"/>
        <v>0</v>
      </c>
    </row>
    <row r="1378" spans="1:13" x14ac:dyDescent="0.25">
      <c r="A1378" s="1">
        <v>943762</v>
      </c>
      <c r="B1378" s="6" t="s">
        <v>1490</v>
      </c>
      <c r="F1378" s="6" t="s">
        <v>9</v>
      </c>
      <c r="G1378" s="6" t="s">
        <v>10</v>
      </c>
      <c r="H1378" s="9" t="s">
        <v>11</v>
      </c>
      <c r="I1378" s="7" t="str">
        <f t="shared" si="84"/>
        <v>61001003000</v>
      </c>
      <c r="J1378" s="7" t="str">
        <f t="shared" si="85"/>
        <v>Материал по ЕГРН</v>
      </c>
      <c r="K1378" s="7">
        <f>VLOOKUP(J1378,Лист2!A$2:B$4,2,FALSE)</f>
        <v>792</v>
      </c>
      <c r="L1378" s="7" t="str">
        <f t="shared" si="86"/>
        <v>ГОТОВ_ИЗМЕНЕН</v>
      </c>
      <c r="M1378" s="7">
        <f t="shared" si="87"/>
        <v>0</v>
      </c>
    </row>
    <row r="1379" spans="1:13" x14ac:dyDescent="0.25">
      <c r="A1379" s="1">
        <v>943774</v>
      </c>
      <c r="B1379" s="6" t="s">
        <v>1491</v>
      </c>
      <c r="F1379" s="6" t="s">
        <v>9</v>
      </c>
      <c r="G1379" s="6" t="s">
        <v>10</v>
      </c>
      <c r="H1379" s="9" t="s">
        <v>11</v>
      </c>
      <c r="I1379" s="7" t="str">
        <f t="shared" si="84"/>
        <v>61001003000</v>
      </c>
      <c r="J1379" s="7" t="str">
        <f t="shared" si="85"/>
        <v>Материал по ЕГРН</v>
      </c>
      <c r="K1379" s="7">
        <f>VLOOKUP(J1379,Лист2!A$2:B$4,2,FALSE)</f>
        <v>792</v>
      </c>
      <c r="L1379" s="7" t="str">
        <f t="shared" si="86"/>
        <v>ГОТОВ_ИЗМЕНЕН</v>
      </c>
      <c r="M1379" s="7">
        <f t="shared" si="87"/>
        <v>0</v>
      </c>
    </row>
    <row r="1380" spans="1:13" x14ac:dyDescent="0.25">
      <c r="A1380" s="1">
        <v>943786</v>
      </c>
      <c r="B1380" s="6" t="s">
        <v>1492</v>
      </c>
      <c r="F1380" s="6" t="s">
        <v>9</v>
      </c>
      <c r="G1380" s="6" t="s">
        <v>90</v>
      </c>
      <c r="H1380" s="9" t="s">
        <v>12</v>
      </c>
      <c r="I1380" s="7" t="str">
        <f t="shared" si="84"/>
        <v>61001008000</v>
      </c>
      <c r="J1380" s="7" t="str">
        <f t="shared" si="85"/>
        <v>Материал по ЕГРН</v>
      </c>
      <c r="K1380" s="7">
        <f>VLOOKUP(J1380,Лист2!A$2:B$4,2,FALSE)</f>
        <v>792</v>
      </c>
      <c r="L1380" s="7" t="str">
        <f t="shared" si="86"/>
        <v>ГОТОВ_ИЗМЕНЕН</v>
      </c>
      <c r="M1380" s="7">
        <f t="shared" si="87"/>
        <v>0</v>
      </c>
    </row>
    <row r="1381" spans="1:13" x14ac:dyDescent="0.25">
      <c r="A1381" s="1">
        <v>943798</v>
      </c>
      <c r="B1381" s="6" t="s">
        <v>1493</v>
      </c>
      <c r="F1381" s="6" t="s">
        <v>9</v>
      </c>
      <c r="G1381" s="6" t="s">
        <v>149</v>
      </c>
      <c r="H1381" s="9" t="s">
        <v>150</v>
      </c>
      <c r="I1381" s="7" t="str">
        <f t="shared" si="84"/>
        <v>61001007000</v>
      </c>
      <c r="J1381" s="7" t="str">
        <f t="shared" si="85"/>
        <v>Материал по ЕГРН</v>
      </c>
      <c r="K1381" s="7">
        <f>VLOOKUP(J1381,Лист2!A$2:B$4,2,FALSE)</f>
        <v>792</v>
      </c>
      <c r="L1381" s="7" t="str">
        <f t="shared" si="86"/>
        <v>ГОТОВ_ИЗМЕНЕН</v>
      </c>
      <c r="M1381" s="7">
        <f t="shared" si="87"/>
        <v>0</v>
      </c>
    </row>
    <row r="1382" spans="1:13" x14ac:dyDescent="0.25">
      <c r="A1382" s="1">
        <v>943810</v>
      </c>
      <c r="B1382" s="6" t="s">
        <v>1494</v>
      </c>
      <c r="F1382" s="6" t="s">
        <v>9</v>
      </c>
      <c r="G1382" s="6" t="s">
        <v>59</v>
      </c>
      <c r="H1382" s="9" t="s">
        <v>60</v>
      </c>
      <c r="I1382" s="7" t="str">
        <f t="shared" si="84"/>
        <v>61001001001</v>
      </c>
      <c r="J1382" s="7" t="str">
        <f t="shared" si="85"/>
        <v>Материал по ЕГРН</v>
      </c>
      <c r="K1382" s="7">
        <f>VLOOKUP(J1382,Лист2!A$2:B$4,2,FALSE)</f>
        <v>792</v>
      </c>
      <c r="L1382" s="7" t="str">
        <f t="shared" si="86"/>
        <v>ГОТОВ_ИЗМЕНЕН</v>
      </c>
      <c r="M1382" s="7">
        <f t="shared" si="87"/>
        <v>0</v>
      </c>
    </row>
    <row r="1383" spans="1:13" x14ac:dyDescent="0.25">
      <c r="A1383" s="1">
        <v>943822</v>
      </c>
      <c r="B1383" s="6" t="s">
        <v>1495</v>
      </c>
      <c r="F1383" s="6" t="s">
        <v>9</v>
      </c>
      <c r="G1383" s="6" t="s">
        <v>38</v>
      </c>
      <c r="H1383" s="9" t="s">
        <v>33</v>
      </c>
      <c r="I1383" s="7" t="str">
        <f t="shared" si="84"/>
        <v>61001005000</v>
      </c>
      <c r="J1383" s="7" t="str">
        <f t="shared" si="85"/>
        <v>Материал по ЕГРН</v>
      </c>
      <c r="K1383" s="7">
        <f>VLOOKUP(J1383,Лист2!A$2:B$4,2,FALSE)</f>
        <v>792</v>
      </c>
      <c r="L1383" s="7" t="str">
        <f t="shared" si="86"/>
        <v>ГОТОВ_ИЗМЕНЕН</v>
      </c>
      <c r="M1383" s="7">
        <f t="shared" si="87"/>
        <v>0</v>
      </c>
    </row>
    <row r="1384" spans="1:13" x14ac:dyDescent="0.25">
      <c r="A1384" s="1">
        <v>943834</v>
      </c>
      <c r="B1384" s="6" t="s">
        <v>1496</v>
      </c>
      <c r="F1384" s="6" t="s">
        <v>9</v>
      </c>
      <c r="G1384" s="6" t="s">
        <v>62</v>
      </c>
      <c r="H1384" s="9" t="s">
        <v>63</v>
      </c>
      <c r="I1384" s="7" t="str">
        <f t="shared" si="84"/>
        <v>61001006002</v>
      </c>
      <c r="J1384" s="7" t="str">
        <f t="shared" si="85"/>
        <v>Материал по ЕГРН</v>
      </c>
      <c r="K1384" s="7">
        <f>VLOOKUP(J1384,Лист2!A$2:B$4,2,FALSE)</f>
        <v>792</v>
      </c>
      <c r="L1384" s="7" t="str">
        <f t="shared" si="86"/>
        <v>ГОТОВ_ИЗМЕНЕН</v>
      </c>
      <c r="M1384" s="7">
        <f t="shared" si="87"/>
        <v>0</v>
      </c>
    </row>
    <row r="1385" spans="1:13" x14ac:dyDescent="0.25">
      <c r="A1385" s="1">
        <v>943846</v>
      </c>
      <c r="B1385" s="6" t="s">
        <v>1497</v>
      </c>
      <c r="F1385" s="6" t="s">
        <v>9</v>
      </c>
      <c r="G1385" s="6" t="s">
        <v>34</v>
      </c>
      <c r="H1385" s="9" t="s">
        <v>35</v>
      </c>
      <c r="I1385" s="7" t="str">
        <f t="shared" si="84"/>
        <v>61001002000</v>
      </c>
      <c r="J1385" s="7" t="str">
        <f t="shared" si="85"/>
        <v>Материал по ЕГРН</v>
      </c>
      <c r="K1385" s="7">
        <f>VLOOKUP(J1385,Лист2!A$2:B$4,2,FALSE)</f>
        <v>792</v>
      </c>
      <c r="L1385" s="7" t="str">
        <f t="shared" si="86"/>
        <v>ГОТОВ_ИЗМЕНЕН</v>
      </c>
      <c r="M1385" s="7">
        <f t="shared" si="87"/>
        <v>0</v>
      </c>
    </row>
    <row r="1386" spans="1:13" x14ac:dyDescent="0.25">
      <c r="A1386" s="1">
        <v>943858</v>
      </c>
      <c r="B1386" s="6" t="s">
        <v>1498</v>
      </c>
      <c r="F1386" s="6" t="s">
        <v>9</v>
      </c>
      <c r="G1386" s="6" t="s">
        <v>38</v>
      </c>
      <c r="H1386" s="9" t="s">
        <v>33</v>
      </c>
      <c r="I1386" s="7" t="str">
        <f t="shared" si="84"/>
        <v>61001005000</v>
      </c>
      <c r="J1386" s="7" t="str">
        <f t="shared" si="85"/>
        <v>Материал по ЕГРН</v>
      </c>
      <c r="K1386" s="7">
        <f>VLOOKUP(J1386,Лист2!A$2:B$4,2,FALSE)</f>
        <v>792</v>
      </c>
      <c r="L1386" s="7" t="str">
        <f t="shared" si="86"/>
        <v>ГОТОВ_ИЗМЕНЕН</v>
      </c>
      <c r="M1386" s="7">
        <f t="shared" si="87"/>
        <v>0</v>
      </c>
    </row>
    <row r="1387" spans="1:13" x14ac:dyDescent="0.25">
      <c r="A1387" s="1">
        <v>943870</v>
      </c>
      <c r="B1387" s="6" t="s">
        <v>1499</v>
      </c>
      <c r="F1387" s="6" t="s">
        <v>9</v>
      </c>
      <c r="G1387" s="6" t="s">
        <v>62</v>
      </c>
      <c r="H1387" s="9" t="s">
        <v>63</v>
      </c>
      <c r="I1387" s="7" t="str">
        <f t="shared" si="84"/>
        <v>61001006002</v>
      </c>
      <c r="J1387" s="7" t="str">
        <f t="shared" si="85"/>
        <v>Материал по ЕГРН</v>
      </c>
      <c r="K1387" s="7">
        <f>VLOOKUP(J1387,Лист2!A$2:B$4,2,FALSE)</f>
        <v>792</v>
      </c>
      <c r="L1387" s="7" t="str">
        <f t="shared" si="86"/>
        <v>ГОТОВ_ИЗМЕНЕН</v>
      </c>
      <c r="M1387" s="7">
        <f t="shared" si="87"/>
        <v>0</v>
      </c>
    </row>
    <row r="1388" spans="1:13" x14ac:dyDescent="0.25">
      <c r="A1388" s="1">
        <v>943882</v>
      </c>
      <c r="B1388" s="6" t="s">
        <v>1500</v>
      </c>
      <c r="F1388" s="6" t="s">
        <v>9</v>
      </c>
      <c r="G1388" s="6" t="s">
        <v>10</v>
      </c>
      <c r="H1388" s="9" t="s">
        <v>11</v>
      </c>
      <c r="I1388" s="7" t="str">
        <f t="shared" si="84"/>
        <v>61001003000</v>
      </c>
      <c r="J1388" s="7" t="str">
        <f t="shared" si="85"/>
        <v>Материал по ЕГРН</v>
      </c>
      <c r="K1388" s="7">
        <f>VLOOKUP(J1388,Лист2!A$2:B$4,2,FALSE)</f>
        <v>792</v>
      </c>
      <c r="L1388" s="7" t="str">
        <f t="shared" si="86"/>
        <v>ГОТОВ_ИЗМЕНЕН</v>
      </c>
      <c r="M1388" s="7">
        <f t="shared" si="87"/>
        <v>0</v>
      </c>
    </row>
    <row r="1389" spans="1:13" x14ac:dyDescent="0.25">
      <c r="A1389" s="1">
        <v>943894</v>
      </c>
      <c r="B1389" s="6" t="s">
        <v>1501</v>
      </c>
      <c r="F1389" s="6" t="s">
        <v>9</v>
      </c>
      <c r="G1389" s="6" t="s">
        <v>38</v>
      </c>
      <c r="H1389" s="9" t="s">
        <v>33</v>
      </c>
      <c r="I1389" s="7" t="str">
        <f t="shared" si="84"/>
        <v>61001005000</v>
      </c>
      <c r="J1389" s="7" t="str">
        <f t="shared" si="85"/>
        <v>Материал по ЕГРН</v>
      </c>
      <c r="K1389" s="7">
        <f>VLOOKUP(J1389,Лист2!A$2:B$4,2,FALSE)</f>
        <v>792</v>
      </c>
      <c r="L1389" s="7" t="str">
        <f t="shared" si="86"/>
        <v>ГОТОВ_ИЗМЕНЕН</v>
      </c>
      <c r="M1389" s="7">
        <f t="shared" si="87"/>
        <v>0</v>
      </c>
    </row>
    <row r="1390" spans="1:13" x14ac:dyDescent="0.25">
      <c r="A1390" s="1">
        <v>943906</v>
      </c>
      <c r="B1390" s="6" t="s">
        <v>1502</v>
      </c>
      <c r="F1390" s="6" t="s">
        <v>9</v>
      </c>
      <c r="G1390" s="6" t="s">
        <v>10</v>
      </c>
      <c r="H1390" s="9" t="s">
        <v>11</v>
      </c>
      <c r="I1390" s="7" t="str">
        <f t="shared" si="84"/>
        <v>61001003000</v>
      </c>
      <c r="J1390" s="7" t="str">
        <f t="shared" si="85"/>
        <v>Материал по ЕГРН</v>
      </c>
      <c r="K1390" s="7">
        <f>VLOOKUP(J1390,Лист2!A$2:B$4,2,FALSE)</f>
        <v>792</v>
      </c>
      <c r="L1390" s="7" t="str">
        <f t="shared" si="86"/>
        <v>ГОТОВ_ИЗМЕНЕН</v>
      </c>
      <c r="M1390" s="7">
        <f t="shared" si="87"/>
        <v>0</v>
      </c>
    </row>
    <row r="1391" spans="1:13" x14ac:dyDescent="0.25">
      <c r="A1391" s="1">
        <v>943918</v>
      </c>
      <c r="B1391" s="6" t="s">
        <v>1503</v>
      </c>
      <c r="F1391" s="6" t="s">
        <v>9</v>
      </c>
      <c r="G1391" s="6" t="s">
        <v>62</v>
      </c>
      <c r="H1391" s="9" t="s">
        <v>63</v>
      </c>
      <c r="I1391" s="7" t="str">
        <f t="shared" si="84"/>
        <v>61001006002</v>
      </c>
      <c r="J1391" s="7" t="str">
        <f t="shared" si="85"/>
        <v>Материал по ЕГРН</v>
      </c>
      <c r="K1391" s="7">
        <f>VLOOKUP(J1391,Лист2!A$2:B$4,2,FALSE)</f>
        <v>792</v>
      </c>
      <c r="L1391" s="7" t="str">
        <f t="shared" si="86"/>
        <v>ГОТОВ_ИЗМЕНЕН</v>
      </c>
      <c r="M1391" s="7">
        <f t="shared" si="87"/>
        <v>0</v>
      </c>
    </row>
    <row r="1392" spans="1:13" x14ac:dyDescent="0.25">
      <c r="A1392" s="1">
        <v>943930</v>
      </c>
      <c r="B1392" s="6" t="s">
        <v>1504</v>
      </c>
      <c r="F1392" s="6" t="s">
        <v>9</v>
      </c>
      <c r="G1392" s="6" t="s">
        <v>10</v>
      </c>
      <c r="H1392" s="9" t="s">
        <v>11</v>
      </c>
      <c r="I1392" s="7" t="str">
        <f t="shared" si="84"/>
        <v>61001003000</v>
      </c>
      <c r="J1392" s="7" t="str">
        <f t="shared" si="85"/>
        <v>Материал по ЕГРН</v>
      </c>
      <c r="K1392" s="7">
        <f>VLOOKUP(J1392,Лист2!A$2:B$4,2,FALSE)</f>
        <v>792</v>
      </c>
      <c r="L1392" s="7" t="str">
        <f t="shared" si="86"/>
        <v>ГОТОВ_ИЗМЕНЕН</v>
      </c>
      <c r="M1392" s="7">
        <f t="shared" si="87"/>
        <v>0</v>
      </c>
    </row>
    <row r="1393" spans="1:13" x14ac:dyDescent="0.25">
      <c r="A1393" s="1">
        <v>943942</v>
      </c>
      <c r="B1393" s="6" t="s">
        <v>1505</v>
      </c>
      <c r="F1393" s="6" t="s">
        <v>9</v>
      </c>
      <c r="G1393" s="6" t="s">
        <v>73</v>
      </c>
      <c r="H1393" s="9" t="s">
        <v>74</v>
      </c>
      <c r="I1393" s="7" t="str">
        <f t="shared" si="84"/>
        <v>61001006000</v>
      </c>
      <c r="J1393" s="7" t="str">
        <f t="shared" si="85"/>
        <v>Материал по ЕГРН</v>
      </c>
      <c r="K1393" s="7">
        <f>VLOOKUP(J1393,Лист2!A$2:B$4,2,FALSE)</f>
        <v>792</v>
      </c>
      <c r="L1393" s="7" t="str">
        <f t="shared" si="86"/>
        <v>ГОТОВ_ИЗМЕНЕН</v>
      </c>
      <c r="M1393" s="7">
        <f t="shared" si="87"/>
        <v>0</v>
      </c>
    </row>
    <row r="1394" spans="1:13" x14ac:dyDescent="0.25">
      <c r="A1394" s="1">
        <v>85990</v>
      </c>
      <c r="B1394" s="6" t="s">
        <v>1506</v>
      </c>
      <c r="C1394" s="9" t="s">
        <v>33</v>
      </c>
      <c r="D1394" s="6" t="s">
        <v>20</v>
      </c>
      <c r="E1394" s="6" t="s">
        <v>37</v>
      </c>
      <c r="F1394" s="6" t="s">
        <v>9</v>
      </c>
      <c r="G1394" s="6" t="s">
        <v>38</v>
      </c>
      <c r="H1394" s="9" t="s">
        <v>33</v>
      </c>
      <c r="I1394" s="7" t="str">
        <f t="shared" si="84"/>
        <v>61001005000</v>
      </c>
      <c r="J1394" s="7" t="str">
        <f t="shared" si="85"/>
        <v>Материал по ЕГРН</v>
      </c>
      <c r="K1394" s="7">
        <f>VLOOKUP(J1394,Лист2!A$2:B$4,2,FALSE)</f>
        <v>792</v>
      </c>
      <c r="L1394" s="7" t="str">
        <f t="shared" si="86"/>
        <v>ГОТОВ</v>
      </c>
      <c r="M1394" s="7" t="str">
        <f t="shared" si="87"/>
        <v>61001005000</v>
      </c>
    </row>
    <row r="1395" spans="1:13" x14ac:dyDescent="0.25">
      <c r="A1395" s="1">
        <v>519259</v>
      </c>
      <c r="B1395" s="6" t="s">
        <v>1507</v>
      </c>
      <c r="C1395" s="9" t="s">
        <v>33</v>
      </c>
      <c r="D1395" s="6" t="s">
        <v>20</v>
      </c>
      <c r="E1395" s="6" t="s">
        <v>37</v>
      </c>
      <c r="F1395" s="6" t="s">
        <v>9</v>
      </c>
      <c r="G1395" s="6" t="s">
        <v>38</v>
      </c>
      <c r="H1395" s="9" t="s">
        <v>33</v>
      </c>
      <c r="I1395" s="7" t="str">
        <f t="shared" si="84"/>
        <v>61001005000</v>
      </c>
      <c r="J1395" s="7" t="str">
        <f t="shared" si="85"/>
        <v>Материал по ЕГРН</v>
      </c>
      <c r="K1395" s="7">
        <f>VLOOKUP(J1395,Лист2!A$2:B$4,2,FALSE)</f>
        <v>792</v>
      </c>
      <c r="L1395" s="7" t="str">
        <f t="shared" si="86"/>
        <v>ГОТОВ</v>
      </c>
      <c r="M1395" s="7" t="str">
        <f t="shared" si="87"/>
        <v>61001005000</v>
      </c>
    </row>
    <row r="1396" spans="1:13" x14ac:dyDescent="0.25">
      <c r="A1396" s="1">
        <v>529434</v>
      </c>
      <c r="B1396" s="6" t="s">
        <v>1508</v>
      </c>
      <c r="C1396" s="9" t="s">
        <v>33</v>
      </c>
      <c r="D1396" s="6" t="s">
        <v>20</v>
      </c>
      <c r="E1396" s="6" t="s">
        <v>37</v>
      </c>
      <c r="F1396" s="6" t="s">
        <v>9</v>
      </c>
      <c r="G1396" s="6" t="s">
        <v>38</v>
      </c>
      <c r="H1396" s="9" t="s">
        <v>33</v>
      </c>
      <c r="I1396" s="7" t="str">
        <f t="shared" si="84"/>
        <v>61001005000</v>
      </c>
      <c r="J1396" s="7" t="str">
        <f t="shared" si="85"/>
        <v>Материал по ЕГРН</v>
      </c>
      <c r="K1396" s="7">
        <f>VLOOKUP(J1396,Лист2!A$2:B$4,2,FALSE)</f>
        <v>792</v>
      </c>
      <c r="L1396" s="7" t="str">
        <f t="shared" si="86"/>
        <v>ГОТОВ</v>
      </c>
      <c r="M1396" s="7" t="str">
        <f t="shared" si="87"/>
        <v>61001005000</v>
      </c>
    </row>
    <row r="1397" spans="1:13" x14ac:dyDescent="0.25">
      <c r="A1397" s="1">
        <v>659572</v>
      </c>
      <c r="B1397" s="6" t="s">
        <v>1509</v>
      </c>
      <c r="C1397" s="9" t="s">
        <v>33</v>
      </c>
      <c r="D1397" s="6" t="s">
        <v>20</v>
      </c>
      <c r="E1397" s="6" t="s">
        <v>37</v>
      </c>
      <c r="F1397" s="6" t="s">
        <v>9</v>
      </c>
      <c r="G1397" s="6" t="s">
        <v>38</v>
      </c>
      <c r="H1397" s="9" t="s">
        <v>33</v>
      </c>
      <c r="I1397" s="7" t="str">
        <f t="shared" si="84"/>
        <v>61001005000</v>
      </c>
      <c r="J1397" s="7" t="str">
        <f t="shared" si="85"/>
        <v>Материал по ЕГРН</v>
      </c>
      <c r="K1397" s="7">
        <f>VLOOKUP(J1397,Лист2!A$2:B$4,2,FALSE)</f>
        <v>792</v>
      </c>
      <c r="L1397" s="7" t="str">
        <f t="shared" si="86"/>
        <v>ГОТОВ</v>
      </c>
      <c r="M1397" s="7" t="str">
        <f t="shared" si="87"/>
        <v>61001005000</v>
      </c>
    </row>
    <row r="1398" spans="1:13" x14ac:dyDescent="0.25">
      <c r="A1398" s="1">
        <v>943954</v>
      </c>
      <c r="B1398" s="6" t="s">
        <v>1510</v>
      </c>
      <c r="F1398" s="6" t="s">
        <v>9</v>
      </c>
      <c r="G1398" s="6" t="s">
        <v>170</v>
      </c>
      <c r="H1398" s="9" t="s">
        <v>171</v>
      </c>
      <c r="I1398" s="7" t="str">
        <f t="shared" si="84"/>
        <v>61001001000</v>
      </c>
      <c r="J1398" s="7" t="str">
        <f t="shared" si="85"/>
        <v>Материал по ЕГРН</v>
      </c>
      <c r="K1398" s="7">
        <f>VLOOKUP(J1398,Лист2!A$2:B$4,2,FALSE)</f>
        <v>792</v>
      </c>
      <c r="L1398" s="7" t="str">
        <f t="shared" si="86"/>
        <v>ГОТОВ_ИЗМЕНЕН</v>
      </c>
      <c r="M1398" s="7">
        <f t="shared" si="87"/>
        <v>0</v>
      </c>
    </row>
    <row r="1399" spans="1:13" x14ac:dyDescent="0.25">
      <c r="A1399" s="1">
        <v>943966</v>
      </c>
      <c r="B1399" s="6" t="s">
        <v>1511</v>
      </c>
      <c r="F1399" s="6" t="s">
        <v>9</v>
      </c>
      <c r="G1399" s="6" t="s">
        <v>10</v>
      </c>
      <c r="H1399" s="9" t="s">
        <v>11</v>
      </c>
      <c r="I1399" s="7" t="str">
        <f t="shared" si="84"/>
        <v>61001003000</v>
      </c>
      <c r="J1399" s="7" t="str">
        <f t="shared" si="85"/>
        <v>Материал по ЕГРН</v>
      </c>
      <c r="K1399" s="7">
        <f>VLOOKUP(J1399,Лист2!A$2:B$4,2,FALSE)</f>
        <v>792</v>
      </c>
      <c r="L1399" s="7" t="str">
        <f t="shared" si="86"/>
        <v>ГОТОВ_ИЗМЕНЕН</v>
      </c>
      <c r="M1399" s="7">
        <f t="shared" si="87"/>
        <v>0</v>
      </c>
    </row>
    <row r="1400" spans="1:13" x14ac:dyDescent="0.25">
      <c r="A1400" s="1">
        <v>943978</v>
      </c>
      <c r="B1400" s="6" t="s">
        <v>1512</v>
      </c>
      <c r="F1400" s="6" t="s">
        <v>9</v>
      </c>
      <c r="G1400" s="6" t="s">
        <v>38</v>
      </c>
      <c r="H1400" s="9" t="s">
        <v>33</v>
      </c>
      <c r="I1400" s="7" t="str">
        <f t="shared" si="84"/>
        <v>61001005000</v>
      </c>
      <c r="J1400" s="7" t="str">
        <f t="shared" si="85"/>
        <v>Материал по ЕГРН</v>
      </c>
      <c r="K1400" s="7">
        <f>VLOOKUP(J1400,Лист2!A$2:B$4,2,FALSE)</f>
        <v>792</v>
      </c>
      <c r="L1400" s="7" t="str">
        <f t="shared" si="86"/>
        <v>ГОТОВ_ИЗМЕНЕН</v>
      </c>
      <c r="M1400" s="7">
        <f t="shared" si="87"/>
        <v>0</v>
      </c>
    </row>
    <row r="1401" spans="1:13" x14ac:dyDescent="0.25">
      <c r="A1401" s="1">
        <v>943990</v>
      </c>
      <c r="B1401" s="6" t="s">
        <v>1513</v>
      </c>
      <c r="F1401" s="6" t="s">
        <v>9</v>
      </c>
      <c r="G1401" s="6" t="s">
        <v>62</v>
      </c>
      <c r="H1401" s="9" t="s">
        <v>63</v>
      </c>
      <c r="I1401" s="7" t="str">
        <f t="shared" si="84"/>
        <v>61001006002</v>
      </c>
      <c r="J1401" s="7" t="str">
        <f t="shared" si="85"/>
        <v>Материал по ЕГРН</v>
      </c>
      <c r="K1401" s="7">
        <f>VLOOKUP(J1401,Лист2!A$2:B$4,2,FALSE)</f>
        <v>792</v>
      </c>
      <c r="L1401" s="7" t="str">
        <f t="shared" si="86"/>
        <v>ГОТОВ_ИЗМЕНЕН</v>
      </c>
      <c r="M1401" s="7">
        <f t="shared" si="87"/>
        <v>0</v>
      </c>
    </row>
    <row r="1402" spans="1:13" x14ac:dyDescent="0.25">
      <c r="A1402" s="1">
        <v>944002</v>
      </c>
      <c r="B1402" s="6" t="s">
        <v>1514</v>
      </c>
      <c r="F1402" s="6" t="s">
        <v>9</v>
      </c>
      <c r="G1402" s="6" t="s">
        <v>38</v>
      </c>
      <c r="H1402" s="9" t="s">
        <v>33</v>
      </c>
      <c r="I1402" s="7" t="str">
        <f t="shared" si="84"/>
        <v>61001005000</v>
      </c>
      <c r="J1402" s="7" t="str">
        <f t="shared" si="85"/>
        <v>Материал по ЕГРН</v>
      </c>
      <c r="K1402" s="7">
        <f>VLOOKUP(J1402,Лист2!A$2:B$4,2,FALSE)</f>
        <v>792</v>
      </c>
      <c r="L1402" s="7" t="str">
        <f t="shared" si="86"/>
        <v>ГОТОВ_ИЗМЕНЕН</v>
      </c>
      <c r="M1402" s="7">
        <f t="shared" si="87"/>
        <v>0</v>
      </c>
    </row>
    <row r="1403" spans="1:13" x14ac:dyDescent="0.25">
      <c r="A1403" s="1">
        <v>944014</v>
      </c>
      <c r="B1403" s="6" t="s">
        <v>1515</v>
      </c>
      <c r="F1403" s="6" t="s">
        <v>9</v>
      </c>
      <c r="G1403" s="6" t="s">
        <v>34</v>
      </c>
      <c r="H1403" s="9" t="s">
        <v>35</v>
      </c>
      <c r="I1403" s="7" t="str">
        <f t="shared" si="84"/>
        <v>61001002000</v>
      </c>
      <c r="J1403" s="7" t="str">
        <f t="shared" si="85"/>
        <v>Материал по ЕГРН</v>
      </c>
      <c r="K1403" s="7">
        <f>VLOOKUP(J1403,Лист2!A$2:B$4,2,FALSE)</f>
        <v>792</v>
      </c>
      <c r="L1403" s="7" t="str">
        <f t="shared" si="86"/>
        <v>ГОТОВ_ИЗМЕНЕН</v>
      </c>
      <c r="M1403" s="7">
        <f t="shared" si="87"/>
        <v>0</v>
      </c>
    </row>
    <row r="1404" spans="1:13" x14ac:dyDescent="0.25">
      <c r="A1404" s="1">
        <v>944026</v>
      </c>
      <c r="B1404" s="6" t="s">
        <v>1516</v>
      </c>
      <c r="F1404" s="6" t="s">
        <v>9</v>
      </c>
      <c r="G1404" s="6" t="s">
        <v>38</v>
      </c>
      <c r="H1404" s="9" t="s">
        <v>33</v>
      </c>
      <c r="I1404" s="7" t="str">
        <f t="shared" si="84"/>
        <v>61001005000</v>
      </c>
      <c r="J1404" s="7" t="str">
        <f t="shared" si="85"/>
        <v>Материал по ЕГРН</v>
      </c>
      <c r="K1404" s="7">
        <f>VLOOKUP(J1404,Лист2!A$2:B$4,2,FALSE)</f>
        <v>792</v>
      </c>
      <c r="L1404" s="7" t="str">
        <f t="shared" si="86"/>
        <v>ГОТОВ_ИЗМЕНЕН</v>
      </c>
      <c r="M1404" s="7">
        <f t="shared" si="87"/>
        <v>0</v>
      </c>
    </row>
    <row r="1405" spans="1:13" x14ac:dyDescent="0.25">
      <c r="A1405" s="1">
        <v>944038</v>
      </c>
      <c r="B1405" s="6" t="s">
        <v>1517</v>
      </c>
      <c r="F1405" s="6" t="s">
        <v>9</v>
      </c>
      <c r="G1405" s="6" t="s">
        <v>38</v>
      </c>
      <c r="H1405" s="9" t="s">
        <v>33</v>
      </c>
      <c r="I1405" s="7" t="str">
        <f t="shared" si="84"/>
        <v>61001005000</v>
      </c>
      <c r="J1405" s="7" t="str">
        <f t="shared" si="85"/>
        <v>Материал по ЕГРН</v>
      </c>
      <c r="K1405" s="7">
        <f>VLOOKUP(J1405,Лист2!A$2:B$4,2,FALSE)</f>
        <v>792</v>
      </c>
      <c r="L1405" s="7" t="str">
        <f t="shared" si="86"/>
        <v>ГОТОВ_ИЗМЕНЕН</v>
      </c>
      <c r="M1405" s="7">
        <f t="shared" si="87"/>
        <v>0</v>
      </c>
    </row>
    <row r="1406" spans="1:13" x14ac:dyDescent="0.25">
      <c r="A1406" s="1">
        <v>944050</v>
      </c>
      <c r="B1406" s="6" t="s">
        <v>1518</v>
      </c>
      <c r="F1406" s="6" t="s">
        <v>9</v>
      </c>
      <c r="G1406" s="6" t="s">
        <v>38</v>
      </c>
      <c r="H1406" s="9" t="s">
        <v>33</v>
      </c>
      <c r="I1406" s="7" t="str">
        <f t="shared" si="84"/>
        <v>61001005000</v>
      </c>
      <c r="J1406" s="7" t="str">
        <f t="shared" si="85"/>
        <v>Материал по ЕГРН</v>
      </c>
      <c r="K1406" s="7">
        <f>VLOOKUP(J1406,Лист2!A$2:B$4,2,FALSE)</f>
        <v>792</v>
      </c>
      <c r="L1406" s="7" t="str">
        <f t="shared" si="86"/>
        <v>ГОТОВ_ИЗМЕНЕН</v>
      </c>
      <c r="M1406" s="7">
        <f t="shared" si="87"/>
        <v>0</v>
      </c>
    </row>
    <row r="1407" spans="1:13" x14ac:dyDescent="0.25">
      <c r="A1407" s="1">
        <v>944062</v>
      </c>
      <c r="B1407" s="6" t="s">
        <v>1519</v>
      </c>
      <c r="F1407" s="6" t="s">
        <v>9</v>
      </c>
      <c r="G1407" s="6" t="s">
        <v>59</v>
      </c>
      <c r="H1407" s="9" t="s">
        <v>60</v>
      </c>
      <c r="I1407" s="7" t="str">
        <f t="shared" si="84"/>
        <v>61001001001</v>
      </c>
      <c r="J1407" s="7" t="str">
        <f t="shared" si="85"/>
        <v>Материал по ЕГРН</v>
      </c>
      <c r="K1407" s="7">
        <f>VLOOKUP(J1407,Лист2!A$2:B$4,2,FALSE)</f>
        <v>792</v>
      </c>
      <c r="L1407" s="7" t="str">
        <f t="shared" si="86"/>
        <v>ГОТОВ_ИЗМЕНЕН</v>
      </c>
      <c r="M1407" s="7">
        <f t="shared" si="87"/>
        <v>0</v>
      </c>
    </row>
    <row r="1408" spans="1:13" x14ac:dyDescent="0.25">
      <c r="A1408" s="1">
        <v>944074</v>
      </c>
      <c r="B1408" s="6" t="s">
        <v>1520</v>
      </c>
      <c r="F1408" s="6" t="s">
        <v>9</v>
      </c>
      <c r="G1408" s="6" t="s">
        <v>62</v>
      </c>
      <c r="H1408" s="9" t="s">
        <v>63</v>
      </c>
      <c r="I1408" s="7" t="str">
        <f t="shared" si="84"/>
        <v>61001006002</v>
      </c>
      <c r="J1408" s="7" t="str">
        <f t="shared" si="85"/>
        <v>Материал по ЕГРН</v>
      </c>
      <c r="K1408" s="7">
        <f>VLOOKUP(J1408,Лист2!A$2:B$4,2,FALSE)</f>
        <v>792</v>
      </c>
      <c r="L1408" s="7" t="str">
        <f t="shared" si="86"/>
        <v>ГОТОВ_ИЗМЕНЕН</v>
      </c>
      <c r="M1408" s="7">
        <f t="shared" si="87"/>
        <v>0</v>
      </c>
    </row>
    <row r="1409" spans="1:13" x14ac:dyDescent="0.25">
      <c r="A1409" s="1">
        <v>944086</v>
      </c>
      <c r="B1409" s="6" t="s">
        <v>1521</v>
      </c>
      <c r="F1409" s="6" t="s">
        <v>9</v>
      </c>
      <c r="G1409" s="6" t="s">
        <v>10</v>
      </c>
      <c r="H1409" s="9" t="s">
        <v>11</v>
      </c>
      <c r="I1409" s="7" t="str">
        <f t="shared" si="84"/>
        <v>61001003000</v>
      </c>
      <c r="J1409" s="7" t="str">
        <f t="shared" si="85"/>
        <v>Материал по ЕГРН</v>
      </c>
      <c r="K1409" s="7">
        <f>VLOOKUP(J1409,Лист2!A$2:B$4,2,FALSE)</f>
        <v>792</v>
      </c>
      <c r="L1409" s="7" t="str">
        <f t="shared" si="86"/>
        <v>ГОТОВ_ИЗМЕНЕН</v>
      </c>
      <c r="M1409" s="7">
        <f t="shared" si="87"/>
        <v>0</v>
      </c>
    </row>
    <row r="1410" spans="1:13" x14ac:dyDescent="0.25">
      <c r="A1410" s="1">
        <v>944098</v>
      </c>
      <c r="B1410" s="6" t="s">
        <v>1522</v>
      </c>
      <c r="F1410" s="6" t="s">
        <v>9</v>
      </c>
      <c r="G1410" s="6" t="s">
        <v>10</v>
      </c>
      <c r="H1410" s="9" t="s">
        <v>11</v>
      </c>
      <c r="I1410" s="7" t="str">
        <f t="shared" si="84"/>
        <v>61001003000</v>
      </c>
      <c r="J1410" s="7" t="str">
        <f t="shared" si="85"/>
        <v>Материал по ЕГРН</v>
      </c>
      <c r="K1410" s="7">
        <f>VLOOKUP(J1410,Лист2!A$2:B$4,2,FALSE)</f>
        <v>792</v>
      </c>
      <c r="L1410" s="7" t="str">
        <f t="shared" si="86"/>
        <v>ГОТОВ_ИЗМЕНЕН</v>
      </c>
      <c r="M1410" s="7">
        <f t="shared" si="87"/>
        <v>0</v>
      </c>
    </row>
    <row r="1411" spans="1:13" x14ac:dyDescent="0.25">
      <c r="A1411" s="1">
        <v>944110</v>
      </c>
      <c r="B1411" s="6" t="s">
        <v>1523</v>
      </c>
      <c r="F1411" s="6" t="s">
        <v>9</v>
      </c>
      <c r="G1411" s="6" t="s">
        <v>34</v>
      </c>
      <c r="H1411" s="9" t="s">
        <v>35</v>
      </c>
      <c r="I1411" s="7" t="str">
        <f t="shared" si="84"/>
        <v>61001002000</v>
      </c>
      <c r="J1411" s="7" t="str">
        <f t="shared" si="85"/>
        <v>Материал по ЕГРН</v>
      </c>
      <c r="K1411" s="7">
        <f>VLOOKUP(J1411,Лист2!A$2:B$4,2,FALSE)</f>
        <v>792</v>
      </c>
      <c r="L1411" s="7" t="str">
        <f t="shared" si="86"/>
        <v>ГОТОВ_ИЗМЕНЕН</v>
      </c>
      <c r="M1411" s="7">
        <f t="shared" si="87"/>
        <v>0</v>
      </c>
    </row>
    <row r="1412" spans="1:13" x14ac:dyDescent="0.25">
      <c r="A1412" s="1">
        <v>944122</v>
      </c>
      <c r="B1412" s="6" t="s">
        <v>1524</v>
      </c>
      <c r="F1412" s="6" t="s">
        <v>9</v>
      </c>
      <c r="G1412" s="6" t="s">
        <v>90</v>
      </c>
      <c r="H1412" s="9" t="s">
        <v>12</v>
      </c>
      <c r="I1412" s="7" t="str">
        <f t="shared" si="84"/>
        <v>61001008000</v>
      </c>
      <c r="J1412" s="7" t="str">
        <f t="shared" si="85"/>
        <v>Материал по ЕГРН</v>
      </c>
      <c r="K1412" s="7">
        <f>VLOOKUP(J1412,Лист2!A$2:B$4,2,FALSE)</f>
        <v>792</v>
      </c>
      <c r="L1412" s="7" t="str">
        <f t="shared" si="86"/>
        <v>ГОТОВ_ИЗМЕНЕН</v>
      </c>
      <c r="M1412" s="7">
        <f t="shared" si="87"/>
        <v>0</v>
      </c>
    </row>
    <row r="1413" spans="1:13" x14ac:dyDescent="0.25">
      <c r="A1413" s="1">
        <v>944134</v>
      </c>
      <c r="B1413" s="6" t="s">
        <v>1525</v>
      </c>
      <c r="F1413" s="6" t="s">
        <v>9</v>
      </c>
      <c r="G1413" s="6" t="s">
        <v>90</v>
      </c>
      <c r="H1413" s="9" t="s">
        <v>12</v>
      </c>
      <c r="I1413" s="7" t="str">
        <f t="shared" ref="I1413:I1476" si="88">IF(LEN(H1413)=11,H1413,IF(LEN(H1413)=0,"61001005000","61001003000"))</f>
        <v>61001008000</v>
      </c>
      <c r="J1413" s="7" t="str">
        <f t="shared" ref="J1413:J1476" si="89">IF(LEN(H1413)=11,"Материал по ЕГРН",IF(LEN(H1413)=0,"Прочие по допущению","Смешанные по допущению"))</f>
        <v>Материал по ЕГРН</v>
      </c>
      <c r="K1413" s="7">
        <f>VLOOKUP(J1413,Лист2!A$2:B$4,2,FALSE)</f>
        <v>792</v>
      </c>
      <c r="L1413" s="7" t="str">
        <f t="shared" ref="L1413:L1476" si="90">IF(I1413=C1413,"ГОТОВ","ГОТОВ_ИЗМЕНЕН")</f>
        <v>ГОТОВ_ИЗМЕНЕН</v>
      </c>
      <c r="M1413" s="7">
        <f t="shared" ref="M1413:M1476" si="91">C1413</f>
        <v>0</v>
      </c>
    </row>
    <row r="1414" spans="1:13" x14ac:dyDescent="0.25">
      <c r="A1414" s="1">
        <v>944146</v>
      </c>
      <c r="B1414" s="6" t="s">
        <v>1526</v>
      </c>
      <c r="F1414" s="6" t="s">
        <v>9</v>
      </c>
      <c r="G1414" s="6" t="s">
        <v>43</v>
      </c>
      <c r="H1414" s="9" t="s">
        <v>42</v>
      </c>
      <c r="I1414" s="7" t="str">
        <f t="shared" si="88"/>
        <v>61001002001</v>
      </c>
      <c r="J1414" s="7" t="str">
        <f t="shared" si="89"/>
        <v>Материал по ЕГРН</v>
      </c>
      <c r="K1414" s="7">
        <f>VLOOKUP(J1414,Лист2!A$2:B$4,2,FALSE)</f>
        <v>792</v>
      </c>
      <c r="L1414" s="7" t="str">
        <f t="shared" si="90"/>
        <v>ГОТОВ_ИЗМЕНЕН</v>
      </c>
      <c r="M1414" s="7">
        <f t="shared" si="91"/>
        <v>0</v>
      </c>
    </row>
    <row r="1415" spans="1:13" x14ac:dyDescent="0.25">
      <c r="A1415" s="1">
        <v>944158</v>
      </c>
      <c r="B1415" s="6" t="s">
        <v>1527</v>
      </c>
      <c r="F1415" s="6" t="s">
        <v>9</v>
      </c>
      <c r="G1415" s="6" t="s">
        <v>170</v>
      </c>
      <c r="H1415" s="9" t="s">
        <v>171</v>
      </c>
      <c r="I1415" s="7" t="str">
        <f t="shared" si="88"/>
        <v>61001001000</v>
      </c>
      <c r="J1415" s="7" t="str">
        <f t="shared" si="89"/>
        <v>Материал по ЕГРН</v>
      </c>
      <c r="K1415" s="7">
        <f>VLOOKUP(J1415,Лист2!A$2:B$4,2,FALSE)</f>
        <v>792</v>
      </c>
      <c r="L1415" s="7" t="str">
        <f t="shared" si="90"/>
        <v>ГОТОВ_ИЗМЕНЕН</v>
      </c>
      <c r="M1415" s="7">
        <f t="shared" si="91"/>
        <v>0</v>
      </c>
    </row>
    <row r="1416" spans="1:13" x14ac:dyDescent="0.25">
      <c r="A1416" s="1">
        <v>944170</v>
      </c>
      <c r="B1416" s="6" t="s">
        <v>1528</v>
      </c>
      <c r="F1416" s="6" t="s">
        <v>9</v>
      </c>
      <c r="G1416" s="6" t="s">
        <v>34</v>
      </c>
      <c r="H1416" s="9" t="s">
        <v>35</v>
      </c>
      <c r="I1416" s="7" t="str">
        <f t="shared" si="88"/>
        <v>61001002000</v>
      </c>
      <c r="J1416" s="7" t="str">
        <f t="shared" si="89"/>
        <v>Материал по ЕГРН</v>
      </c>
      <c r="K1416" s="7">
        <f>VLOOKUP(J1416,Лист2!A$2:B$4,2,FALSE)</f>
        <v>792</v>
      </c>
      <c r="L1416" s="7" t="str">
        <f t="shared" si="90"/>
        <v>ГОТОВ_ИЗМЕНЕН</v>
      </c>
      <c r="M1416" s="7">
        <f t="shared" si="91"/>
        <v>0</v>
      </c>
    </row>
    <row r="1417" spans="1:13" x14ac:dyDescent="0.25">
      <c r="A1417" s="1">
        <v>944182</v>
      </c>
      <c r="B1417" s="6" t="s">
        <v>1529</v>
      </c>
      <c r="F1417" s="6" t="s">
        <v>9</v>
      </c>
      <c r="G1417" s="6" t="s">
        <v>38</v>
      </c>
      <c r="H1417" s="9" t="s">
        <v>33</v>
      </c>
      <c r="I1417" s="7" t="str">
        <f t="shared" si="88"/>
        <v>61001005000</v>
      </c>
      <c r="J1417" s="7" t="str">
        <f t="shared" si="89"/>
        <v>Материал по ЕГРН</v>
      </c>
      <c r="K1417" s="7">
        <f>VLOOKUP(J1417,Лист2!A$2:B$4,2,FALSE)</f>
        <v>792</v>
      </c>
      <c r="L1417" s="7" t="str">
        <f t="shared" si="90"/>
        <v>ГОТОВ_ИЗМЕНЕН</v>
      </c>
      <c r="M1417" s="7">
        <f t="shared" si="91"/>
        <v>0</v>
      </c>
    </row>
    <row r="1418" spans="1:13" x14ac:dyDescent="0.25">
      <c r="A1418" s="1">
        <v>944194</v>
      </c>
      <c r="B1418" s="6" t="s">
        <v>1530</v>
      </c>
      <c r="F1418" s="6" t="s">
        <v>9</v>
      </c>
      <c r="G1418" s="6" t="s">
        <v>34</v>
      </c>
      <c r="H1418" s="9" t="s">
        <v>35</v>
      </c>
      <c r="I1418" s="7" t="str">
        <f t="shared" si="88"/>
        <v>61001002000</v>
      </c>
      <c r="J1418" s="7" t="str">
        <f t="shared" si="89"/>
        <v>Материал по ЕГРН</v>
      </c>
      <c r="K1418" s="7">
        <f>VLOOKUP(J1418,Лист2!A$2:B$4,2,FALSE)</f>
        <v>792</v>
      </c>
      <c r="L1418" s="7" t="str">
        <f t="shared" si="90"/>
        <v>ГОТОВ_ИЗМЕНЕН</v>
      </c>
      <c r="M1418" s="7">
        <f t="shared" si="91"/>
        <v>0</v>
      </c>
    </row>
    <row r="1419" spans="1:13" x14ac:dyDescent="0.25">
      <c r="A1419" s="1">
        <v>944206</v>
      </c>
      <c r="B1419" s="6" t="s">
        <v>1531</v>
      </c>
      <c r="F1419" s="6" t="s">
        <v>9</v>
      </c>
      <c r="G1419" s="6" t="s">
        <v>10</v>
      </c>
      <c r="H1419" s="9" t="s">
        <v>11</v>
      </c>
      <c r="I1419" s="7" t="str">
        <f t="shared" si="88"/>
        <v>61001003000</v>
      </c>
      <c r="J1419" s="7" t="str">
        <f t="shared" si="89"/>
        <v>Материал по ЕГРН</v>
      </c>
      <c r="K1419" s="7">
        <f>VLOOKUP(J1419,Лист2!A$2:B$4,2,FALSE)</f>
        <v>792</v>
      </c>
      <c r="L1419" s="7" t="str">
        <f t="shared" si="90"/>
        <v>ГОТОВ_ИЗМЕНЕН</v>
      </c>
      <c r="M1419" s="7">
        <f t="shared" si="91"/>
        <v>0</v>
      </c>
    </row>
    <row r="1420" spans="1:13" x14ac:dyDescent="0.25">
      <c r="A1420" s="1">
        <v>944218</v>
      </c>
      <c r="B1420" s="6" t="s">
        <v>1532</v>
      </c>
      <c r="F1420" s="6" t="s">
        <v>9</v>
      </c>
      <c r="G1420" s="6" t="s">
        <v>10</v>
      </c>
      <c r="H1420" s="9" t="s">
        <v>11</v>
      </c>
      <c r="I1420" s="7" t="str">
        <f t="shared" si="88"/>
        <v>61001003000</v>
      </c>
      <c r="J1420" s="7" t="str">
        <f t="shared" si="89"/>
        <v>Материал по ЕГРН</v>
      </c>
      <c r="K1420" s="7">
        <f>VLOOKUP(J1420,Лист2!A$2:B$4,2,FALSE)</f>
        <v>792</v>
      </c>
      <c r="L1420" s="7" t="str">
        <f t="shared" si="90"/>
        <v>ГОТОВ_ИЗМЕНЕН</v>
      </c>
      <c r="M1420" s="7">
        <f t="shared" si="91"/>
        <v>0</v>
      </c>
    </row>
    <row r="1421" spans="1:13" x14ac:dyDescent="0.25">
      <c r="A1421" s="1">
        <v>944230</v>
      </c>
      <c r="B1421" s="6" t="s">
        <v>1533</v>
      </c>
      <c r="F1421" s="6" t="s">
        <v>9</v>
      </c>
      <c r="G1421" s="6" t="s">
        <v>10</v>
      </c>
      <c r="H1421" s="9" t="s">
        <v>11</v>
      </c>
      <c r="I1421" s="7" t="str">
        <f t="shared" si="88"/>
        <v>61001003000</v>
      </c>
      <c r="J1421" s="7" t="str">
        <f t="shared" si="89"/>
        <v>Материал по ЕГРН</v>
      </c>
      <c r="K1421" s="7">
        <f>VLOOKUP(J1421,Лист2!A$2:B$4,2,FALSE)</f>
        <v>792</v>
      </c>
      <c r="L1421" s="7" t="str">
        <f t="shared" si="90"/>
        <v>ГОТОВ_ИЗМЕНЕН</v>
      </c>
      <c r="M1421" s="7">
        <f t="shared" si="91"/>
        <v>0</v>
      </c>
    </row>
    <row r="1422" spans="1:13" x14ac:dyDescent="0.25">
      <c r="A1422" s="1">
        <v>944242</v>
      </c>
      <c r="B1422" s="6" t="s">
        <v>1534</v>
      </c>
      <c r="F1422" s="6" t="s">
        <v>9</v>
      </c>
      <c r="G1422" s="6" t="s">
        <v>43</v>
      </c>
      <c r="H1422" s="9" t="s">
        <v>42</v>
      </c>
      <c r="I1422" s="7" t="str">
        <f t="shared" si="88"/>
        <v>61001002001</v>
      </c>
      <c r="J1422" s="7" t="str">
        <f t="shared" si="89"/>
        <v>Материал по ЕГРН</v>
      </c>
      <c r="K1422" s="7">
        <f>VLOOKUP(J1422,Лист2!A$2:B$4,2,FALSE)</f>
        <v>792</v>
      </c>
      <c r="L1422" s="7" t="str">
        <f t="shared" si="90"/>
        <v>ГОТОВ_ИЗМЕНЕН</v>
      </c>
      <c r="M1422" s="7">
        <f t="shared" si="91"/>
        <v>0</v>
      </c>
    </row>
    <row r="1423" spans="1:13" x14ac:dyDescent="0.25">
      <c r="A1423" s="1">
        <v>944254</v>
      </c>
      <c r="B1423" s="6" t="s">
        <v>1535</v>
      </c>
      <c r="F1423" s="6" t="s">
        <v>9</v>
      </c>
      <c r="G1423" s="6" t="s">
        <v>62</v>
      </c>
      <c r="H1423" s="9" t="s">
        <v>63</v>
      </c>
      <c r="I1423" s="7" t="str">
        <f t="shared" si="88"/>
        <v>61001006002</v>
      </c>
      <c r="J1423" s="7" t="str">
        <f t="shared" si="89"/>
        <v>Материал по ЕГРН</v>
      </c>
      <c r="K1423" s="7">
        <f>VLOOKUP(J1423,Лист2!A$2:B$4,2,FALSE)</f>
        <v>792</v>
      </c>
      <c r="L1423" s="7" t="str">
        <f t="shared" si="90"/>
        <v>ГОТОВ_ИЗМЕНЕН</v>
      </c>
      <c r="M1423" s="7">
        <f t="shared" si="91"/>
        <v>0</v>
      </c>
    </row>
    <row r="1424" spans="1:13" x14ac:dyDescent="0.25">
      <c r="A1424" s="1">
        <v>944266</v>
      </c>
      <c r="B1424" s="6" t="s">
        <v>1536</v>
      </c>
      <c r="F1424" s="6" t="s">
        <v>9</v>
      </c>
      <c r="G1424" s="6" t="s">
        <v>34</v>
      </c>
      <c r="H1424" s="9" t="s">
        <v>35</v>
      </c>
      <c r="I1424" s="7" t="str">
        <f t="shared" si="88"/>
        <v>61001002000</v>
      </c>
      <c r="J1424" s="7" t="str">
        <f t="shared" si="89"/>
        <v>Материал по ЕГРН</v>
      </c>
      <c r="K1424" s="7">
        <f>VLOOKUP(J1424,Лист2!A$2:B$4,2,FALSE)</f>
        <v>792</v>
      </c>
      <c r="L1424" s="7" t="str">
        <f t="shared" si="90"/>
        <v>ГОТОВ_ИЗМЕНЕН</v>
      </c>
      <c r="M1424" s="7">
        <f t="shared" si="91"/>
        <v>0</v>
      </c>
    </row>
    <row r="1425" spans="1:13" x14ac:dyDescent="0.25">
      <c r="A1425" s="1">
        <v>219056</v>
      </c>
      <c r="B1425" s="6" t="s">
        <v>1537</v>
      </c>
      <c r="C1425" s="9" t="s">
        <v>33</v>
      </c>
      <c r="D1425" s="6" t="s">
        <v>20</v>
      </c>
      <c r="E1425" s="6" t="s">
        <v>37</v>
      </c>
      <c r="F1425" s="6" t="s">
        <v>9</v>
      </c>
      <c r="G1425" s="6" t="s">
        <v>38</v>
      </c>
      <c r="H1425" s="9" t="s">
        <v>33</v>
      </c>
      <c r="I1425" s="7" t="str">
        <f t="shared" si="88"/>
        <v>61001005000</v>
      </c>
      <c r="J1425" s="7" t="str">
        <f t="shared" si="89"/>
        <v>Материал по ЕГРН</v>
      </c>
      <c r="K1425" s="7">
        <f>VLOOKUP(J1425,Лист2!A$2:B$4,2,FALSE)</f>
        <v>792</v>
      </c>
      <c r="L1425" s="7" t="str">
        <f t="shared" si="90"/>
        <v>ГОТОВ</v>
      </c>
      <c r="M1425" s="7" t="str">
        <f t="shared" si="91"/>
        <v>61001005000</v>
      </c>
    </row>
    <row r="1426" spans="1:13" x14ac:dyDescent="0.25">
      <c r="A1426" s="1">
        <v>378878</v>
      </c>
      <c r="B1426" s="6" t="s">
        <v>1538</v>
      </c>
      <c r="C1426" s="9" t="s">
        <v>307</v>
      </c>
      <c r="D1426" s="6" t="s">
        <v>20</v>
      </c>
      <c r="E1426" s="6" t="s">
        <v>37</v>
      </c>
      <c r="F1426" s="6" t="s">
        <v>9</v>
      </c>
      <c r="G1426" s="6" t="s">
        <v>306</v>
      </c>
      <c r="H1426" s="9" t="s">
        <v>307</v>
      </c>
      <c r="I1426" s="7" t="str">
        <f t="shared" si="88"/>
        <v>61001002002</v>
      </c>
      <c r="J1426" s="7" t="str">
        <f t="shared" si="89"/>
        <v>Материал по ЕГРН</v>
      </c>
      <c r="K1426" s="7">
        <f>VLOOKUP(J1426,Лист2!A$2:B$4,2,FALSE)</f>
        <v>792</v>
      </c>
      <c r="L1426" s="7" t="str">
        <f t="shared" si="90"/>
        <v>ГОТОВ</v>
      </c>
      <c r="M1426" s="7" t="str">
        <f t="shared" si="91"/>
        <v>61001002002</v>
      </c>
    </row>
    <row r="1427" spans="1:13" x14ac:dyDescent="0.25">
      <c r="A1427" s="1">
        <v>787984</v>
      </c>
      <c r="B1427" s="6" t="s">
        <v>1539</v>
      </c>
      <c r="C1427" s="9" t="s">
        <v>33</v>
      </c>
      <c r="D1427" s="6" t="s">
        <v>20</v>
      </c>
      <c r="E1427" s="6" t="s">
        <v>37</v>
      </c>
      <c r="F1427" s="6" t="s">
        <v>9</v>
      </c>
      <c r="G1427" s="6" t="s">
        <v>38</v>
      </c>
      <c r="H1427" s="9" t="s">
        <v>33</v>
      </c>
      <c r="I1427" s="7" t="str">
        <f t="shared" si="88"/>
        <v>61001005000</v>
      </c>
      <c r="J1427" s="7" t="str">
        <f t="shared" si="89"/>
        <v>Материал по ЕГРН</v>
      </c>
      <c r="K1427" s="7">
        <f>VLOOKUP(J1427,Лист2!A$2:B$4,2,FALSE)</f>
        <v>792</v>
      </c>
      <c r="L1427" s="7" t="str">
        <f t="shared" si="90"/>
        <v>ГОТОВ</v>
      </c>
      <c r="M1427" s="7" t="str">
        <f t="shared" si="91"/>
        <v>61001005000</v>
      </c>
    </row>
    <row r="1428" spans="1:13" x14ac:dyDescent="0.25">
      <c r="A1428" s="1">
        <v>945783</v>
      </c>
      <c r="B1428" s="6" t="s">
        <v>1540</v>
      </c>
      <c r="F1428" s="6" t="s">
        <v>9</v>
      </c>
      <c r="G1428" s="6" t="s">
        <v>10</v>
      </c>
      <c r="H1428" s="9" t="s">
        <v>11</v>
      </c>
      <c r="I1428" s="7" t="str">
        <f t="shared" si="88"/>
        <v>61001003000</v>
      </c>
      <c r="J1428" s="7" t="str">
        <f t="shared" si="89"/>
        <v>Материал по ЕГРН</v>
      </c>
      <c r="K1428" s="7">
        <f>VLOOKUP(J1428,Лист2!A$2:B$4,2,FALSE)</f>
        <v>792</v>
      </c>
      <c r="L1428" s="7" t="str">
        <f t="shared" si="90"/>
        <v>ГОТОВ_ИЗМЕНЕН</v>
      </c>
      <c r="M1428" s="7">
        <f t="shared" si="91"/>
        <v>0</v>
      </c>
    </row>
    <row r="1429" spans="1:13" x14ac:dyDescent="0.25">
      <c r="A1429" s="1">
        <v>945795</v>
      </c>
      <c r="B1429" s="6" t="s">
        <v>1541</v>
      </c>
      <c r="F1429" s="6" t="s">
        <v>9</v>
      </c>
      <c r="G1429" s="6" t="s">
        <v>34</v>
      </c>
      <c r="H1429" s="9" t="s">
        <v>35</v>
      </c>
      <c r="I1429" s="7" t="str">
        <f t="shared" si="88"/>
        <v>61001002000</v>
      </c>
      <c r="J1429" s="7" t="str">
        <f t="shared" si="89"/>
        <v>Материал по ЕГРН</v>
      </c>
      <c r="K1429" s="7">
        <f>VLOOKUP(J1429,Лист2!A$2:B$4,2,FALSE)</f>
        <v>792</v>
      </c>
      <c r="L1429" s="7" t="str">
        <f t="shared" si="90"/>
        <v>ГОТОВ_ИЗМЕНЕН</v>
      </c>
      <c r="M1429" s="7">
        <f t="shared" si="91"/>
        <v>0</v>
      </c>
    </row>
    <row r="1430" spans="1:13" x14ac:dyDescent="0.25">
      <c r="A1430" s="1">
        <v>945807</v>
      </c>
      <c r="B1430" s="6" t="s">
        <v>1542</v>
      </c>
      <c r="F1430" s="6" t="s">
        <v>9</v>
      </c>
      <c r="G1430" s="6" t="s">
        <v>43</v>
      </c>
      <c r="H1430" s="9" t="s">
        <v>42</v>
      </c>
      <c r="I1430" s="7" t="str">
        <f t="shared" si="88"/>
        <v>61001002001</v>
      </c>
      <c r="J1430" s="7" t="str">
        <f t="shared" si="89"/>
        <v>Материал по ЕГРН</v>
      </c>
      <c r="K1430" s="7">
        <f>VLOOKUP(J1430,Лист2!A$2:B$4,2,FALSE)</f>
        <v>792</v>
      </c>
      <c r="L1430" s="7" t="str">
        <f t="shared" si="90"/>
        <v>ГОТОВ_ИЗМЕНЕН</v>
      </c>
      <c r="M1430" s="7">
        <f t="shared" si="91"/>
        <v>0</v>
      </c>
    </row>
    <row r="1431" spans="1:13" ht="25.5" x14ac:dyDescent="0.25">
      <c r="A1431" s="1">
        <v>945819</v>
      </c>
      <c r="B1431" s="6" t="s">
        <v>1543</v>
      </c>
      <c r="F1431" s="6" t="s">
        <v>9</v>
      </c>
      <c r="G1431" s="6" t="s">
        <v>1544</v>
      </c>
      <c r="H1431" s="9" t="s">
        <v>1545</v>
      </c>
      <c r="I1431" s="7" t="str">
        <f t="shared" si="88"/>
        <v>61001003000</v>
      </c>
      <c r="J1431" s="7" t="str">
        <f t="shared" si="89"/>
        <v>Смешанные по допущению</v>
      </c>
      <c r="K1431" s="7">
        <f>VLOOKUP(J1431,Лист2!A$2:B$4,2,FALSE)</f>
        <v>793</v>
      </c>
      <c r="L1431" s="7" t="str">
        <f t="shared" si="90"/>
        <v>ГОТОВ_ИЗМЕНЕН</v>
      </c>
      <c r="M1431" s="7">
        <f t="shared" si="91"/>
        <v>0</v>
      </c>
    </row>
    <row r="1432" spans="1:13" x14ac:dyDescent="0.25">
      <c r="A1432" s="1">
        <v>284393</v>
      </c>
      <c r="B1432" s="6" t="s">
        <v>1546</v>
      </c>
      <c r="C1432" s="9" t="s">
        <v>33</v>
      </c>
      <c r="D1432" s="6" t="s">
        <v>20</v>
      </c>
      <c r="E1432" s="6" t="s">
        <v>37</v>
      </c>
      <c r="F1432" s="6" t="s">
        <v>9</v>
      </c>
      <c r="G1432" s="6" t="s">
        <v>38</v>
      </c>
      <c r="H1432" s="9" t="s">
        <v>33</v>
      </c>
      <c r="I1432" s="7" t="str">
        <f t="shared" si="88"/>
        <v>61001005000</v>
      </c>
      <c r="J1432" s="7" t="str">
        <f t="shared" si="89"/>
        <v>Материал по ЕГРН</v>
      </c>
      <c r="K1432" s="7">
        <f>VLOOKUP(J1432,Лист2!A$2:B$4,2,FALSE)</f>
        <v>792</v>
      </c>
      <c r="L1432" s="7" t="str">
        <f t="shared" si="90"/>
        <v>ГОТОВ</v>
      </c>
      <c r="M1432" s="7" t="str">
        <f t="shared" si="91"/>
        <v>61001005000</v>
      </c>
    </row>
    <row r="1433" spans="1:13" x14ac:dyDescent="0.25">
      <c r="A1433" s="1">
        <v>515663</v>
      </c>
      <c r="B1433" s="6" t="s">
        <v>1547</v>
      </c>
      <c r="C1433" s="9" t="s">
        <v>33</v>
      </c>
      <c r="D1433" s="6" t="s">
        <v>20</v>
      </c>
      <c r="E1433" s="6" t="s">
        <v>37</v>
      </c>
      <c r="F1433" s="6" t="s">
        <v>9</v>
      </c>
      <c r="G1433" s="6" t="s">
        <v>38</v>
      </c>
      <c r="H1433" s="9" t="s">
        <v>33</v>
      </c>
      <c r="I1433" s="7" t="str">
        <f t="shared" si="88"/>
        <v>61001005000</v>
      </c>
      <c r="J1433" s="7" t="str">
        <f t="shared" si="89"/>
        <v>Материал по ЕГРН</v>
      </c>
      <c r="K1433" s="7">
        <f>VLOOKUP(J1433,Лист2!A$2:B$4,2,FALSE)</f>
        <v>792</v>
      </c>
      <c r="L1433" s="7" t="str">
        <f t="shared" si="90"/>
        <v>ГОТОВ</v>
      </c>
      <c r="M1433" s="7" t="str">
        <f t="shared" si="91"/>
        <v>61001005000</v>
      </c>
    </row>
    <row r="1434" spans="1:13" x14ac:dyDescent="0.25">
      <c r="A1434" s="1">
        <v>524293</v>
      </c>
      <c r="B1434" s="6" t="s">
        <v>1548</v>
      </c>
      <c r="C1434" s="9" t="s">
        <v>33</v>
      </c>
      <c r="D1434" s="6" t="s">
        <v>20</v>
      </c>
      <c r="E1434" s="6" t="s">
        <v>37</v>
      </c>
      <c r="F1434" s="6" t="s">
        <v>9</v>
      </c>
      <c r="G1434" s="6" t="s">
        <v>38</v>
      </c>
      <c r="H1434" s="9" t="s">
        <v>33</v>
      </c>
      <c r="I1434" s="7" t="str">
        <f t="shared" si="88"/>
        <v>61001005000</v>
      </c>
      <c r="J1434" s="7" t="str">
        <f t="shared" si="89"/>
        <v>Материал по ЕГРН</v>
      </c>
      <c r="K1434" s="7">
        <f>VLOOKUP(J1434,Лист2!A$2:B$4,2,FALSE)</f>
        <v>792</v>
      </c>
      <c r="L1434" s="7" t="str">
        <f t="shared" si="90"/>
        <v>ГОТОВ</v>
      </c>
      <c r="M1434" s="7" t="str">
        <f t="shared" si="91"/>
        <v>61001005000</v>
      </c>
    </row>
    <row r="1435" spans="1:13" x14ac:dyDescent="0.25">
      <c r="A1435" s="1">
        <v>531006</v>
      </c>
      <c r="B1435" s="6" t="s">
        <v>1549</v>
      </c>
      <c r="C1435" s="9" t="s">
        <v>33</v>
      </c>
      <c r="D1435" s="6" t="s">
        <v>20</v>
      </c>
      <c r="E1435" s="6" t="s">
        <v>37</v>
      </c>
      <c r="F1435" s="6" t="s">
        <v>9</v>
      </c>
      <c r="G1435" s="6" t="s">
        <v>38</v>
      </c>
      <c r="H1435" s="9" t="s">
        <v>33</v>
      </c>
      <c r="I1435" s="7" t="str">
        <f t="shared" si="88"/>
        <v>61001005000</v>
      </c>
      <c r="J1435" s="7" t="str">
        <f t="shared" si="89"/>
        <v>Материал по ЕГРН</v>
      </c>
      <c r="K1435" s="7">
        <f>VLOOKUP(J1435,Лист2!A$2:B$4,2,FALSE)</f>
        <v>792</v>
      </c>
      <c r="L1435" s="7" t="str">
        <f t="shared" si="90"/>
        <v>ГОТОВ</v>
      </c>
      <c r="M1435" s="7" t="str">
        <f t="shared" si="91"/>
        <v>61001005000</v>
      </c>
    </row>
    <row r="1436" spans="1:13" x14ac:dyDescent="0.25">
      <c r="A1436" s="1">
        <v>645853</v>
      </c>
      <c r="B1436" s="6" t="s">
        <v>1550</v>
      </c>
      <c r="C1436" s="9" t="s">
        <v>33</v>
      </c>
      <c r="D1436" s="6" t="s">
        <v>20</v>
      </c>
      <c r="E1436" s="6" t="s">
        <v>37</v>
      </c>
      <c r="F1436" s="6" t="s">
        <v>9</v>
      </c>
      <c r="G1436" s="6" t="s">
        <v>38</v>
      </c>
      <c r="H1436" s="9" t="s">
        <v>33</v>
      </c>
      <c r="I1436" s="7" t="str">
        <f t="shared" si="88"/>
        <v>61001005000</v>
      </c>
      <c r="J1436" s="7" t="str">
        <f t="shared" si="89"/>
        <v>Материал по ЕГРН</v>
      </c>
      <c r="K1436" s="7">
        <f>VLOOKUP(J1436,Лист2!A$2:B$4,2,FALSE)</f>
        <v>792</v>
      </c>
      <c r="L1436" s="7" t="str">
        <f t="shared" si="90"/>
        <v>ГОТОВ</v>
      </c>
      <c r="M1436" s="7" t="str">
        <f t="shared" si="91"/>
        <v>61001005000</v>
      </c>
    </row>
    <row r="1437" spans="1:13" x14ac:dyDescent="0.25">
      <c r="A1437" s="1">
        <v>906383</v>
      </c>
      <c r="B1437" s="6" t="s">
        <v>1551</v>
      </c>
      <c r="C1437" s="9" t="s">
        <v>42</v>
      </c>
      <c r="D1437" s="6" t="s">
        <v>14</v>
      </c>
      <c r="E1437" s="6" t="s">
        <v>37</v>
      </c>
      <c r="F1437" s="6" t="s">
        <v>9</v>
      </c>
      <c r="G1437" s="6" t="s">
        <v>43</v>
      </c>
      <c r="H1437" s="9" t="s">
        <v>42</v>
      </c>
      <c r="I1437" s="7" t="str">
        <f t="shared" si="88"/>
        <v>61001002001</v>
      </c>
      <c r="J1437" s="7" t="str">
        <f t="shared" si="89"/>
        <v>Материал по ЕГРН</v>
      </c>
      <c r="K1437" s="7">
        <f>VLOOKUP(J1437,Лист2!A$2:B$4,2,FALSE)</f>
        <v>792</v>
      </c>
      <c r="L1437" s="7" t="str">
        <f t="shared" si="90"/>
        <v>ГОТОВ</v>
      </c>
      <c r="M1437" s="7" t="str">
        <f t="shared" si="91"/>
        <v>61001002001</v>
      </c>
    </row>
    <row r="1438" spans="1:13" x14ac:dyDescent="0.25">
      <c r="A1438" s="1">
        <v>221285</v>
      </c>
      <c r="B1438" s="6" t="s">
        <v>1552</v>
      </c>
      <c r="C1438" s="9" t="s">
        <v>33</v>
      </c>
      <c r="D1438" s="6" t="s">
        <v>20</v>
      </c>
      <c r="E1438" s="6" t="s">
        <v>37</v>
      </c>
      <c r="F1438" s="6" t="s">
        <v>9</v>
      </c>
      <c r="G1438" s="6" t="s">
        <v>38</v>
      </c>
      <c r="H1438" s="9" t="s">
        <v>33</v>
      </c>
      <c r="I1438" s="7" t="str">
        <f t="shared" si="88"/>
        <v>61001005000</v>
      </c>
      <c r="J1438" s="7" t="str">
        <f t="shared" si="89"/>
        <v>Материал по ЕГРН</v>
      </c>
      <c r="K1438" s="7">
        <f>VLOOKUP(J1438,Лист2!A$2:B$4,2,FALSE)</f>
        <v>792</v>
      </c>
      <c r="L1438" s="7" t="str">
        <f t="shared" si="90"/>
        <v>ГОТОВ</v>
      </c>
      <c r="M1438" s="7" t="str">
        <f t="shared" si="91"/>
        <v>61001005000</v>
      </c>
    </row>
    <row r="1439" spans="1:13" x14ac:dyDescent="0.25">
      <c r="A1439" s="1">
        <v>288684</v>
      </c>
      <c r="B1439" s="6" t="s">
        <v>1553</v>
      </c>
      <c r="C1439" s="9" t="s">
        <v>35</v>
      </c>
      <c r="D1439" s="6" t="s">
        <v>20</v>
      </c>
      <c r="E1439" s="6" t="s">
        <v>37</v>
      </c>
      <c r="F1439" s="6" t="s">
        <v>9</v>
      </c>
      <c r="G1439" s="6" t="s">
        <v>34</v>
      </c>
      <c r="H1439" s="9" t="s">
        <v>35</v>
      </c>
      <c r="I1439" s="7" t="str">
        <f t="shared" si="88"/>
        <v>61001002000</v>
      </c>
      <c r="J1439" s="7" t="str">
        <f t="shared" si="89"/>
        <v>Материал по ЕГРН</v>
      </c>
      <c r="K1439" s="7">
        <f>VLOOKUP(J1439,Лист2!A$2:B$4,2,FALSE)</f>
        <v>792</v>
      </c>
      <c r="L1439" s="7" t="str">
        <f t="shared" si="90"/>
        <v>ГОТОВ</v>
      </c>
      <c r="M1439" s="7" t="str">
        <f t="shared" si="91"/>
        <v>61001002000</v>
      </c>
    </row>
    <row r="1440" spans="1:13" x14ac:dyDescent="0.25">
      <c r="A1440" s="1">
        <v>540977</v>
      </c>
      <c r="B1440" s="6" t="s">
        <v>1554</v>
      </c>
      <c r="C1440" s="9" t="s">
        <v>42</v>
      </c>
      <c r="D1440" s="6" t="s">
        <v>20</v>
      </c>
      <c r="E1440" s="6" t="s">
        <v>37</v>
      </c>
      <c r="F1440" s="6" t="s">
        <v>9</v>
      </c>
      <c r="G1440" s="6" t="s">
        <v>43</v>
      </c>
      <c r="H1440" s="9" t="s">
        <v>42</v>
      </c>
      <c r="I1440" s="7" t="str">
        <f t="shared" si="88"/>
        <v>61001002001</v>
      </c>
      <c r="J1440" s="7" t="str">
        <f t="shared" si="89"/>
        <v>Материал по ЕГРН</v>
      </c>
      <c r="K1440" s="7">
        <f>VLOOKUP(J1440,Лист2!A$2:B$4,2,FALSE)</f>
        <v>792</v>
      </c>
      <c r="L1440" s="7" t="str">
        <f t="shared" si="90"/>
        <v>ГОТОВ</v>
      </c>
      <c r="M1440" s="7" t="str">
        <f t="shared" si="91"/>
        <v>61001002001</v>
      </c>
    </row>
    <row r="1441" spans="1:13" x14ac:dyDescent="0.25">
      <c r="A1441" s="1">
        <v>742939</v>
      </c>
      <c r="B1441" s="6" t="s">
        <v>1555</v>
      </c>
      <c r="C1441" s="9" t="s">
        <v>35</v>
      </c>
      <c r="D1441" s="6" t="s">
        <v>20</v>
      </c>
      <c r="E1441" s="6" t="s">
        <v>37</v>
      </c>
      <c r="F1441" s="6" t="s">
        <v>9</v>
      </c>
      <c r="G1441" s="6" t="s">
        <v>34</v>
      </c>
      <c r="H1441" s="9" t="s">
        <v>35</v>
      </c>
      <c r="I1441" s="7" t="str">
        <f t="shared" si="88"/>
        <v>61001002000</v>
      </c>
      <c r="J1441" s="7" t="str">
        <f t="shared" si="89"/>
        <v>Материал по ЕГРН</v>
      </c>
      <c r="K1441" s="7">
        <f>VLOOKUP(J1441,Лист2!A$2:B$4,2,FALSE)</f>
        <v>792</v>
      </c>
      <c r="L1441" s="7" t="str">
        <f t="shared" si="90"/>
        <v>ГОТОВ</v>
      </c>
      <c r="M1441" s="7" t="str">
        <f t="shared" si="91"/>
        <v>61001002000</v>
      </c>
    </row>
    <row r="1442" spans="1:13" x14ac:dyDescent="0.25">
      <c r="A1442" s="1">
        <v>299518</v>
      </c>
      <c r="B1442" s="6" t="s">
        <v>1556</v>
      </c>
      <c r="C1442" s="9" t="s">
        <v>33</v>
      </c>
      <c r="D1442" s="6" t="s">
        <v>20</v>
      </c>
      <c r="E1442" s="6" t="s">
        <v>37</v>
      </c>
      <c r="F1442" s="6" t="s">
        <v>9</v>
      </c>
      <c r="G1442" s="6" t="s">
        <v>38</v>
      </c>
      <c r="H1442" s="9" t="s">
        <v>33</v>
      </c>
      <c r="I1442" s="7" t="str">
        <f t="shared" si="88"/>
        <v>61001005000</v>
      </c>
      <c r="J1442" s="7" t="str">
        <f t="shared" si="89"/>
        <v>Материал по ЕГРН</v>
      </c>
      <c r="K1442" s="7">
        <f>VLOOKUP(J1442,Лист2!A$2:B$4,2,FALSE)</f>
        <v>792</v>
      </c>
      <c r="L1442" s="7" t="str">
        <f t="shared" si="90"/>
        <v>ГОТОВ</v>
      </c>
      <c r="M1442" s="7" t="str">
        <f t="shared" si="91"/>
        <v>61001005000</v>
      </c>
    </row>
    <row r="1443" spans="1:13" x14ac:dyDescent="0.25">
      <c r="A1443" s="1">
        <v>666523</v>
      </c>
      <c r="B1443" s="6" t="s">
        <v>1557</v>
      </c>
      <c r="C1443" s="9" t="s">
        <v>33</v>
      </c>
      <c r="D1443" s="6" t="s">
        <v>20</v>
      </c>
      <c r="E1443" s="6" t="s">
        <v>37</v>
      </c>
      <c r="F1443" s="6" t="s">
        <v>9</v>
      </c>
      <c r="G1443" s="6" t="s">
        <v>38</v>
      </c>
      <c r="H1443" s="9" t="s">
        <v>33</v>
      </c>
      <c r="I1443" s="7" t="str">
        <f t="shared" si="88"/>
        <v>61001005000</v>
      </c>
      <c r="J1443" s="7" t="str">
        <f t="shared" si="89"/>
        <v>Материал по ЕГРН</v>
      </c>
      <c r="K1443" s="7">
        <f>VLOOKUP(J1443,Лист2!A$2:B$4,2,FALSE)</f>
        <v>792</v>
      </c>
      <c r="L1443" s="7" t="str">
        <f t="shared" si="90"/>
        <v>ГОТОВ</v>
      </c>
      <c r="M1443" s="7" t="str">
        <f t="shared" si="91"/>
        <v>61001005000</v>
      </c>
    </row>
    <row r="1444" spans="1:13" x14ac:dyDescent="0.25">
      <c r="A1444" s="1">
        <v>787512</v>
      </c>
      <c r="B1444" s="6" t="s">
        <v>1558</v>
      </c>
      <c r="C1444" s="9" t="s">
        <v>33</v>
      </c>
      <c r="D1444" s="6" t="s">
        <v>20</v>
      </c>
      <c r="E1444" s="6" t="s">
        <v>37</v>
      </c>
      <c r="F1444" s="6" t="s">
        <v>9</v>
      </c>
      <c r="G1444" s="6" t="s">
        <v>38</v>
      </c>
      <c r="H1444" s="9" t="s">
        <v>33</v>
      </c>
      <c r="I1444" s="7" t="str">
        <f t="shared" si="88"/>
        <v>61001005000</v>
      </c>
      <c r="J1444" s="7" t="str">
        <f t="shared" si="89"/>
        <v>Материал по ЕГРН</v>
      </c>
      <c r="K1444" s="7">
        <f>VLOOKUP(J1444,Лист2!A$2:B$4,2,FALSE)</f>
        <v>792</v>
      </c>
      <c r="L1444" s="7" t="str">
        <f t="shared" si="90"/>
        <v>ГОТОВ</v>
      </c>
      <c r="M1444" s="7" t="str">
        <f t="shared" si="91"/>
        <v>61001005000</v>
      </c>
    </row>
    <row r="1445" spans="1:13" x14ac:dyDescent="0.25">
      <c r="A1445" s="1">
        <v>907561</v>
      </c>
      <c r="B1445" s="6" t="s">
        <v>1559</v>
      </c>
      <c r="C1445" s="9" t="s">
        <v>35</v>
      </c>
      <c r="D1445" s="6" t="s">
        <v>14</v>
      </c>
      <c r="E1445" s="6" t="s">
        <v>37</v>
      </c>
      <c r="F1445" s="6" t="s">
        <v>9</v>
      </c>
      <c r="G1445" s="6" t="s">
        <v>34</v>
      </c>
      <c r="H1445" s="9" t="s">
        <v>35</v>
      </c>
      <c r="I1445" s="7" t="str">
        <f t="shared" si="88"/>
        <v>61001002000</v>
      </c>
      <c r="J1445" s="7" t="str">
        <f t="shared" si="89"/>
        <v>Материал по ЕГРН</v>
      </c>
      <c r="K1445" s="7">
        <f>VLOOKUP(J1445,Лист2!A$2:B$4,2,FALSE)</f>
        <v>792</v>
      </c>
      <c r="L1445" s="7" t="str">
        <f t="shared" si="90"/>
        <v>ГОТОВ</v>
      </c>
      <c r="M1445" s="7" t="str">
        <f t="shared" si="91"/>
        <v>61001002000</v>
      </c>
    </row>
    <row r="1446" spans="1:13" x14ac:dyDescent="0.25">
      <c r="A1446" s="1">
        <v>943427</v>
      </c>
      <c r="B1446" s="6" t="s">
        <v>1560</v>
      </c>
      <c r="F1446" s="6" t="s">
        <v>9</v>
      </c>
      <c r="G1446" s="6" t="s">
        <v>62</v>
      </c>
      <c r="H1446" s="9" t="s">
        <v>63</v>
      </c>
      <c r="I1446" s="7" t="str">
        <f t="shared" si="88"/>
        <v>61001006002</v>
      </c>
      <c r="J1446" s="7" t="str">
        <f t="shared" si="89"/>
        <v>Материал по ЕГРН</v>
      </c>
      <c r="K1446" s="7">
        <f>VLOOKUP(J1446,Лист2!A$2:B$4,2,FALSE)</f>
        <v>792</v>
      </c>
      <c r="L1446" s="7" t="str">
        <f t="shared" si="90"/>
        <v>ГОТОВ_ИЗМЕНЕН</v>
      </c>
      <c r="M1446" s="7">
        <f t="shared" si="91"/>
        <v>0</v>
      </c>
    </row>
    <row r="1447" spans="1:13" x14ac:dyDescent="0.25">
      <c r="A1447" s="1">
        <v>943439</v>
      </c>
      <c r="B1447" s="6" t="s">
        <v>1561</v>
      </c>
      <c r="F1447" s="6" t="s">
        <v>9</v>
      </c>
      <c r="G1447" s="6" t="s">
        <v>34</v>
      </c>
      <c r="H1447" s="9" t="s">
        <v>35</v>
      </c>
      <c r="I1447" s="7" t="str">
        <f t="shared" si="88"/>
        <v>61001002000</v>
      </c>
      <c r="J1447" s="7" t="str">
        <f t="shared" si="89"/>
        <v>Материал по ЕГРН</v>
      </c>
      <c r="K1447" s="7">
        <f>VLOOKUP(J1447,Лист2!A$2:B$4,2,FALSE)</f>
        <v>792</v>
      </c>
      <c r="L1447" s="7" t="str">
        <f t="shared" si="90"/>
        <v>ГОТОВ_ИЗМЕНЕН</v>
      </c>
      <c r="M1447" s="7">
        <f t="shared" si="91"/>
        <v>0</v>
      </c>
    </row>
    <row r="1448" spans="1:13" x14ac:dyDescent="0.25">
      <c r="A1448" s="1">
        <v>943451</v>
      </c>
      <c r="B1448" s="6" t="s">
        <v>1562</v>
      </c>
      <c r="F1448" s="6" t="s">
        <v>9</v>
      </c>
      <c r="G1448" s="6" t="s">
        <v>111</v>
      </c>
      <c r="H1448" s="9" t="s">
        <v>110</v>
      </c>
      <c r="I1448" s="7" t="str">
        <f t="shared" si="88"/>
        <v>61001007001</v>
      </c>
      <c r="J1448" s="7" t="str">
        <f t="shared" si="89"/>
        <v>Материал по ЕГРН</v>
      </c>
      <c r="K1448" s="7">
        <f>VLOOKUP(J1448,Лист2!A$2:B$4,2,FALSE)</f>
        <v>792</v>
      </c>
      <c r="L1448" s="7" t="str">
        <f t="shared" si="90"/>
        <v>ГОТОВ_ИЗМЕНЕН</v>
      </c>
      <c r="M1448" s="7">
        <f t="shared" si="91"/>
        <v>0</v>
      </c>
    </row>
    <row r="1449" spans="1:13" x14ac:dyDescent="0.25">
      <c r="A1449" s="1">
        <v>943463</v>
      </c>
      <c r="B1449" s="6" t="s">
        <v>1563</v>
      </c>
      <c r="F1449" s="6" t="s">
        <v>9</v>
      </c>
      <c r="G1449" s="6" t="s">
        <v>38</v>
      </c>
      <c r="H1449" s="9" t="s">
        <v>33</v>
      </c>
      <c r="I1449" s="7" t="str">
        <f t="shared" si="88"/>
        <v>61001005000</v>
      </c>
      <c r="J1449" s="7" t="str">
        <f t="shared" si="89"/>
        <v>Материал по ЕГРН</v>
      </c>
      <c r="K1449" s="7">
        <f>VLOOKUP(J1449,Лист2!A$2:B$4,2,FALSE)</f>
        <v>792</v>
      </c>
      <c r="L1449" s="7" t="str">
        <f t="shared" si="90"/>
        <v>ГОТОВ_ИЗМЕНЕН</v>
      </c>
      <c r="M1449" s="7">
        <f t="shared" si="91"/>
        <v>0</v>
      </c>
    </row>
    <row r="1450" spans="1:13" x14ac:dyDescent="0.25">
      <c r="A1450" s="1">
        <v>943475</v>
      </c>
      <c r="B1450" s="6" t="s">
        <v>1564</v>
      </c>
      <c r="F1450" s="6" t="s">
        <v>9</v>
      </c>
      <c r="G1450" s="6" t="s">
        <v>62</v>
      </c>
      <c r="H1450" s="9" t="s">
        <v>63</v>
      </c>
      <c r="I1450" s="7" t="str">
        <f t="shared" si="88"/>
        <v>61001006002</v>
      </c>
      <c r="J1450" s="7" t="str">
        <f t="shared" si="89"/>
        <v>Материал по ЕГРН</v>
      </c>
      <c r="K1450" s="7">
        <f>VLOOKUP(J1450,Лист2!A$2:B$4,2,FALSE)</f>
        <v>792</v>
      </c>
      <c r="L1450" s="7" t="str">
        <f t="shared" si="90"/>
        <v>ГОТОВ_ИЗМЕНЕН</v>
      </c>
      <c r="M1450" s="7">
        <f t="shared" si="91"/>
        <v>0</v>
      </c>
    </row>
    <row r="1451" spans="1:13" x14ac:dyDescent="0.25">
      <c r="A1451" s="1">
        <v>943487</v>
      </c>
      <c r="B1451" s="6" t="s">
        <v>1565</v>
      </c>
      <c r="F1451" s="6" t="s">
        <v>9</v>
      </c>
      <c r="G1451" s="6" t="s">
        <v>139</v>
      </c>
      <c r="H1451" s="9" t="s">
        <v>140</v>
      </c>
      <c r="I1451" s="7" t="str">
        <f t="shared" si="88"/>
        <v>61001999000</v>
      </c>
      <c r="J1451" s="7" t="str">
        <f t="shared" si="89"/>
        <v>Материал по ЕГРН</v>
      </c>
      <c r="K1451" s="7">
        <f>VLOOKUP(J1451,Лист2!A$2:B$4,2,FALSE)</f>
        <v>792</v>
      </c>
      <c r="L1451" s="7" t="str">
        <f t="shared" si="90"/>
        <v>ГОТОВ_ИЗМЕНЕН</v>
      </c>
      <c r="M1451" s="7">
        <f t="shared" si="91"/>
        <v>0</v>
      </c>
    </row>
    <row r="1452" spans="1:13" x14ac:dyDescent="0.25">
      <c r="A1452" s="1">
        <v>943499</v>
      </c>
      <c r="B1452" s="6" t="s">
        <v>1566</v>
      </c>
      <c r="F1452" s="6" t="s">
        <v>9</v>
      </c>
      <c r="G1452" s="6" t="s">
        <v>10</v>
      </c>
      <c r="H1452" s="9" t="s">
        <v>11</v>
      </c>
      <c r="I1452" s="7" t="str">
        <f t="shared" si="88"/>
        <v>61001003000</v>
      </c>
      <c r="J1452" s="7" t="str">
        <f t="shared" si="89"/>
        <v>Материал по ЕГРН</v>
      </c>
      <c r="K1452" s="7">
        <f>VLOOKUP(J1452,Лист2!A$2:B$4,2,FALSE)</f>
        <v>792</v>
      </c>
      <c r="L1452" s="7" t="str">
        <f t="shared" si="90"/>
        <v>ГОТОВ_ИЗМЕНЕН</v>
      </c>
      <c r="M1452" s="7">
        <f t="shared" si="91"/>
        <v>0</v>
      </c>
    </row>
    <row r="1453" spans="1:13" x14ac:dyDescent="0.25">
      <c r="A1453" s="1">
        <v>943511</v>
      </c>
      <c r="B1453" s="6" t="s">
        <v>1567</v>
      </c>
      <c r="F1453" s="6" t="s">
        <v>9</v>
      </c>
      <c r="G1453" s="6" t="s">
        <v>34</v>
      </c>
      <c r="H1453" s="9" t="s">
        <v>35</v>
      </c>
      <c r="I1453" s="7" t="str">
        <f t="shared" si="88"/>
        <v>61001002000</v>
      </c>
      <c r="J1453" s="7" t="str">
        <f t="shared" si="89"/>
        <v>Материал по ЕГРН</v>
      </c>
      <c r="K1453" s="7">
        <f>VLOOKUP(J1453,Лист2!A$2:B$4,2,FALSE)</f>
        <v>792</v>
      </c>
      <c r="L1453" s="7" t="str">
        <f t="shared" si="90"/>
        <v>ГОТОВ_ИЗМЕНЕН</v>
      </c>
      <c r="M1453" s="7">
        <f t="shared" si="91"/>
        <v>0</v>
      </c>
    </row>
    <row r="1454" spans="1:13" x14ac:dyDescent="0.25">
      <c r="A1454" s="1">
        <v>943523</v>
      </c>
      <c r="B1454" s="6" t="s">
        <v>1568</v>
      </c>
      <c r="F1454" s="6" t="s">
        <v>9</v>
      </c>
      <c r="G1454" s="6" t="s">
        <v>1371</v>
      </c>
      <c r="H1454" s="9" t="s">
        <v>1372</v>
      </c>
      <c r="I1454" s="7" t="str">
        <f t="shared" si="88"/>
        <v>61001007002</v>
      </c>
      <c r="J1454" s="7" t="str">
        <f t="shared" si="89"/>
        <v>Материал по ЕГРН</v>
      </c>
      <c r="K1454" s="7">
        <f>VLOOKUP(J1454,Лист2!A$2:B$4,2,FALSE)</f>
        <v>792</v>
      </c>
      <c r="L1454" s="7" t="str">
        <f t="shared" si="90"/>
        <v>ГОТОВ_ИЗМЕНЕН</v>
      </c>
      <c r="M1454" s="7">
        <f t="shared" si="91"/>
        <v>0</v>
      </c>
    </row>
    <row r="1455" spans="1:13" x14ac:dyDescent="0.25">
      <c r="A1455" s="1">
        <v>943535</v>
      </c>
      <c r="B1455" s="6" t="s">
        <v>1569</v>
      </c>
      <c r="F1455" s="6" t="s">
        <v>9</v>
      </c>
      <c r="G1455" s="6" t="s">
        <v>38</v>
      </c>
      <c r="H1455" s="9" t="s">
        <v>33</v>
      </c>
      <c r="I1455" s="7" t="str">
        <f t="shared" si="88"/>
        <v>61001005000</v>
      </c>
      <c r="J1455" s="7" t="str">
        <f t="shared" si="89"/>
        <v>Материал по ЕГРН</v>
      </c>
      <c r="K1455" s="7">
        <f>VLOOKUP(J1455,Лист2!A$2:B$4,2,FALSE)</f>
        <v>792</v>
      </c>
      <c r="L1455" s="7" t="str">
        <f t="shared" si="90"/>
        <v>ГОТОВ_ИЗМЕНЕН</v>
      </c>
      <c r="M1455" s="7">
        <f t="shared" si="91"/>
        <v>0</v>
      </c>
    </row>
    <row r="1456" spans="1:13" x14ac:dyDescent="0.25">
      <c r="A1456" s="1">
        <v>943547</v>
      </c>
      <c r="B1456" s="6" t="s">
        <v>1570</v>
      </c>
      <c r="F1456" s="6" t="s">
        <v>9</v>
      </c>
      <c r="G1456" s="6" t="s">
        <v>34</v>
      </c>
      <c r="H1456" s="9" t="s">
        <v>35</v>
      </c>
      <c r="I1456" s="7" t="str">
        <f t="shared" si="88"/>
        <v>61001002000</v>
      </c>
      <c r="J1456" s="7" t="str">
        <f t="shared" si="89"/>
        <v>Материал по ЕГРН</v>
      </c>
      <c r="K1456" s="7">
        <f>VLOOKUP(J1456,Лист2!A$2:B$4,2,FALSE)</f>
        <v>792</v>
      </c>
      <c r="L1456" s="7" t="str">
        <f t="shared" si="90"/>
        <v>ГОТОВ_ИЗМЕНЕН</v>
      </c>
      <c r="M1456" s="7">
        <f t="shared" si="91"/>
        <v>0</v>
      </c>
    </row>
    <row r="1457" spans="1:13" x14ac:dyDescent="0.25">
      <c r="A1457" s="1">
        <v>943559</v>
      </c>
      <c r="B1457" s="6" t="s">
        <v>1571</v>
      </c>
      <c r="F1457" s="6" t="s">
        <v>9</v>
      </c>
      <c r="G1457" s="6" t="s">
        <v>34</v>
      </c>
      <c r="H1457" s="9" t="s">
        <v>35</v>
      </c>
      <c r="I1457" s="7" t="str">
        <f t="shared" si="88"/>
        <v>61001002000</v>
      </c>
      <c r="J1457" s="7" t="str">
        <f t="shared" si="89"/>
        <v>Материал по ЕГРН</v>
      </c>
      <c r="K1457" s="7">
        <f>VLOOKUP(J1457,Лист2!A$2:B$4,2,FALSE)</f>
        <v>792</v>
      </c>
      <c r="L1457" s="7" t="str">
        <f t="shared" si="90"/>
        <v>ГОТОВ_ИЗМЕНЕН</v>
      </c>
      <c r="M1457" s="7">
        <f t="shared" si="91"/>
        <v>0</v>
      </c>
    </row>
    <row r="1458" spans="1:13" x14ac:dyDescent="0.25">
      <c r="A1458" s="1">
        <v>943571</v>
      </c>
      <c r="B1458" s="6" t="s">
        <v>1572</v>
      </c>
      <c r="F1458" s="6" t="s">
        <v>9</v>
      </c>
      <c r="G1458" s="6" t="s">
        <v>62</v>
      </c>
      <c r="H1458" s="9" t="s">
        <v>63</v>
      </c>
      <c r="I1458" s="7" t="str">
        <f t="shared" si="88"/>
        <v>61001006002</v>
      </c>
      <c r="J1458" s="7" t="str">
        <f t="shared" si="89"/>
        <v>Материал по ЕГРН</v>
      </c>
      <c r="K1458" s="7">
        <f>VLOOKUP(J1458,Лист2!A$2:B$4,2,FALSE)</f>
        <v>792</v>
      </c>
      <c r="L1458" s="7" t="str">
        <f t="shared" si="90"/>
        <v>ГОТОВ_ИЗМЕНЕН</v>
      </c>
      <c r="M1458" s="7">
        <f t="shared" si="91"/>
        <v>0</v>
      </c>
    </row>
    <row r="1459" spans="1:13" x14ac:dyDescent="0.25">
      <c r="A1459" s="1">
        <v>943583</v>
      </c>
      <c r="B1459" s="6" t="s">
        <v>1573</v>
      </c>
      <c r="F1459" s="6" t="s">
        <v>9</v>
      </c>
      <c r="G1459" s="6" t="s">
        <v>34</v>
      </c>
      <c r="H1459" s="9" t="s">
        <v>35</v>
      </c>
      <c r="I1459" s="7" t="str">
        <f t="shared" si="88"/>
        <v>61001002000</v>
      </c>
      <c r="J1459" s="7" t="str">
        <f t="shared" si="89"/>
        <v>Материал по ЕГРН</v>
      </c>
      <c r="K1459" s="7">
        <f>VLOOKUP(J1459,Лист2!A$2:B$4,2,FALSE)</f>
        <v>792</v>
      </c>
      <c r="L1459" s="7" t="str">
        <f t="shared" si="90"/>
        <v>ГОТОВ_ИЗМЕНЕН</v>
      </c>
      <c r="M1459" s="7">
        <f t="shared" si="91"/>
        <v>0</v>
      </c>
    </row>
    <row r="1460" spans="1:13" x14ac:dyDescent="0.25">
      <c r="A1460" s="1">
        <v>943595</v>
      </c>
      <c r="B1460" s="6" t="s">
        <v>1574</v>
      </c>
      <c r="F1460" s="6" t="s">
        <v>9</v>
      </c>
      <c r="G1460" s="6" t="s">
        <v>38</v>
      </c>
      <c r="H1460" s="9" t="s">
        <v>33</v>
      </c>
      <c r="I1460" s="7" t="str">
        <f t="shared" si="88"/>
        <v>61001005000</v>
      </c>
      <c r="J1460" s="7" t="str">
        <f t="shared" si="89"/>
        <v>Материал по ЕГРН</v>
      </c>
      <c r="K1460" s="7">
        <f>VLOOKUP(J1460,Лист2!A$2:B$4,2,FALSE)</f>
        <v>792</v>
      </c>
      <c r="L1460" s="7" t="str">
        <f t="shared" si="90"/>
        <v>ГОТОВ_ИЗМЕНЕН</v>
      </c>
      <c r="M1460" s="7">
        <f t="shared" si="91"/>
        <v>0</v>
      </c>
    </row>
    <row r="1461" spans="1:13" x14ac:dyDescent="0.25">
      <c r="A1461" s="1">
        <v>943607</v>
      </c>
      <c r="B1461" s="6" t="s">
        <v>1575</v>
      </c>
      <c r="F1461" s="6" t="s">
        <v>9</v>
      </c>
      <c r="G1461" s="6" t="s">
        <v>38</v>
      </c>
      <c r="H1461" s="9" t="s">
        <v>33</v>
      </c>
      <c r="I1461" s="7" t="str">
        <f t="shared" si="88"/>
        <v>61001005000</v>
      </c>
      <c r="J1461" s="7" t="str">
        <f t="shared" si="89"/>
        <v>Материал по ЕГРН</v>
      </c>
      <c r="K1461" s="7">
        <f>VLOOKUP(J1461,Лист2!A$2:B$4,2,FALSE)</f>
        <v>792</v>
      </c>
      <c r="L1461" s="7" t="str">
        <f t="shared" si="90"/>
        <v>ГОТОВ_ИЗМЕНЕН</v>
      </c>
      <c r="M1461" s="7">
        <f t="shared" si="91"/>
        <v>0</v>
      </c>
    </row>
    <row r="1462" spans="1:13" x14ac:dyDescent="0.25">
      <c r="A1462" s="1">
        <v>943619</v>
      </c>
      <c r="B1462" s="6" t="s">
        <v>1576</v>
      </c>
      <c r="F1462" s="6" t="s">
        <v>9</v>
      </c>
      <c r="G1462" s="6" t="s">
        <v>38</v>
      </c>
      <c r="H1462" s="9" t="s">
        <v>33</v>
      </c>
      <c r="I1462" s="7" t="str">
        <f t="shared" si="88"/>
        <v>61001005000</v>
      </c>
      <c r="J1462" s="7" t="str">
        <f t="shared" si="89"/>
        <v>Материал по ЕГРН</v>
      </c>
      <c r="K1462" s="7">
        <f>VLOOKUP(J1462,Лист2!A$2:B$4,2,FALSE)</f>
        <v>792</v>
      </c>
      <c r="L1462" s="7" t="str">
        <f t="shared" si="90"/>
        <v>ГОТОВ_ИЗМЕНЕН</v>
      </c>
      <c r="M1462" s="7">
        <f t="shared" si="91"/>
        <v>0</v>
      </c>
    </row>
    <row r="1463" spans="1:13" x14ac:dyDescent="0.25">
      <c r="A1463" s="1">
        <v>120537</v>
      </c>
      <c r="B1463" s="6" t="s">
        <v>1577</v>
      </c>
      <c r="C1463" s="9" t="s">
        <v>42</v>
      </c>
      <c r="D1463" s="6" t="s">
        <v>20</v>
      </c>
      <c r="E1463" s="6" t="s">
        <v>37</v>
      </c>
      <c r="F1463" s="6" t="s">
        <v>9</v>
      </c>
      <c r="G1463" s="6" t="s">
        <v>43</v>
      </c>
      <c r="H1463" s="9" t="s">
        <v>42</v>
      </c>
      <c r="I1463" s="7" t="str">
        <f t="shared" si="88"/>
        <v>61001002001</v>
      </c>
      <c r="J1463" s="7" t="str">
        <f t="shared" si="89"/>
        <v>Материал по ЕГРН</v>
      </c>
      <c r="K1463" s="7">
        <f>VLOOKUP(J1463,Лист2!A$2:B$4,2,FALSE)</f>
        <v>792</v>
      </c>
      <c r="L1463" s="7" t="str">
        <f t="shared" si="90"/>
        <v>ГОТОВ</v>
      </c>
      <c r="M1463" s="7" t="str">
        <f t="shared" si="91"/>
        <v>61001002001</v>
      </c>
    </row>
    <row r="1464" spans="1:13" x14ac:dyDescent="0.25">
      <c r="A1464" s="1">
        <v>303794</v>
      </c>
      <c r="B1464" s="6" t="s">
        <v>1578</v>
      </c>
      <c r="C1464" s="9" t="s">
        <v>35</v>
      </c>
      <c r="D1464" s="6" t="s">
        <v>20</v>
      </c>
      <c r="E1464" s="6" t="s">
        <v>37</v>
      </c>
      <c r="F1464" s="6" t="s">
        <v>9</v>
      </c>
      <c r="G1464" s="6" t="s">
        <v>34</v>
      </c>
      <c r="H1464" s="9" t="s">
        <v>35</v>
      </c>
      <c r="I1464" s="7" t="str">
        <f t="shared" si="88"/>
        <v>61001002000</v>
      </c>
      <c r="J1464" s="7" t="str">
        <f t="shared" si="89"/>
        <v>Материал по ЕГРН</v>
      </c>
      <c r="K1464" s="7">
        <f>VLOOKUP(J1464,Лист2!A$2:B$4,2,FALSE)</f>
        <v>792</v>
      </c>
      <c r="L1464" s="7" t="str">
        <f t="shared" si="90"/>
        <v>ГОТОВ</v>
      </c>
      <c r="M1464" s="7" t="str">
        <f t="shared" si="91"/>
        <v>61001002000</v>
      </c>
    </row>
    <row r="1465" spans="1:13" x14ac:dyDescent="0.25">
      <c r="A1465" s="1">
        <v>520878</v>
      </c>
      <c r="B1465" s="6" t="s">
        <v>1579</v>
      </c>
      <c r="C1465" s="9" t="s">
        <v>33</v>
      </c>
      <c r="D1465" s="6" t="s">
        <v>20</v>
      </c>
      <c r="E1465" s="6" t="s">
        <v>37</v>
      </c>
      <c r="F1465" s="6" t="s">
        <v>9</v>
      </c>
      <c r="G1465" s="6" t="s">
        <v>38</v>
      </c>
      <c r="H1465" s="9" t="s">
        <v>33</v>
      </c>
      <c r="I1465" s="7" t="str">
        <f t="shared" si="88"/>
        <v>61001005000</v>
      </c>
      <c r="J1465" s="7" t="str">
        <f t="shared" si="89"/>
        <v>Материал по ЕГРН</v>
      </c>
      <c r="K1465" s="7">
        <f>VLOOKUP(J1465,Лист2!A$2:B$4,2,FALSE)</f>
        <v>792</v>
      </c>
      <c r="L1465" s="7" t="str">
        <f t="shared" si="90"/>
        <v>ГОТОВ</v>
      </c>
      <c r="M1465" s="7" t="str">
        <f t="shared" si="91"/>
        <v>61001005000</v>
      </c>
    </row>
    <row r="1466" spans="1:13" x14ac:dyDescent="0.25">
      <c r="A1466" s="1">
        <v>527691</v>
      </c>
      <c r="B1466" s="6" t="s">
        <v>1580</v>
      </c>
      <c r="C1466" s="9" t="s">
        <v>33</v>
      </c>
      <c r="D1466" s="6" t="s">
        <v>20</v>
      </c>
      <c r="E1466" s="6" t="s">
        <v>37</v>
      </c>
      <c r="F1466" s="6" t="s">
        <v>9</v>
      </c>
      <c r="G1466" s="6" t="s">
        <v>38</v>
      </c>
      <c r="H1466" s="9" t="s">
        <v>33</v>
      </c>
      <c r="I1466" s="7" t="str">
        <f t="shared" si="88"/>
        <v>61001005000</v>
      </c>
      <c r="J1466" s="7" t="str">
        <f t="shared" si="89"/>
        <v>Материал по ЕГРН</v>
      </c>
      <c r="K1466" s="7">
        <f>VLOOKUP(J1466,Лист2!A$2:B$4,2,FALSE)</f>
        <v>792</v>
      </c>
      <c r="L1466" s="7" t="str">
        <f t="shared" si="90"/>
        <v>ГОТОВ</v>
      </c>
      <c r="M1466" s="7" t="str">
        <f t="shared" si="91"/>
        <v>61001005000</v>
      </c>
    </row>
    <row r="1467" spans="1:13" x14ac:dyDescent="0.25">
      <c r="A1467" s="1">
        <v>724314</v>
      </c>
      <c r="B1467" s="6" t="s">
        <v>1581</v>
      </c>
      <c r="C1467" s="9" t="s">
        <v>33</v>
      </c>
      <c r="D1467" s="6" t="s">
        <v>20</v>
      </c>
      <c r="E1467" s="6" t="s">
        <v>8</v>
      </c>
      <c r="F1467" s="6" t="s">
        <v>9</v>
      </c>
      <c r="G1467" s="6" t="s">
        <v>34</v>
      </c>
      <c r="H1467" s="9" t="s">
        <v>35</v>
      </c>
      <c r="I1467" s="7" t="str">
        <f t="shared" si="88"/>
        <v>61001002000</v>
      </c>
      <c r="J1467" s="7" t="str">
        <f t="shared" si="89"/>
        <v>Материал по ЕГРН</v>
      </c>
      <c r="K1467" s="7">
        <f>VLOOKUP(J1467,Лист2!A$2:B$4,2,FALSE)</f>
        <v>792</v>
      </c>
      <c r="L1467" s="7" t="str">
        <f t="shared" si="90"/>
        <v>ГОТОВ_ИЗМЕНЕН</v>
      </c>
      <c r="M1467" s="7" t="str">
        <f t="shared" si="91"/>
        <v>61001005000</v>
      </c>
    </row>
    <row r="1468" spans="1:13" x14ac:dyDescent="0.25">
      <c r="A1468" s="1">
        <v>944644</v>
      </c>
      <c r="B1468" s="6" t="s">
        <v>1582</v>
      </c>
      <c r="F1468" s="6" t="s">
        <v>9</v>
      </c>
      <c r="G1468" s="6" t="s">
        <v>38</v>
      </c>
      <c r="H1468" s="9" t="s">
        <v>33</v>
      </c>
      <c r="I1468" s="7" t="str">
        <f t="shared" si="88"/>
        <v>61001005000</v>
      </c>
      <c r="J1468" s="7" t="str">
        <f t="shared" si="89"/>
        <v>Материал по ЕГРН</v>
      </c>
      <c r="K1468" s="7">
        <f>VLOOKUP(J1468,Лист2!A$2:B$4,2,FALSE)</f>
        <v>792</v>
      </c>
      <c r="L1468" s="7" t="str">
        <f t="shared" si="90"/>
        <v>ГОТОВ_ИЗМЕНЕН</v>
      </c>
      <c r="M1468" s="7">
        <f t="shared" si="91"/>
        <v>0</v>
      </c>
    </row>
    <row r="1469" spans="1:13" x14ac:dyDescent="0.25">
      <c r="A1469" s="1">
        <v>944656</v>
      </c>
      <c r="B1469" s="6" t="s">
        <v>1583</v>
      </c>
      <c r="F1469" s="6" t="s">
        <v>9</v>
      </c>
      <c r="G1469" s="6" t="s">
        <v>62</v>
      </c>
      <c r="H1469" s="9" t="s">
        <v>63</v>
      </c>
      <c r="I1469" s="7" t="str">
        <f t="shared" si="88"/>
        <v>61001006002</v>
      </c>
      <c r="J1469" s="7" t="str">
        <f t="shared" si="89"/>
        <v>Материал по ЕГРН</v>
      </c>
      <c r="K1469" s="7">
        <f>VLOOKUP(J1469,Лист2!A$2:B$4,2,FALSE)</f>
        <v>792</v>
      </c>
      <c r="L1469" s="7" t="str">
        <f t="shared" si="90"/>
        <v>ГОТОВ_ИЗМЕНЕН</v>
      </c>
      <c r="M1469" s="7">
        <f t="shared" si="91"/>
        <v>0</v>
      </c>
    </row>
    <row r="1470" spans="1:13" x14ac:dyDescent="0.25">
      <c r="A1470" s="1">
        <v>944668</v>
      </c>
      <c r="B1470" s="6" t="s">
        <v>1584</v>
      </c>
      <c r="F1470" s="6" t="s">
        <v>9</v>
      </c>
      <c r="G1470" s="6" t="s">
        <v>34</v>
      </c>
      <c r="H1470" s="9" t="s">
        <v>35</v>
      </c>
      <c r="I1470" s="7" t="str">
        <f t="shared" si="88"/>
        <v>61001002000</v>
      </c>
      <c r="J1470" s="7" t="str">
        <f t="shared" si="89"/>
        <v>Материал по ЕГРН</v>
      </c>
      <c r="K1470" s="7">
        <f>VLOOKUP(J1470,Лист2!A$2:B$4,2,FALSE)</f>
        <v>792</v>
      </c>
      <c r="L1470" s="7" t="str">
        <f t="shared" si="90"/>
        <v>ГОТОВ_ИЗМЕНЕН</v>
      </c>
      <c r="M1470" s="7">
        <f t="shared" si="91"/>
        <v>0</v>
      </c>
    </row>
    <row r="1471" spans="1:13" x14ac:dyDescent="0.25">
      <c r="A1471" s="1">
        <v>944680</v>
      </c>
      <c r="B1471" s="6" t="s">
        <v>1585</v>
      </c>
      <c r="F1471" s="6" t="s">
        <v>9</v>
      </c>
      <c r="G1471" s="6" t="s">
        <v>34</v>
      </c>
      <c r="H1471" s="9" t="s">
        <v>35</v>
      </c>
      <c r="I1471" s="7" t="str">
        <f t="shared" si="88"/>
        <v>61001002000</v>
      </c>
      <c r="J1471" s="7" t="str">
        <f t="shared" si="89"/>
        <v>Материал по ЕГРН</v>
      </c>
      <c r="K1471" s="7">
        <f>VLOOKUP(J1471,Лист2!A$2:B$4,2,FALSE)</f>
        <v>792</v>
      </c>
      <c r="L1471" s="7" t="str">
        <f t="shared" si="90"/>
        <v>ГОТОВ_ИЗМЕНЕН</v>
      </c>
      <c r="M1471" s="7">
        <f t="shared" si="91"/>
        <v>0</v>
      </c>
    </row>
    <row r="1472" spans="1:13" x14ac:dyDescent="0.25">
      <c r="A1472" s="1">
        <v>944692</v>
      </c>
      <c r="B1472" s="6" t="s">
        <v>1586</v>
      </c>
      <c r="F1472" s="6" t="s">
        <v>9</v>
      </c>
      <c r="G1472" s="6" t="s">
        <v>38</v>
      </c>
      <c r="H1472" s="9" t="s">
        <v>33</v>
      </c>
      <c r="I1472" s="7" t="str">
        <f t="shared" si="88"/>
        <v>61001005000</v>
      </c>
      <c r="J1472" s="7" t="str">
        <f t="shared" si="89"/>
        <v>Материал по ЕГРН</v>
      </c>
      <c r="K1472" s="7">
        <f>VLOOKUP(J1472,Лист2!A$2:B$4,2,FALSE)</f>
        <v>792</v>
      </c>
      <c r="L1472" s="7" t="str">
        <f t="shared" si="90"/>
        <v>ГОТОВ_ИЗМЕНЕН</v>
      </c>
      <c r="M1472" s="7">
        <f t="shared" si="91"/>
        <v>0</v>
      </c>
    </row>
    <row r="1473" spans="1:13" x14ac:dyDescent="0.25">
      <c r="A1473" s="1">
        <v>944704</v>
      </c>
      <c r="B1473" s="6" t="s">
        <v>1587</v>
      </c>
      <c r="F1473" s="6" t="s">
        <v>9</v>
      </c>
      <c r="G1473" s="6" t="s">
        <v>38</v>
      </c>
      <c r="H1473" s="9" t="s">
        <v>33</v>
      </c>
      <c r="I1473" s="7" t="str">
        <f t="shared" si="88"/>
        <v>61001005000</v>
      </c>
      <c r="J1473" s="7" t="str">
        <f t="shared" si="89"/>
        <v>Материал по ЕГРН</v>
      </c>
      <c r="K1473" s="7">
        <f>VLOOKUP(J1473,Лист2!A$2:B$4,2,FALSE)</f>
        <v>792</v>
      </c>
      <c r="L1473" s="7" t="str">
        <f t="shared" si="90"/>
        <v>ГОТОВ_ИЗМЕНЕН</v>
      </c>
      <c r="M1473" s="7">
        <f t="shared" si="91"/>
        <v>0</v>
      </c>
    </row>
    <row r="1474" spans="1:13" x14ac:dyDescent="0.25">
      <c r="A1474" s="1">
        <v>944716</v>
      </c>
      <c r="B1474" s="6" t="s">
        <v>1588</v>
      </c>
      <c r="F1474" s="6" t="s">
        <v>9</v>
      </c>
      <c r="G1474" s="6" t="s">
        <v>90</v>
      </c>
      <c r="H1474" s="9" t="s">
        <v>12</v>
      </c>
      <c r="I1474" s="7" t="str">
        <f t="shared" si="88"/>
        <v>61001008000</v>
      </c>
      <c r="J1474" s="7" t="str">
        <f t="shared" si="89"/>
        <v>Материал по ЕГРН</v>
      </c>
      <c r="K1474" s="7">
        <f>VLOOKUP(J1474,Лист2!A$2:B$4,2,FALSE)</f>
        <v>792</v>
      </c>
      <c r="L1474" s="7" t="str">
        <f t="shared" si="90"/>
        <v>ГОТОВ_ИЗМЕНЕН</v>
      </c>
      <c r="M1474" s="7">
        <f t="shared" si="91"/>
        <v>0</v>
      </c>
    </row>
    <row r="1475" spans="1:13" x14ac:dyDescent="0.25">
      <c r="A1475" s="1">
        <v>944728</v>
      </c>
      <c r="B1475" s="6" t="s">
        <v>1589</v>
      </c>
      <c r="F1475" s="6" t="s">
        <v>9</v>
      </c>
      <c r="G1475" s="6" t="s">
        <v>38</v>
      </c>
      <c r="H1475" s="9" t="s">
        <v>33</v>
      </c>
      <c r="I1475" s="7" t="str">
        <f t="shared" si="88"/>
        <v>61001005000</v>
      </c>
      <c r="J1475" s="7" t="str">
        <f t="shared" si="89"/>
        <v>Материал по ЕГРН</v>
      </c>
      <c r="K1475" s="7">
        <f>VLOOKUP(J1475,Лист2!A$2:B$4,2,FALSE)</f>
        <v>792</v>
      </c>
      <c r="L1475" s="7" t="str">
        <f t="shared" si="90"/>
        <v>ГОТОВ_ИЗМЕНЕН</v>
      </c>
      <c r="M1475" s="7">
        <f t="shared" si="91"/>
        <v>0</v>
      </c>
    </row>
    <row r="1476" spans="1:13" x14ac:dyDescent="0.25">
      <c r="A1476" s="1">
        <v>944740</v>
      </c>
      <c r="B1476" s="6" t="s">
        <v>1590</v>
      </c>
      <c r="F1476" s="6" t="s">
        <v>9</v>
      </c>
      <c r="G1476" s="6" t="s">
        <v>34</v>
      </c>
      <c r="H1476" s="9" t="s">
        <v>35</v>
      </c>
      <c r="I1476" s="7" t="str">
        <f t="shared" si="88"/>
        <v>61001002000</v>
      </c>
      <c r="J1476" s="7" t="str">
        <f t="shared" si="89"/>
        <v>Материал по ЕГРН</v>
      </c>
      <c r="K1476" s="7">
        <f>VLOOKUP(J1476,Лист2!A$2:B$4,2,FALSE)</f>
        <v>792</v>
      </c>
      <c r="L1476" s="7" t="str">
        <f t="shared" si="90"/>
        <v>ГОТОВ_ИЗМЕНЕН</v>
      </c>
      <c r="M1476" s="7">
        <f t="shared" si="91"/>
        <v>0</v>
      </c>
    </row>
    <row r="1477" spans="1:13" x14ac:dyDescent="0.25">
      <c r="A1477" s="1">
        <v>944752</v>
      </c>
      <c r="B1477" s="6" t="s">
        <v>1591</v>
      </c>
      <c r="F1477" s="6" t="s">
        <v>9</v>
      </c>
      <c r="G1477" s="6" t="s">
        <v>10</v>
      </c>
      <c r="H1477" s="9" t="s">
        <v>11</v>
      </c>
      <c r="I1477" s="7" t="str">
        <f t="shared" ref="I1477:I1540" si="92">IF(LEN(H1477)=11,H1477,IF(LEN(H1477)=0,"61001005000","61001003000"))</f>
        <v>61001003000</v>
      </c>
      <c r="J1477" s="7" t="str">
        <f t="shared" ref="J1477:J1540" si="93">IF(LEN(H1477)=11,"Материал по ЕГРН",IF(LEN(H1477)=0,"Прочие по допущению","Смешанные по допущению"))</f>
        <v>Материал по ЕГРН</v>
      </c>
      <c r="K1477" s="7">
        <f>VLOOKUP(J1477,Лист2!A$2:B$4,2,FALSE)</f>
        <v>792</v>
      </c>
      <c r="L1477" s="7" t="str">
        <f t="shared" ref="L1477:L1540" si="94">IF(I1477=C1477,"ГОТОВ","ГОТОВ_ИЗМЕНЕН")</f>
        <v>ГОТОВ_ИЗМЕНЕН</v>
      </c>
      <c r="M1477" s="7">
        <f t="shared" ref="M1477:M1540" si="95">C1477</f>
        <v>0</v>
      </c>
    </row>
    <row r="1478" spans="1:13" x14ac:dyDescent="0.25">
      <c r="A1478" s="1">
        <v>944764</v>
      </c>
      <c r="B1478" s="6" t="s">
        <v>1592</v>
      </c>
      <c r="F1478" s="6" t="s">
        <v>9</v>
      </c>
      <c r="G1478" s="6" t="s">
        <v>139</v>
      </c>
      <c r="H1478" s="9" t="s">
        <v>140</v>
      </c>
      <c r="I1478" s="7" t="str">
        <f t="shared" si="92"/>
        <v>61001999000</v>
      </c>
      <c r="J1478" s="7" t="str">
        <f t="shared" si="93"/>
        <v>Материал по ЕГРН</v>
      </c>
      <c r="K1478" s="7">
        <f>VLOOKUP(J1478,Лист2!A$2:B$4,2,FALSE)</f>
        <v>792</v>
      </c>
      <c r="L1478" s="7" t="str">
        <f t="shared" si="94"/>
        <v>ГОТОВ_ИЗМЕНЕН</v>
      </c>
      <c r="M1478" s="7">
        <f t="shared" si="95"/>
        <v>0</v>
      </c>
    </row>
    <row r="1479" spans="1:13" x14ac:dyDescent="0.25">
      <c r="A1479" s="1">
        <v>944776</v>
      </c>
      <c r="B1479" s="6" t="s">
        <v>1593</v>
      </c>
      <c r="F1479" s="6" t="s">
        <v>9</v>
      </c>
      <c r="G1479" s="6" t="s">
        <v>10</v>
      </c>
      <c r="H1479" s="9" t="s">
        <v>11</v>
      </c>
      <c r="I1479" s="7" t="str">
        <f t="shared" si="92"/>
        <v>61001003000</v>
      </c>
      <c r="J1479" s="7" t="str">
        <f t="shared" si="93"/>
        <v>Материал по ЕГРН</v>
      </c>
      <c r="K1479" s="7">
        <f>VLOOKUP(J1479,Лист2!A$2:B$4,2,FALSE)</f>
        <v>792</v>
      </c>
      <c r="L1479" s="7" t="str">
        <f t="shared" si="94"/>
        <v>ГОТОВ_ИЗМЕНЕН</v>
      </c>
      <c r="M1479" s="7">
        <f t="shared" si="95"/>
        <v>0</v>
      </c>
    </row>
    <row r="1480" spans="1:13" x14ac:dyDescent="0.25">
      <c r="A1480" s="1">
        <v>944788</v>
      </c>
      <c r="B1480" s="6" t="s">
        <v>1594</v>
      </c>
      <c r="F1480" s="6" t="s">
        <v>9</v>
      </c>
      <c r="G1480" s="6" t="s">
        <v>38</v>
      </c>
      <c r="H1480" s="9" t="s">
        <v>33</v>
      </c>
      <c r="I1480" s="7" t="str">
        <f t="shared" si="92"/>
        <v>61001005000</v>
      </c>
      <c r="J1480" s="7" t="str">
        <f t="shared" si="93"/>
        <v>Материал по ЕГРН</v>
      </c>
      <c r="K1480" s="7">
        <f>VLOOKUP(J1480,Лист2!A$2:B$4,2,FALSE)</f>
        <v>792</v>
      </c>
      <c r="L1480" s="7" t="str">
        <f t="shared" si="94"/>
        <v>ГОТОВ_ИЗМЕНЕН</v>
      </c>
      <c r="M1480" s="7">
        <f t="shared" si="95"/>
        <v>0</v>
      </c>
    </row>
    <row r="1481" spans="1:13" x14ac:dyDescent="0.25">
      <c r="A1481" s="1">
        <v>944800</v>
      </c>
      <c r="B1481" s="6" t="s">
        <v>1595</v>
      </c>
      <c r="F1481" s="6" t="s">
        <v>9</v>
      </c>
      <c r="G1481" s="6" t="s">
        <v>34</v>
      </c>
      <c r="H1481" s="9" t="s">
        <v>35</v>
      </c>
      <c r="I1481" s="7" t="str">
        <f t="shared" si="92"/>
        <v>61001002000</v>
      </c>
      <c r="J1481" s="7" t="str">
        <f t="shared" si="93"/>
        <v>Материал по ЕГРН</v>
      </c>
      <c r="K1481" s="7">
        <f>VLOOKUP(J1481,Лист2!A$2:B$4,2,FALSE)</f>
        <v>792</v>
      </c>
      <c r="L1481" s="7" t="str">
        <f t="shared" si="94"/>
        <v>ГОТОВ_ИЗМЕНЕН</v>
      </c>
      <c r="M1481" s="7">
        <f t="shared" si="95"/>
        <v>0</v>
      </c>
    </row>
    <row r="1482" spans="1:13" x14ac:dyDescent="0.25">
      <c r="A1482" s="1">
        <v>944812</v>
      </c>
      <c r="B1482" s="6" t="s">
        <v>1596</v>
      </c>
      <c r="F1482" s="6" t="s">
        <v>9</v>
      </c>
      <c r="G1482" s="6" t="s">
        <v>38</v>
      </c>
      <c r="H1482" s="9" t="s">
        <v>33</v>
      </c>
      <c r="I1482" s="7" t="str">
        <f t="shared" si="92"/>
        <v>61001005000</v>
      </c>
      <c r="J1482" s="7" t="str">
        <f t="shared" si="93"/>
        <v>Материал по ЕГРН</v>
      </c>
      <c r="K1482" s="7">
        <f>VLOOKUP(J1482,Лист2!A$2:B$4,2,FALSE)</f>
        <v>792</v>
      </c>
      <c r="L1482" s="7" t="str">
        <f t="shared" si="94"/>
        <v>ГОТОВ_ИЗМЕНЕН</v>
      </c>
      <c r="M1482" s="7">
        <f t="shared" si="95"/>
        <v>0</v>
      </c>
    </row>
    <row r="1483" spans="1:13" x14ac:dyDescent="0.25">
      <c r="A1483" s="1">
        <v>944824</v>
      </c>
      <c r="B1483" s="6" t="s">
        <v>1597</v>
      </c>
      <c r="F1483" s="6" t="s">
        <v>9</v>
      </c>
      <c r="G1483" s="6" t="s">
        <v>90</v>
      </c>
      <c r="H1483" s="9" t="s">
        <v>12</v>
      </c>
      <c r="I1483" s="7" t="str">
        <f t="shared" si="92"/>
        <v>61001008000</v>
      </c>
      <c r="J1483" s="7" t="str">
        <f t="shared" si="93"/>
        <v>Материал по ЕГРН</v>
      </c>
      <c r="K1483" s="7">
        <f>VLOOKUP(J1483,Лист2!A$2:B$4,2,FALSE)</f>
        <v>792</v>
      </c>
      <c r="L1483" s="7" t="str">
        <f t="shared" si="94"/>
        <v>ГОТОВ_ИЗМЕНЕН</v>
      </c>
      <c r="M1483" s="7">
        <f t="shared" si="95"/>
        <v>0</v>
      </c>
    </row>
    <row r="1484" spans="1:13" x14ac:dyDescent="0.25">
      <c r="A1484" s="1">
        <v>944836</v>
      </c>
      <c r="B1484" s="6" t="s">
        <v>1598</v>
      </c>
      <c r="F1484" s="6" t="s">
        <v>9</v>
      </c>
      <c r="G1484" s="6" t="s">
        <v>59</v>
      </c>
      <c r="H1484" s="9" t="s">
        <v>60</v>
      </c>
      <c r="I1484" s="7" t="str">
        <f t="shared" si="92"/>
        <v>61001001001</v>
      </c>
      <c r="J1484" s="7" t="str">
        <f t="shared" si="93"/>
        <v>Материал по ЕГРН</v>
      </c>
      <c r="K1484" s="7">
        <f>VLOOKUP(J1484,Лист2!A$2:B$4,2,FALSE)</f>
        <v>792</v>
      </c>
      <c r="L1484" s="7" t="str">
        <f t="shared" si="94"/>
        <v>ГОТОВ_ИЗМЕНЕН</v>
      </c>
      <c r="M1484" s="7">
        <f t="shared" si="95"/>
        <v>0</v>
      </c>
    </row>
    <row r="1485" spans="1:13" x14ac:dyDescent="0.25">
      <c r="A1485" s="1">
        <v>944848</v>
      </c>
      <c r="B1485" s="6" t="s">
        <v>1599</v>
      </c>
      <c r="F1485" s="6" t="s">
        <v>9</v>
      </c>
      <c r="G1485" s="6" t="s">
        <v>73</v>
      </c>
      <c r="H1485" s="9" t="s">
        <v>74</v>
      </c>
      <c r="I1485" s="7" t="str">
        <f t="shared" si="92"/>
        <v>61001006000</v>
      </c>
      <c r="J1485" s="7" t="str">
        <f t="shared" si="93"/>
        <v>Материал по ЕГРН</v>
      </c>
      <c r="K1485" s="7">
        <f>VLOOKUP(J1485,Лист2!A$2:B$4,2,FALSE)</f>
        <v>792</v>
      </c>
      <c r="L1485" s="7" t="str">
        <f t="shared" si="94"/>
        <v>ГОТОВ_ИЗМЕНЕН</v>
      </c>
      <c r="M1485" s="7">
        <f t="shared" si="95"/>
        <v>0</v>
      </c>
    </row>
    <row r="1486" spans="1:13" x14ac:dyDescent="0.25">
      <c r="A1486" s="1">
        <v>944860</v>
      </c>
      <c r="B1486" s="6" t="s">
        <v>1600</v>
      </c>
      <c r="F1486" s="6" t="s">
        <v>9</v>
      </c>
      <c r="G1486" s="6" t="s">
        <v>38</v>
      </c>
      <c r="H1486" s="9" t="s">
        <v>33</v>
      </c>
      <c r="I1486" s="7" t="str">
        <f t="shared" si="92"/>
        <v>61001005000</v>
      </c>
      <c r="J1486" s="7" t="str">
        <f t="shared" si="93"/>
        <v>Материал по ЕГРН</v>
      </c>
      <c r="K1486" s="7">
        <f>VLOOKUP(J1486,Лист2!A$2:B$4,2,FALSE)</f>
        <v>792</v>
      </c>
      <c r="L1486" s="7" t="str">
        <f t="shared" si="94"/>
        <v>ГОТОВ_ИЗМЕНЕН</v>
      </c>
      <c r="M1486" s="7">
        <f t="shared" si="95"/>
        <v>0</v>
      </c>
    </row>
    <row r="1487" spans="1:13" x14ac:dyDescent="0.25">
      <c r="A1487" s="1">
        <v>944872</v>
      </c>
      <c r="B1487" s="6" t="s">
        <v>1601</v>
      </c>
      <c r="F1487" s="6" t="s">
        <v>9</v>
      </c>
      <c r="G1487" s="6" t="s">
        <v>38</v>
      </c>
      <c r="H1487" s="9" t="s">
        <v>33</v>
      </c>
      <c r="I1487" s="7" t="str">
        <f t="shared" si="92"/>
        <v>61001005000</v>
      </c>
      <c r="J1487" s="7" t="str">
        <f t="shared" si="93"/>
        <v>Материал по ЕГРН</v>
      </c>
      <c r="K1487" s="7">
        <f>VLOOKUP(J1487,Лист2!A$2:B$4,2,FALSE)</f>
        <v>792</v>
      </c>
      <c r="L1487" s="7" t="str">
        <f t="shared" si="94"/>
        <v>ГОТОВ_ИЗМЕНЕН</v>
      </c>
      <c r="M1487" s="7">
        <f t="shared" si="95"/>
        <v>0</v>
      </c>
    </row>
    <row r="1488" spans="1:13" x14ac:dyDescent="0.25">
      <c r="A1488" s="1">
        <v>944884</v>
      </c>
      <c r="B1488" s="6" t="s">
        <v>1602</v>
      </c>
      <c r="F1488" s="6" t="s">
        <v>9</v>
      </c>
      <c r="G1488" s="6" t="s">
        <v>38</v>
      </c>
      <c r="H1488" s="9" t="s">
        <v>33</v>
      </c>
      <c r="I1488" s="7" t="str">
        <f t="shared" si="92"/>
        <v>61001005000</v>
      </c>
      <c r="J1488" s="7" t="str">
        <f t="shared" si="93"/>
        <v>Материал по ЕГРН</v>
      </c>
      <c r="K1488" s="7">
        <f>VLOOKUP(J1488,Лист2!A$2:B$4,2,FALSE)</f>
        <v>792</v>
      </c>
      <c r="L1488" s="7" t="str">
        <f t="shared" si="94"/>
        <v>ГОТОВ_ИЗМЕНЕН</v>
      </c>
      <c r="M1488" s="7">
        <f t="shared" si="95"/>
        <v>0</v>
      </c>
    </row>
    <row r="1489" spans="1:13" x14ac:dyDescent="0.25">
      <c r="A1489" s="1">
        <v>944896</v>
      </c>
      <c r="B1489" s="6" t="s">
        <v>1603</v>
      </c>
      <c r="F1489" s="6" t="s">
        <v>9</v>
      </c>
      <c r="G1489" s="6" t="s">
        <v>170</v>
      </c>
      <c r="H1489" s="9" t="s">
        <v>171</v>
      </c>
      <c r="I1489" s="7" t="str">
        <f t="shared" si="92"/>
        <v>61001001000</v>
      </c>
      <c r="J1489" s="7" t="str">
        <f t="shared" si="93"/>
        <v>Материал по ЕГРН</v>
      </c>
      <c r="K1489" s="7">
        <f>VLOOKUP(J1489,Лист2!A$2:B$4,2,FALSE)</f>
        <v>792</v>
      </c>
      <c r="L1489" s="7" t="str">
        <f t="shared" si="94"/>
        <v>ГОТОВ_ИЗМЕНЕН</v>
      </c>
      <c r="M1489" s="7">
        <f t="shared" si="95"/>
        <v>0</v>
      </c>
    </row>
    <row r="1490" spans="1:13" x14ac:dyDescent="0.25">
      <c r="A1490" s="1">
        <v>944908</v>
      </c>
      <c r="B1490" s="6" t="s">
        <v>1604</v>
      </c>
      <c r="F1490" s="6" t="s">
        <v>9</v>
      </c>
      <c r="G1490" s="6" t="s">
        <v>62</v>
      </c>
      <c r="H1490" s="9" t="s">
        <v>63</v>
      </c>
      <c r="I1490" s="7" t="str">
        <f t="shared" si="92"/>
        <v>61001006002</v>
      </c>
      <c r="J1490" s="7" t="str">
        <f t="shared" si="93"/>
        <v>Материал по ЕГРН</v>
      </c>
      <c r="K1490" s="7">
        <f>VLOOKUP(J1490,Лист2!A$2:B$4,2,FALSE)</f>
        <v>792</v>
      </c>
      <c r="L1490" s="7" t="str">
        <f t="shared" si="94"/>
        <v>ГОТОВ_ИЗМЕНЕН</v>
      </c>
      <c r="M1490" s="7">
        <f t="shared" si="95"/>
        <v>0</v>
      </c>
    </row>
    <row r="1491" spans="1:13" x14ac:dyDescent="0.25">
      <c r="A1491" s="1">
        <v>318921</v>
      </c>
      <c r="B1491" s="6" t="s">
        <v>1605</v>
      </c>
      <c r="C1491" s="9" t="s">
        <v>33</v>
      </c>
      <c r="D1491" s="6" t="s">
        <v>20</v>
      </c>
      <c r="E1491" s="6" t="s">
        <v>37</v>
      </c>
      <c r="F1491" s="6" t="s">
        <v>9</v>
      </c>
      <c r="G1491" s="6" t="s">
        <v>38</v>
      </c>
      <c r="H1491" s="9" t="s">
        <v>33</v>
      </c>
      <c r="I1491" s="7" t="str">
        <f t="shared" si="92"/>
        <v>61001005000</v>
      </c>
      <c r="J1491" s="7" t="str">
        <f t="shared" si="93"/>
        <v>Материал по ЕГРН</v>
      </c>
      <c r="K1491" s="7">
        <f>VLOOKUP(J1491,Лист2!A$2:B$4,2,FALSE)</f>
        <v>792</v>
      </c>
      <c r="L1491" s="7" t="str">
        <f t="shared" si="94"/>
        <v>ГОТОВ</v>
      </c>
      <c r="M1491" s="7" t="str">
        <f t="shared" si="95"/>
        <v>61001005000</v>
      </c>
    </row>
    <row r="1492" spans="1:13" x14ac:dyDescent="0.25">
      <c r="A1492" s="1">
        <v>379129</v>
      </c>
      <c r="B1492" s="6" t="s">
        <v>1606</v>
      </c>
      <c r="C1492" s="9" t="s">
        <v>171</v>
      </c>
      <c r="D1492" s="6" t="s">
        <v>20</v>
      </c>
      <c r="E1492" s="6" t="s">
        <v>37</v>
      </c>
      <c r="F1492" s="6" t="s">
        <v>9</v>
      </c>
      <c r="G1492" s="6" t="s">
        <v>170</v>
      </c>
      <c r="H1492" s="9" t="s">
        <v>171</v>
      </c>
      <c r="I1492" s="7" t="str">
        <f t="shared" si="92"/>
        <v>61001001000</v>
      </c>
      <c r="J1492" s="7" t="str">
        <f t="shared" si="93"/>
        <v>Материал по ЕГРН</v>
      </c>
      <c r="K1492" s="7">
        <f>VLOOKUP(J1492,Лист2!A$2:B$4,2,FALSE)</f>
        <v>792</v>
      </c>
      <c r="L1492" s="7" t="str">
        <f t="shared" si="94"/>
        <v>ГОТОВ</v>
      </c>
      <c r="M1492" s="7" t="str">
        <f t="shared" si="95"/>
        <v>61001001000</v>
      </c>
    </row>
    <row r="1493" spans="1:13" x14ac:dyDescent="0.25">
      <c r="A1493" s="1">
        <v>658848</v>
      </c>
      <c r="B1493" s="6" t="s">
        <v>1607</v>
      </c>
      <c r="C1493" s="9" t="s">
        <v>33</v>
      </c>
      <c r="D1493" s="6" t="s">
        <v>20</v>
      </c>
      <c r="E1493" s="6" t="s">
        <v>8</v>
      </c>
      <c r="F1493" s="6" t="s">
        <v>9</v>
      </c>
      <c r="G1493" s="6" t="s">
        <v>62</v>
      </c>
      <c r="H1493" s="9" t="s">
        <v>63</v>
      </c>
      <c r="I1493" s="7" t="str">
        <f t="shared" si="92"/>
        <v>61001006002</v>
      </c>
      <c r="J1493" s="7" t="str">
        <f t="shared" si="93"/>
        <v>Материал по ЕГРН</v>
      </c>
      <c r="K1493" s="7">
        <f>VLOOKUP(J1493,Лист2!A$2:B$4,2,FALSE)</f>
        <v>792</v>
      </c>
      <c r="L1493" s="7" t="str">
        <f t="shared" si="94"/>
        <v>ГОТОВ_ИЗМЕНЕН</v>
      </c>
      <c r="M1493" s="7" t="str">
        <f t="shared" si="95"/>
        <v>61001005000</v>
      </c>
    </row>
    <row r="1494" spans="1:13" x14ac:dyDescent="0.25">
      <c r="A1494" s="1">
        <v>856391</v>
      </c>
      <c r="B1494" s="6" t="s">
        <v>1608</v>
      </c>
      <c r="C1494" s="9" t="s">
        <v>33</v>
      </c>
      <c r="D1494" s="6" t="s">
        <v>20</v>
      </c>
      <c r="E1494" s="6" t="s">
        <v>37</v>
      </c>
      <c r="F1494" s="6" t="s">
        <v>9</v>
      </c>
      <c r="G1494" s="6" t="s">
        <v>38</v>
      </c>
      <c r="H1494" s="9" t="s">
        <v>33</v>
      </c>
      <c r="I1494" s="7" t="str">
        <f t="shared" si="92"/>
        <v>61001005000</v>
      </c>
      <c r="J1494" s="7" t="str">
        <f t="shared" si="93"/>
        <v>Материал по ЕГРН</v>
      </c>
      <c r="K1494" s="7">
        <f>VLOOKUP(J1494,Лист2!A$2:B$4,2,FALSE)</f>
        <v>792</v>
      </c>
      <c r="L1494" s="7" t="str">
        <f t="shared" si="94"/>
        <v>ГОТОВ</v>
      </c>
      <c r="M1494" s="7" t="str">
        <f t="shared" si="95"/>
        <v>61001005000</v>
      </c>
    </row>
    <row r="1495" spans="1:13" x14ac:dyDescent="0.25">
      <c r="A1495" s="1">
        <v>946172</v>
      </c>
      <c r="B1495" s="6" t="s">
        <v>1609</v>
      </c>
      <c r="F1495" s="6" t="s">
        <v>9</v>
      </c>
      <c r="G1495" s="6" t="s">
        <v>38</v>
      </c>
      <c r="H1495" s="9" t="s">
        <v>33</v>
      </c>
      <c r="I1495" s="7" t="str">
        <f t="shared" si="92"/>
        <v>61001005000</v>
      </c>
      <c r="J1495" s="7" t="str">
        <f t="shared" si="93"/>
        <v>Материал по ЕГРН</v>
      </c>
      <c r="K1495" s="7">
        <f>VLOOKUP(J1495,Лист2!A$2:B$4,2,FALSE)</f>
        <v>792</v>
      </c>
      <c r="L1495" s="7" t="str">
        <f t="shared" si="94"/>
        <v>ГОТОВ_ИЗМЕНЕН</v>
      </c>
      <c r="M1495" s="7">
        <f t="shared" si="95"/>
        <v>0</v>
      </c>
    </row>
    <row r="1496" spans="1:13" x14ac:dyDescent="0.25">
      <c r="A1496" s="1">
        <v>946184</v>
      </c>
      <c r="B1496" s="6" t="s">
        <v>1610</v>
      </c>
      <c r="F1496" s="6" t="s">
        <v>9</v>
      </c>
      <c r="G1496" s="6" t="s">
        <v>73</v>
      </c>
      <c r="H1496" s="9" t="s">
        <v>74</v>
      </c>
      <c r="I1496" s="7" t="str">
        <f t="shared" si="92"/>
        <v>61001006000</v>
      </c>
      <c r="J1496" s="7" t="str">
        <f t="shared" si="93"/>
        <v>Материал по ЕГРН</v>
      </c>
      <c r="K1496" s="7">
        <f>VLOOKUP(J1496,Лист2!A$2:B$4,2,FALSE)</f>
        <v>792</v>
      </c>
      <c r="L1496" s="7" t="str">
        <f t="shared" si="94"/>
        <v>ГОТОВ_ИЗМЕНЕН</v>
      </c>
      <c r="M1496" s="7">
        <f t="shared" si="95"/>
        <v>0</v>
      </c>
    </row>
    <row r="1497" spans="1:13" x14ac:dyDescent="0.25">
      <c r="A1497" s="1">
        <v>946196</v>
      </c>
      <c r="B1497" s="6" t="s">
        <v>1611</v>
      </c>
      <c r="F1497" s="6" t="s">
        <v>9</v>
      </c>
      <c r="G1497" s="6" t="s">
        <v>34</v>
      </c>
      <c r="H1497" s="9" t="s">
        <v>35</v>
      </c>
      <c r="I1497" s="7" t="str">
        <f t="shared" si="92"/>
        <v>61001002000</v>
      </c>
      <c r="J1497" s="7" t="str">
        <f t="shared" si="93"/>
        <v>Материал по ЕГРН</v>
      </c>
      <c r="K1497" s="7">
        <f>VLOOKUP(J1497,Лист2!A$2:B$4,2,FALSE)</f>
        <v>792</v>
      </c>
      <c r="L1497" s="7" t="str">
        <f t="shared" si="94"/>
        <v>ГОТОВ_ИЗМЕНЕН</v>
      </c>
      <c r="M1497" s="7">
        <f t="shared" si="95"/>
        <v>0</v>
      </c>
    </row>
    <row r="1498" spans="1:13" x14ac:dyDescent="0.25">
      <c r="A1498" s="1">
        <v>946208</v>
      </c>
      <c r="B1498" s="6" t="s">
        <v>1612</v>
      </c>
      <c r="F1498" s="6" t="s">
        <v>9</v>
      </c>
      <c r="G1498" s="6" t="s">
        <v>38</v>
      </c>
      <c r="H1498" s="9" t="s">
        <v>33</v>
      </c>
      <c r="I1498" s="7" t="str">
        <f t="shared" si="92"/>
        <v>61001005000</v>
      </c>
      <c r="J1498" s="7" t="str">
        <f t="shared" si="93"/>
        <v>Материал по ЕГРН</v>
      </c>
      <c r="K1498" s="7">
        <f>VLOOKUP(J1498,Лист2!A$2:B$4,2,FALSE)</f>
        <v>792</v>
      </c>
      <c r="L1498" s="7" t="str">
        <f t="shared" si="94"/>
        <v>ГОТОВ_ИЗМЕНЕН</v>
      </c>
      <c r="M1498" s="7">
        <f t="shared" si="95"/>
        <v>0</v>
      </c>
    </row>
    <row r="1499" spans="1:13" x14ac:dyDescent="0.25">
      <c r="A1499" s="1">
        <v>946220</v>
      </c>
      <c r="B1499" s="6" t="s">
        <v>1613</v>
      </c>
      <c r="F1499" s="6" t="s">
        <v>9</v>
      </c>
      <c r="G1499" s="6" t="s">
        <v>90</v>
      </c>
      <c r="H1499" s="9" t="s">
        <v>12</v>
      </c>
      <c r="I1499" s="7" t="str">
        <f t="shared" si="92"/>
        <v>61001008000</v>
      </c>
      <c r="J1499" s="7" t="str">
        <f t="shared" si="93"/>
        <v>Материал по ЕГРН</v>
      </c>
      <c r="K1499" s="7">
        <f>VLOOKUP(J1499,Лист2!A$2:B$4,2,FALSE)</f>
        <v>792</v>
      </c>
      <c r="L1499" s="7" t="str">
        <f t="shared" si="94"/>
        <v>ГОТОВ_ИЗМЕНЕН</v>
      </c>
      <c r="M1499" s="7">
        <f t="shared" si="95"/>
        <v>0</v>
      </c>
    </row>
    <row r="1500" spans="1:13" x14ac:dyDescent="0.25">
      <c r="A1500" s="1">
        <v>946232</v>
      </c>
      <c r="B1500" s="6" t="s">
        <v>1614</v>
      </c>
      <c r="F1500" s="6" t="s">
        <v>9</v>
      </c>
      <c r="G1500" s="6" t="s">
        <v>38</v>
      </c>
      <c r="H1500" s="9" t="s">
        <v>33</v>
      </c>
      <c r="I1500" s="7" t="str">
        <f t="shared" si="92"/>
        <v>61001005000</v>
      </c>
      <c r="J1500" s="7" t="str">
        <f t="shared" si="93"/>
        <v>Материал по ЕГРН</v>
      </c>
      <c r="K1500" s="7">
        <f>VLOOKUP(J1500,Лист2!A$2:B$4,2,FALSE)</f>
        <v>792</v>
      </c>
      <c r="L1500" s="7" t="str">
        <f t="shared" si="94"/>
        <v>ГОТОВ_ИЗМЕНЕН</v>
      </c>
      <c r="M1500" s="7">
        <f t="shared" si="95"/>
        <v>0</v>
      </c>
    </row>
    <row r="1501" spans="1:13" x14ac:dyDescent="0.25">
      <c r="A1501" s="1">
        <v>946244</v>
      </c>
      <c r="B1501" s="6" t="s">
        <v>1615</v>
      </c>
      <c r="F1501" s="6" t="s">
        <v>9</v>
      </c>
      <c r="G1501" s="6" t="s">
        <v>59</v>
      </c>
      <c r="H1501" s="9" t="s">
        <v>60</v>
      </c>
      <c r="I1501" s="7" t="str">
        <f t="shared" si="92"/>
        <v>61001001001</v>
      </c>
      <c r="J1501" s="7" t="str">
        <f t="shared" si="93"/>
        <v>Материал по ЕГРН</v>
      </c>
      <c r="K1501" s="7">
        <f>VLOOKUP(J1501,Лист2!A$2:B$4,2,FALSE)</f>
        <v>792</v>
      </c>
      <c r="L1501" s="7" t="str">
        <f t="shared" si="94"/>
        <v>ГОТОВ_ИЗМЕНЕН</v>
      </c>
      <c r="M1501" s="7">
        <f t="shared" si="95"/>
        <v>0</v>
      </c>
    </row>
    <row r="1502" spans="1:13" x14ac:dyDescent="0.25">
      <c r="A1502" s="1">
        <v>946256</v>
      </c>
      <c r="B1502" s="6" t="s">
        <v>1616</v>
      </c>
      <c r="F1502" s="6" t="s">
        <v>9</v>
      </c>
      <c r="G1502" s="6" t="s">
        <v>38</v>
      </c>
      <c r="H1502" s="9" t="s">
        <v>33</v>
      </c>
      <c r="I1502" s="7" t="str">
        <f t="shared" si="92"/>
        <v>61001005000</v>
      </c>
      <c r="J1502" s="7" t="str">
        <f t="shared" si="93"/>
        <v>Материал по ЕГРН</v>
      </c>
      <c r="K1502" s="7">
        <f>VLOOKUP(J1502,Лист2!A$2:B$4,2,FALSE)</f>
        <v>792</v>
      </c>
      <c r="L1502" s="7" t="str">
        <f t="shared" si="94"/>
        <v>ГОТОВ_ИЗМЕНЕН</v>
      </c>
      <c r="M1502" s="7">
        <f t="shared" si="95"/>
        <v>0</v>
      </c>
    </row>
    <row r="1503" spans="1:13" x14ac:dyDescent="0.25">
      <c r="A1503" s="1">
        <v>946268</v>
      </c>
      <c r="B1503" s="6" t="s">
        <v>1617</v>
      </c>
      <c r="F1503" s="6" t="s">
        <v>9</v>
      </c>
      <c r="G1503" s="6" t="s">
        <v>62</v>
      </c>
      <c r="H1503" s="9" t="s">
        <v>63</v>
      </c>
      <c r="I1503" s="7" t="str">
        <f t="shared" si="92"/>
        <v>61001006002</v>
      </c>
      <c r="J1503" s="7" t="str">
        <f t="shared" si="93"/>
        <v>Материал по ЕГРН</v>
      </c>
      <c r="K1503" s="7">
        <f>VLOOKUP(J1503,Лист2!A$2:B$4,2,FALSE)</f>
        <v>792</v>
      </c>
      <c r="L1503" s="7" t="str">
        <f t="shared" si="94"/>
        <v>ГОТОВ_ИЗМЕНЕН</v>
      </c>
      <c r="M1503" s="7">
        <f t="shared" si="95"/>
        <v>0</v>
      </c>
    </row>
    <row r="1504" spans="1:13" x14ac:dyDescent="0.25">
      <c r="A1504" s="1">
        <v>946280</v>
      </c>
      <c r="B1504" s="6" t="s">
        <v>1618</v>
      </c>
      <c r="F1504" s="6" t="s">
        <v>9</v>
      </c>
      <c r="G1504" s="6" t="s">
        <v>159</v>
      </c>
      <c r="H1504" s="9" t="s">
        <v>160</v>
      </c>
      <c r="I1504" s="7" t="str">
        <f t="shared" si="92"/>
        <v>61001002005</v>
      </c>
      <c r="J1504" s="7" t="str">
        <f t="shared" si="93"/>
        <v>Материал по ЕГРН</v>
      </c>
      <c r="K1504" s="7">
        <f>VLOOKUP(J1504,Лист2!A$2:B$4,2,FALSE)</f>
        <v>792</v>
      </c>
      <c r="L1504" s="7" t="str">
        <f t="shared" si="94"/>
        <v>ГОТОВ_ИЗМЕНЕН</v>
      </c>
      <c r="M1504" s="7">
        <f t="shared" si="95"/>
        <v>0</v>
      </c>
    </row>
    <row r="1505" spans="1:13" x14ac:dyDescent="0.25">
      <c r="A1505" s="1">
        <v>946292</v>
      </c>
      <c r="B1505" s="6" t="s">
        <v>1619</v>
      </c>
      <c r="F1505" s="6" t="s">
        <v>9</v>
      </c>
      <c r="G1505" s="6" t="s">
        <v>10</v>
      </c>
      <c r="H1505" s="9" t="s">
        <v>11</v>
      </c>
      <c r="I1505" s="7" t="str">
        <f t="shared" si="92"/>
        <v>61001003000</v>
      </c>
      <c r="J1505" s="7" t="str">
        <f t="shared" si="93"/>
        <v>Материал по ЕГРН</v>
      </c>
      <c r="K1505" s="7">
        <f>VLOOKUP(J1505,Лист2!A$2:B$4,2,FALSE)</f>
        <v>792</v>
      </c>
      <c r="L1505" s="7" t="str">
        <f t="shared" si="94"/>
        <v>ГОТОВ_ИЗМЕНЕН</v>
      </c>
      <c r="M1505" s="7">
        <f t="shared" si="95"/>
        <v>0</v>
      </c>
    </row>
    <row r="1506" spans="1:13" x14ac:dyDescent="0.25">
      <c r="A1506" s="1">
        <v>946304</v>
      </c>
      <c r="B1506" s="6" t="s">
        <v>1620</v>
      </c>
      <c r="F1506" s="6" t="s">
        <v>9</v>
      </c>
      <c r="G1506" s="6" t="s">
        <v>125</v>
      </c>
      <c r="H1506" s="9" t="s">
        <v>126</v>
      </c>
      <c r="I1506" s="7" t="str">
        <f t="shared" si="92"/>
        <v>61001007004</v>
      </c>
      <c r="J1506" s="7" t="str">
        <f t="shared" si="93"/>
        <v>Материал по ЕГРН</v>
      </c>
      <c r="K1506" s="7">
        <f>VLOOKUP(J1506,Лист2!A$2:B$4,2,FALSE)</f>
        <v>792</v>
      </c>
      <c r="L1506" s="7" t="str">
        <f t="shared" si="94"/>
        <v>ГОТОВ_ИЗМЕНЕН</v>
      </c>
      <c r="M1506" s="7">
        <f t="shared" si="95"/>
        <v>0</v>
      </c>
    </row>
    <row r="1507" spans="1:13" x14ac:dyDescent="0.25">
      <c r="A1507" s="1">
        <v>946316</v>
      </c>
      <c r="B1507" s="6" t="s">
        <v>1621</v>
      </c>
      <c r="F1507" s="6" t="s">
        <v>9</v>
      </c>
      <c r="G1507" s="6" t="s">
        <v>59</v>
      </c>
      <c r="H1507" s="9" t="s">
        <v>60</v>
      </c>
      <c r="I1507" s="7" t="str">
        <f t="shared" si="92"/>
        <v>61001001001</v>
      </c>
      <c r="J1507" s="7" t="str">
        <f t="shared" si="93"/>
        <v>Материал по ЕГРН</v>
      </c>
      <c r="K1507" s="7">
        <f>VLOOKUP(J1507,Лист2!A$2:B$4,2,FALSE)</f>
        <v>792</v>
      </c>
      <c r="L1507" s="7" t="str">
        <f t="shared" si="94"/>
        <v>ГОТОВ_ИЗМЕНЕН</v>
      </c>
      <c r="M1507" s="7">
        <f t="shared" si="95"/>
        <v>0</v>
      </c>
    </row>
    <row r="1508" spans="1:13" x14ac:dyDescent="0.25">
      <c r="A1508" s="1">
        <v>946328</v>
      </c>
      <c r="B1508" s="6" t="s">
        <v>1622</v>
      </c>
      <c r="F1508" s="6" t="s">
        <v>9</v>
      </c>
      <c r="G1508" s="6" t="s">
        <v>38</v>
      </c>
      <c r="H1508" s="9" t="s">
        <v>33</v>
      </c>
      <c r="I1508" s="7" t="str">
        <f t="shared" si="92"/>
        <v>61001005000</v>
      </c>
      <c r="J1508" s="7" t="str">
        <f t="shared" si="93"/>
        <v>Материал по ЕГРН</v>
      </c>
      <c r="K1508" s="7">
        <f>VLOOKUP(J1508,Лист2!A$2:B$4,2,FALSE)</f>
        <v>792</v>
      </c>
      <c r="L1508" s="7" t="str">
        <f t="shared" si="94"/>
        <v>ГОТОВ_ИЗМЕНЕН</v>
      </c>
      <c r="M1508" s="7">
        <f t="shared" si="95"/>
        <v>0</v>
      </c>
    </row>
    <row r="1509" spans="1:13" x14ac:dyDescent="0.25">
      <c r="A1509" s="1">
        <v>946340</v>
      </c>
      <c r="B1509" s="6" t="s">
        <v>1623</v>
      </c>
      <c r="F1509" s="6" t="s">
        <v>9</v>
      </c>
      <c r="G1509" s="6" t="s">
        <v>38</v>
      </c>
      <c r="H1509" s="9" t="s">
        <v>33</v>
      </c>
      <c r="I1509" s="7" t="str">
        <f t="shared" si="92"/>
        <v>61001005000</v>
      </c>
      <c r="J1509" s="7" t="str">
        <f t="shared" si="93"/>
        <v>Материал по ЕГРН</v>
      </c>
      <c r="K1509" s="7">
        <f>VLOOKUP(J1509,Лист2!A$2:B$4,2,FALSE)</f>
        <v>792</v>
      </c>
      <c r="L1509" s="7" t="str">
        <f t="shared" si="94"/>
        <v>ГОТОВ_ИЗМЕНЕН</v>
      </c>
      <c r="M1509" s="7">
        <f t="shared" si="95"/>
        <v>0</v>
      </c>
    </row>
    <row r="1510" spans="1:13" x14ac:dyDescent="0.25">
      <c r="A1510" s="1">
        <v>946352</v>
      </c>
      <c r="B1510" s="6" t="s">
        <v>1624</v>
      </c>
      <c r="F1510" s="6" t="s">
        <v>9</v>
      </c>
      <c r="G1510" s="6" t="s">
        <v>1145</v>
      </c>
      <c r="H1510" s="9" t="s">
        <v>511</v>
      </c>
      <c r="I1510" s="7" t="str">
        <f t="shared" si="92"/>
        <v>61001003000</v>
      </c>
      <c r="J1510" s="7" t="str">
        <f t="shared" si="93"/>
        <v>Смешанные по допущению</v>
      </c>
      <c r="K1510" s="7">
        <f>VLOOKUP(J1510,Лист2!A$2:B$4,2,FALSE)</f>
        <v>793</v>
      </c>
      <c r="L1510" s="7" t="str">
        <f t="shared" si="94"/>
        <v>ГОТОВ_ИЗМЕНЕН</v>
      </c>
      <c r="M1510" s="7">
        <f t="shared" si="95"/>
        <v>0</v>
      </c>
    </row>
    <row r="1511" spans="1:13" x14ac:dyDescent="0.25">
      <c r="A1511" s="1">
        <v>946364</v>
      </c>
      <c r="B1511" s="6" t="s">
        <v>1625</v>
      </c>
      <c r="F1511" s="6" t="s">
        <v>9</v>
      </c>
      <c r="G1511" s="6" t="s">
        <v>38</v>
      </c>
      <c r="H1511" s="9" t="s">
        <v>33</v>
      </c>
      <c r="I1511" s="7" t="str">
        <f t="shared" si="92"/>
        <v>61001005000</v>
      </c>
      <c r="J1511" s="7" t="str">
        <f t="shared" si="93"/>
        <v>Материал по ЕГРН</v>
      </c>
      <c r="K1511" s="7">
        <f>VLOOKUP(J1511,Лист2!A$2:B$4,2,FALSE)</f>
        <v>792</v>
      </c>
      <c r="L1511" s="7" t="str">
        <f t="shared" si="94"/>
        <v>ГОТОВ_ИЗМЕНЕН</v>
      </c>
      <c r="M1511" s="7">
        <f t="shared" si="95"/>
        <v>0</v>
      </c>
    </row>
    <row r="1512" spans="1:13" x14ac:dyDescent="0.25">
      <c r="A1512" s="1">
        <v>946376</v>
      </c>
      <c r="B1512" s="6" t="s">
        <v>1626</v>
      </c>
      <c r="F1512" s="6" t="s">
        <v>9</v>
      </c>
      <c r="G1512" s="6" t="s">
        <v>59</v>
      </c>
      <c r="H1512" s="9" t="s">
        <v>60</v>
      </c>
      <c r="I1512" s="7" t="str">
        <f t="shared" si="92"/>
        <v>61001001001</v>
      </c>
      <c r="J1512" s="7" t="str">
        <f t="shared" si="93"/>
        <v>Материал по ЕГРН</v>
      </c>
      <c r="K1512" s="7">
        <f>VLOOKUP(J1512,Лист2!A$2:B$4,2,FALSE)</f>
        <v>792</v>
      </c>
      <c r="L1512" s="7" t="str">
        <f t="shared" si="94"/>
        <v>ГОТОВ_ИЗМЕНЕН</v>
      </c>
      <c r="M1512" s="7">
        <f t="shared" si="95"/>
        <v>0</v>
      </c>
    </row>
    <row r="1513" spans="1:13" x14ac:dyDescent="0.25">
      <c r="A1513" s="1">
        <v>946388</v>
      </c>
      <c r="B1513" s="6" t="s">
        <v>1627</v>
      </c>
      <c r="F1513" s="6" t="s">
        <v>9</v>
      </c>
      <c r="G1513" s="6" t="s">
        <v>34</v>
      </c>
      <c r="H1513" s="9" t="s">
        <v>35</v>
      </c>
      <c r="I1513" s="7" t="str">
        <f t="shared" si="92"/>
        <v>61001002000</v>
      </c>
      <c r="J1513" s="7" t="str">
        <f t="shared" si="93"/>
        <v>Материал по ЕГРН</v>
      </c>
      <c r="K1513" s="7">
        <f>VLOOKUP(J1513,Лист2!A$2:B$4,2,FALSE)</f>
        <v>792</v>
      </c>
      <c r="L1513" s="7" t="str">
        <f t="shared" si="94"/>
        <v>ГОТОВ_ИЗМЕНЕН</v>
      </c>
      <c r="M1513" s="7">
        <f t="shared" si="95"/>
        <v>0</v>
      </c>
    </row>
    <row r="1514" spans="1:13" x14ac:dyDescent="0.25">
      <c r="A1514" s="1">
        <v>153642</v>
      </c>
      <c r="B1514" s="6" t="s">
        <v>1628</v>
      </c>
      <c r="C1514" s="9" t="s">
        <v>33</v>
      </c>
      <c r="D1514" s="6" t="s">
        <v>20</v>
      </c>
      <c r="E1514" s="6" t="s">
        <v>37</v>
      </c>
      <c r="F1514" s="6" t="s">
        <v>9</v>
      </c>
      <c r="G1514" s="6" t="s">
        <v>38</v>
      </c>
      <c r="H1514" s="9" t="s">
        <v>33</v>
      </c>
      <c r="I1514" s="7" t="str">
        <f t="shared" si="92"/>
        <v>61001005000</v>
      </c>
      <c r="J1514" s="7" t="str">
        <f t="shared" si="93"/>
        <v>Материал по ЕГРН</v>
      </c>
      <c r="K1514" s="7">
        <f>VLOOKUP(J1514,Лист2!A$2:B$4,2,FALSE)</f>
        <v>792</v>
      </c>
      <c r="L1514" s="7" t="str">
        <f t="shared" si="94"/>
        <v>ГОТОВ</v>
      </c>
      <c r="M1514" s="7" t="str">
        <f t="shared" si="95"/>
        <v>61001005000</v>
      </c>
    </row>
    <row r="1515" spans="1:13" x14ac:dyDescent="0.25">
      <c r="A1515" s="1">
        <v>436614</v>
      </c>
      <c r="B1515" s="6" t="s">
        <v>1629</v>
      </c>
      <c r="C1515" s="9" t="s">
        <v>33</v>
      </c>
      <c r="D1515" s="6" t="s">
        <v>20</v>
      </c>
      <c r="E1515" s="6" t="s">
        <v>37</v>
      </c>
      <c r="F1515" s="6" t="s">
        <v>9</v>
      </c>
      <c r="G1515" s="6" t="s">
        <v>38</v>
      </c>
      <c r="H1515" s="9" t="s">
        <v>33</v>
      </c>
      <c r="I1515" s="7" t="str">
        <f t="shared" si="92"/>
        <v>61001005000</v>
      </c>
      <c r="J1515" s="7" t="str">
        <f t="shared" si="93"/>
        <v>Материал по ЕГРН</v>
      </c>
      <c r="K1515" s="7">
        <f>VLOOKUP(J1515,Лист2!A$2:B$4,2,FALSE)</f>
        <v>792</v>
      </c>
      <c r="L1515" s="7" t="str">
        <f t="shared" si="94"/>
        <v>ГОТОВ</v>
      </c>
      <c r="M1515" s="7" t="str">
        <f t="shared" si="95"/>
        <v>61001005000</v>
      </c>
    </row>
    <row r="1516" spans="1:13" x14ac:dyDescent="0.25">
      <c r="A1516" s="1">
        <v>663890</v>
      </c>
      <c r="B1516" s="6" t="s">
        <v>1630</v>
      </c>
      <c r="C1516" s="9" t="s">
        <v>33</v>
      </c>
      <c r="D1516" s="6" t="s">
        <v>20</v>
      </c>
      <c r="E1516" s="6" t="s">
        <v>37</v>
      </c>
      <c r="F1516" s="6" t="s">
        <v>9</v>
      </c>
      <c r="G1516" s="6" t="s">
        <v>38</v>
      </c>
      <c r="H1516" s="9" t="s">
        <v>33</v>
      </c>
      <c r="I1516" s="7" t="str">
        <f t="shared" si="92"/>
        <v>61001005000</v>
      </c>
      <c r="J1516" s="7" t="str">
        <f t="shared" si="93"/>
        <v>Материал по ЕГРН</v>
      </c>
      <c r="K1516" s="7">
        <f>VLOOKUP(J1516,Лист2!A$2:B$4,2,FALSE)</f>
        <v>792</v>
      </c>
      <c r="L1516" s="7" t="str">
        <f t="shared" si="94"/>
        <v>ГОТОВ</v>
      </c>
      <c r="M1516" s="7" t="str">
        <f t="shared" si="95"/>
        <v>61001005000</v>
      </c>
    </row>
    <row r="1517" spans="1:13" x14ac:dyDescent="0.25">
      <c r="A1517" s="1">
        <v>944912</v>
      </c>
      <c r="B1517" s="6" t="s">
        <v>1631</v>
      </c>
      <c r="F1517" s="6" t="s">
        <v>9</v>
      </c>
      <c r="G1517" s="6" t="s">
        <v>10</v>
      </c>
      <c r="H1517" s="9" t="s">
        <v>11</v>
      </c>
      <c r="I1517" s="7" t="str">
        <f t="shared" si="92"/>
        <v>61001003000</v>
      </c>
      <c r="J1517" s="7" t="str">
        <f t="shared" si="93"/>
        <v>Материал по ЕГРН</v>
      </c>
      <c r="K1517" s="7">
        <f>VLOOKUP(J1517,Лист2!A$2:B$4,2,FALSE)</f>
        <v>792</v>
      </c>
      <c r="L1517" s="7" t="str">
        <f t="shared" si="94"/>
        <v>ГОТОВ_ИЗМЕНЕН</v>
      </c>
      <c r="M1517" s="7">
        <f t="shared" si="95"/>
        <v>0</v>
      </c>
    </row>
    <row r="1518" spans="1:13" x14ac:dyDescent="0.25">
      <c r="A1518" s="1">
        <v>944924</v>
      </c>
      <c r="B1518" s="6" t="s">
        <v>1632</v>
      </c>
      <c r="F1518" s="6" t="s">
        <v>9</v>
      </c>
      <c r="G1518" s="6" t="s">
        <v>59</v>
      </c>
      <c r="H1518" s="9" t="s">
        <v>60</v>
      </c>
      <c r="I1518" s="7" t="str">
        <f t="shared" si="92"/>
        <v>61001001001</v>
      </c>
      <c r="J1518" s="7" t="str">
        <f t="shared" si="93"/>
        <v>Материал по ЕГРН</v>
      </c>
      <c r="K1518" s="7">
        <f>VLOOKUP(J1518,Лист2!A$2:B$4,2,FALSE)</f>
        <v>792</v>
      </c>
      <c r="L1518" s="7" t="str">
        <f t="shared" si="94"/>
        <v>ГОТОВ_ИЗМЕНЕН</v>
      </c>
      <c r="M1518" s="7">
        <f t="shared" si="95"/>
        <v>0</v>
      </c>
    </row>
    <row r="1519" spans="1:13" x14ac:dyDescent="0.25">
      <c r="A1519" s="1">
        <v>944936</v>
      </c>
      <c r="B1519" s="6" t="s">
        <v>1633</v>
      </c>
      <c r="F1519" s="6" t="s">
        <v>9</v>
      </c>
      <c r="G1519" s="6" t="s">
        <v>38</v>
      </c>
      <c r="H1519" s="9" t="s">
        <v>33</v>
      </c>
      <c r="I1519" s="7" t="str">
        <f t="shared" si="92"/>
        <v>61001005000</v>
      </c>
      <c r="J1519" s="7" t="str">
        <f t="shared" si="93"/>
        <v>Материал по ЕГРН</v>
      </c>
      <c r="K1519" s="7">
        <f>VLOOKUP(J1519,Лист2!A$2:B$4,2,FALSE)</f>
        <v>792</v>
      </c>
      <c r="L1519" s="7" t="str">
        <f t="shared" si="94"/>
        <v>ГОТОВ_ИЗМЕНЕН</v>
      </c>
      <c r="M1519" s="7">
        <f t="shared" si="95"/>
        <v>0</v>
      </c>
    </row>
    <row r="1520" spans="1:13" x14ac:dyDescent="0.25">
      <c r="A1520" s="1">
        <v>944948</v>
      </c>
      <c r="B1520" s="6" t="s">
        <v>1634</v>
      </c>
      <c r="F1520" s="6" t="s">
        <v>9</v>
      </c>
      <c r="G1520" s="6" t="s">
        <v>90</v>
      </c>
      <c r="H1520" s="9" t="s">
        <v>12</v>
      </c>
      <c r="I1520" s="7" t="str">
        <f t="shared" si="92"/>
        <v>61001008000</v>
      </c>
      <c r="J1520" s="7" t="str">
        <f t="shared" si="93"/>
        <v>Материал по ЕГРН</v>
      </c>
      <c r="K1520" s="7">
        <f>VLOOKUP(J1520,Лист2!A$2:B$4,2,FALSE)</f>
        <v>792</v>
      </c>
      <c r="L1520" s="7" t="str">
        <f t="shared" si="94"/>
        <v>ГОТОВ_ИЗМЕНЕН</v>
      </c>
      <c r="M1520" s="7">
        <f t="shared" si="95"/>
        <v>0</v>
      </c>
    </row>
    <row r="1521" spans="1:13" x14ac:dyDescent="0.25">
      <c r="A1521" s="1">
        <v>944960</v>
      </c>
      <c r="B1521" s="6" t="s">
        <v>1635</v>
      </c>
      <c r="F1521" s="6" t="s">
        <v>9</v>
      </c>
      <c r="G1521" s="6" t="s">
        <v>62</v>
      </c>
      <c r="H1521" s="9" t="s">
        <v>63</v>
      </c>
      <c r="I1521" s="7" t="str">
        <f t="shared" si="92"/>
        <v>61001006002</v>
      </c>
      <c r="J1521" s="7" t="str">
        <f t="shared" si="93"/>
        <v>Материал по ЕГРН</v>
      </c>
      <c r="K1521" s="7">
        <f>VLOOKUP(J1521,Лист2!A$2:B$4,2,FALSE)</f>
        <v>792</v>
      </c>
      <c r="L1521" s="7" t="str">
        <f t="shared" si="94"/>
        <v>ГОТОВ_ИЗМЕНЕН</v>
      </c>
      <c r="M1521" s="7">
        <f t="shared" si="95"/>
        <v>0</v>
      </c>
    </row>
    <row r="1522" spans="1:13" x14ac:dyDescent="0.25">
      <c r="A1522" s="1">
        <v>944972</v>
      </c>
      <c r="B1522" s="6" t="s">
        <v>1636</v>
      </c>
      <c r="F1522" s="6" t="s">
        <v>9</v>
      </c>
      <c r="G1522" s="6" t="s">
        <v>73</v>
      </c>
      <c r="H1522" s="9" t="s">
        <v>74</v>
      </c>
      <c r="I1522" s="7" t="str">
        <f t="shared" si="92"/>
        <v>61001006000</v>
      </c>
      <c r="J1522" s="7" t="str">
        <f t="shared" si="93"/>
        <v>Материал по ЕГРН</v>
      </c>
      <c r="K1522" s="7">
        <f>VLOOKUP(J1522,Лист2!A$2:B$4,2,FALSE)</f>
        <v>792</v>
      </c>
      <c r="L1522" s="7" t="str">
        <f t="shared" si="94"/>
        <v>ГОТОВ_ИЗМЕНЕН</v>
      </c>
      <c r="M1522" s="7">
        <f t="shared" si="95"/>
        <v>0</v>
      </c>
    </row>
    <row r="1523" spans="1:13" x14ac:dyDescent="0.25">
      <c r="A1523" s="1">
        <v>944984</v>
      </c>
      <c r="B1523" s="6" t="s">
        <v>1637</v>
      </c>
      <c r="F1523" s="6" t="s">
        <v>9</v>
      </c>
      <c r="G1523" s="6" t="s">
        <v>34</v>
      </c>
      <c r="H1523" s="9" t="s">
        <v>35</v>
      </c>
      <c r="I1523" s="7" t="str">
        <f t="shared" si="92"/>
        <v>61001002000</v>
      </c>
      <c r="J1523" s="7" t="str">
        <f t="shared" si="93"/>
        <v>Материал по ЕГРН</v>
      </c>
      <c r="K1523" s="7">
        <f>VLOOKUP(J1523,Лист2!A$2:B$4,2,FALSE)</f>
        <v>792</v>
      </c>
      <c r="L1523" s="7" t="str">
        <f t="shared" si="94"/>
        <v>ГОТОВ_ИЗМЕНЕН</v>
      </c>
      <c r="M1523" s="7">
        <f t="shared" si="95"/>
        <v>0</v>
      </c>
    </row>
    <row r="1524" spans="1:13" x14ac:dyDescent="0.25">
      <c r="A1524" s="1">
        <v>944996</v>
      </c>
      <c r="B1524" s="6" t="s">
        <v>1638</v>
      </c>
      <c r="F1524" s="6" t="s">
        <v>9</v>
      </c>
      <c r="G1524" s="6" t="s">
        <v>38</v>
      </c>
      <c r="H1524" s="9" t="s">
        <v>33</v>
      </c>
      <c r="I1524" s="7" t="str">
        <f t="shared" si="92"/>
        <v>61001005000</v>
      </c>
      <c r="J1524" s="7" t="str">
        <f t="shared" si="93"/>
        <v>Материал по ЕГРН</v>
      </c>
      <c r="K1524" s="7">
        <f>VLOOKUP(J1524,Лист2!A$2:B$4,2,FALSE)</f>
        <v>792</v>
      </c>
      <c r="L1524" s="7" t="str">
        <f t="shared" si="94"/>
        <v>ГОТОВ_ИЗМЕНЕН</v>
      </c>
      <c r="M1524" s="7">
        <f t="shared" si="95"/>
        <v>0</v>
      </c>
    </row>
    <row r="1525" spans="1:13" x14ac:dyDescent="0.25">
      <c r="A1525" s="1">
        <v>945008</v>
      </c>
      <c r="B1525" s="6" t="s">
        <v>1639</v>
      </c>
      <c r="F1525" s="6" t="s">
        <v>9</v>
      </c>
      <c r="G1525" s="6" t="s">
        <v>38</v>
      </c>
      <c r="H1525" s="9" t="s">
        <v>33</v>
      </c>
      <c r="I1525" s="7" t="str">
        <f t="shared" si="92"/>
        <v>61001005000</v>
      </c>
      <c r="J1525" s="7" t="str">
        <f t="shared" si="93"/>
        <v>Материал по ЕГРН</v>
      </c>
      <c r="K1525" s="7">
        <f>VLOOKUP(J1525,Лист2!A$2:B$4,2,FALSE)</f>
        <v>792</v>
      </c>
      <c r="L1525" s="7" t="str">
        <f t="shared" si="94"/>
        <v>ГОТОВ_ИЗМЕНЕН</v>
      </c>
      <c r="M1525" s="7">
        <f t="shared" si="95"/>
        <v>0</v>
      </c>
    </row>
    <row r="1526" spans="1:13" x14ac:dyDescent="0.25">
      <c r="A1526" s="1">
        <v>945020</v>
      </c>
      <c r="B1526" s="6" t="s">
        <v>1640</v>
      </c>
      <c r="F1526" s="6" t="s">
        <v>9</v>
      </c>
      <c r="G1526" s="6" t="s">
        <v>34</v>
      </c>
      <c r="H1526" s="9" t="s">
        <v>35</v>
      </c>
      <c r="I1526" s="7" t="str">
        <f t="shared" si="92"/>
        <v>61001002000</v>
      </c>
      <c r="J1526" s="7" t="str">
        <f t="shared" si="93"/>
        <v>Материал по ЕГРН</v>
      </c>
      <c r="K1526" s="7">
        <f>VLOOKUP(J1526,Лист2!A$2:B$4,2,FALSE)</f>
        <v>792</v>
      </c>
      <c r="L1526" s="7" t="str">
        <f t="shared" si="94"/>
        <v>ГОТОВ_ИЗМЕНЕН</v>
      </c>
      <c r="M1526" s="7">
        <f t="shared" si="95"/>
        <v>0</v>
      </c>
    </row>
    <row r="1527" spans="1:13" x14ac:dyDescent="0.25">
      <c r="A1527" s="1">
        <v>945032</v>
      </c>
      <c r="B1527" s="6" t="s">
        <v>1641</v>
      </c>
      <c r="F1527" s="6" t="s">
        <v>9</v>
      </c>
      <c r="G1527" s="6" t="s">
        <v>1642</v>
      </c>
      <c r="H1527" s="9" t="s">
        <v>1643</v>
      </c>
      <c r="I1527" s="7" t="str">
        <f t="shared" si="92"/>
        <v>61001003000</v>
      </c>
      <c r="J1527" s="7" t="str">
        <f t="shared" si="93"/>
        <v>Смешанные по допущению</v>
      </c>
      <c r="K1527" s="7">
        <f>VLOOKUP(J1527,Лист2!A$2:B$4,2,FALSE)</f>
        <v>793</v>
      </c>
      <c r="L1527" s="7" t="str">
        <f t="shared" si="94"/>
        <v>ГОТОВ_ИЗМЕНЕН</v>
      </c>
      <c r="M1527" s="7">
        <f t="shared" si="95"/>
        <v>0</v>
      </c>
    </row>
    <row r="1528" spans="1:13" x14ac:dyDescent="0.25">
      <c r="A1528" s="1">
        <v>945044</v>
      </c>
      <c r="B1528" s="6" t="s">
        <v>1644</v>
      </c>
      <c r="F1528" s="6" t="s">
        <v>9</v>
      </c>
      <c r="G1528" s="6" t="s">
        <v>10</v>
      </c>
      <c r="H1528" s="9" t="s">
        <v>11</v>
      </c>
      <c r="I1528" s="7" t="str">
        <f t="shared" si="92"/>
        <v>61001003000</v>
      </c>
      <c r="J1528" s="7" t="str">
        <f t="shared" si="93"/>
        <v>Материал по ЕГРН</v>
      </c>
      <c r="K1528" s="7">
        <f>VLOOKUP(J1528,Лист2!A$2:B$4,2,FALSE)</f>
        <v>792</v>
      </c>
      <c r="L1528" s="7" t="str">
        <f t="shared" si="94"/>
        <v>ГОТОВ_ИЗМЕНЕН</v>
      </c>
      <c r="M1528" s="7">
        <f t="shared" si="95"/>
        <v>0</v>
      </c>
    </row>
    <row r="1529" spans="1:13" x14ac:dyDescent="0.25">
      <c r="A1529" s="1">
        <v>945056</v>
      </c>
      <c r="B1529" s="6" t="s">
        <v>1645</v>
      </c>
      <c r="F1529" s="6" t="s">
        <v>9</v>
      </c>
      <c r="G1529" s="6" t="s">
        <v>34</v>
      </c>
      <c r="H1529" s="9" t="s">
        <v>35</v>
      </c>
      <c r="I1529" s="7" t="str">
        <f t="shared" si="92"/>
        <v>61001002000</v>
      </c>
      <c r="J1529" s="7" t="str">
        <f t="shared" si="93"/>
        <v>Материал по ЕГРН</v>
      </c>
      <c r="K1529" s="7">
        <f>VLOOKUP(J1529,Лист2!A$2:B$4,2,FALSE)</f>
        <v>792</v>
      </c>
      <c r="L1529" s="7" t="str">
        <f t="shared" si="94"/>
        <v>ГОТОВ_ИЗМЕНЕН</v>
      </c>
      <c r="M1529" s="7">
        <f t="shared" si="95"/>
        <v>0</v>
      </c>
    </row>
    <row r="1530" spans="1:13" x14ac:dyDescent="0.25">
      <c r="A1530" s="1">
        <v>945068</v>
      </c>
      <c r="B1530" s="6" t="s">
        <v>1646</v>
      </c>
      <c r="F1530" s="6" t="s">
        <v>9</v>
      </c>
      <c r="G1530" s="6" t="s">
        <v>38</v>
      </c>
      <c r="H1530" s="9" t="s">
        <v>33</v>
      </c>
      <c r="I1530" s="7" t="str">
        <f t="shared" si="92"/>
        <v>61001005000</v>
      </c>
      <c r="J1530" s="7" t="str">
        <f t="shared" si="93"/>
        <v>Материал по ЕГРН</v>
      </c>
      <c r="K1530" s="7">
        <f>VLOOKUP(J1530,Лист2!A$2:B$4,2,FALSE)</f>
        <v>792</v>
      </c>
      <c r="L1530" s="7" t="str">
        <f t="shared" si="94"/>
        <v>ГОТОВ_ИЗМЕНЕН</v>
      </c>
      <c r="M1530" s="7">
        <f t="shared" si="95"/>
        <v>0</v>
      </c>
    </row>
    <row r="1531" spans="1:13" x14ac:dyDescent="0.25">
      <c r="A1531" s="1">
        <v>945080</v>
      </c>
      <c r="B1531" s="6" t="s">
        <v>1647</v>
      </c>
      <c r="F1531" s="6" t="s">
        <v>9</v>
      </c>
      <c r="G1531" s="6" t="s">
        <v>59</v>
      </c>
      <c r="H1531" s="9" t="s">
        <v>60</v>
      </c>
      <c r="I1531" s="7" t="str">
        <f t="shared" si="92"/>
        <v>61001001001</v>
      </c>
      <c r="J1531" s="7" t="str">
        <f t="shared" si="93"/>
        <v>Материал по ЕГРН</v>
      </c>
      <c r="K1531" s="7">
        <f>VLOOKUP(J1531,Лист2!A$2:B$4,2,FALSE)</f>
        <v>792</v>
      </c>
      <c r="L1531" s="7" t="str">
        <f t="shared" si="94"/>
        <v>ГОТОВ_ИЗМЕНЕН</v>
      </c>
      <c r="M1531" s="7">
        <f t="shared" si="95"/>
        <v>0</v>
      </c>
    </row>
    <row r="1532" spans="1:13" x14ac:dyDescent="0.25">
      <c r="A1532" s="1">
        <v>945092</v>
      </c>
      <c r="B1532" s="6" t="s">
        <v>1648</v>
      </c>
      <c r="F1532" s="6" t="s">
        <v>9</v>
      </c>
      <c r="G1532" s="6" t="s">
        <v>73</v>
      </c>
      <c r="H1532" s="9" t="s">
        <v>74</v>
      </c>
      <c r="I1532" s="7" t="str">
        <f t="shared" si="92"/>
        <v>61001006000</v>
      </c>
      <c r="J1532" s="7" t="str">
        <f t="shared" si="93"/>
        <v>Материал по ЕГРН</v>
      </c>
      <c r="K1532" s="7">
        <f>VLOOKUP(J1532,Лист2!A$2:B$4,2,FALSE)</f>
        <v>792</v>
      </c>
      <c r="L1532" s="7" t="str">
        <f t="shared" si="94"/>
        <v>ГОТОВ_ИЗМЕНЕН</v>
      </c>
      <c r="M1532" s="7">
        <f t="shared" si="95"/>
        <v>0</v>
      </c>
    </row>
    <row r="1533" spans="1:13" x14ac:dyDescent="0.25">
      <c r="A1533" s="1">
        <v>945104</v>
      </c>
      <c r="B1533" s="6" t="s">
        <v>1649</v>
      </c>
      <c r="F1533" s="6" t="s">
        <v>9</v>
      </c>
      <c r="G1533" s="6" t="s">
        <v>159</v>
      </c>
      <c r="H1533" s="9" t="s">
        <v>160</v>
      </c>
      <c r="I1533" s="7" t="str">
        <f t="shared" si="92"/>
        <v>61001002005</v>
      </c>
      <c r="J1533" s="7" t="str">
        <f t="shared" si="93"/>
        <v>Материал по ЕГРН</v>
      </c>
      <c r="K1533" s="7">
        <f>VLOOKUP(J1533,Лист2!A$2:B$4,2,FALSE)</f>
        <v>792</v>
      </c>
      <c r="L1533" s="7" t="str">
        <f t="shared" si="94"/>
        <v>ГОТОВ_ИЗМЕНЕН</v>
      </c>
      <c r="M1533" s="7">
        <f t="shared" si="95"/>
        <v>0</v>
      </c>
    </row>
    <row r="1534" spans="1:13" x14ac:dyDescent="0.25">
      <c r="A1534" s="1">
        <v>945116</v>
      </c>
      <c r="B1534" s="6" t="s">
        <v>1650</v>
      </c>
      <c r="F1534" s="6" t="s">
        <v>9</v>
      </c>
      <c r="G1534" s="6" t="s">
        <v>34</v>
      </c>
      <c r="H1534" s="9" t="s">
        <v>35</v>
      </c>
      <c r="I1534" s="7" t="str">
        <f t="shared" si="92"/>
        <v>61001002000</v>
      </c>
      <c r="J1534" s="7" t="str">
        <f t="shared" si="93"/>
        <v>Материал по ЕГРН</v>
      </c>
      <c r="K1534" s="7">
        <f>VLOOKUP(J1534,Лист2!A$2:B$4,2,FALSE)</f>
        <v>792</v>
      </c>
      <c r="L1534" s="7" t="str">
        <f t="shared" si="94"/>
        <v>ГОТОВ_ИЗМЕНЕН</v>
      </c>
      <c r="M1534" s="7">
        <f t="shared" si="95"/>
        <v>0</v>
      </c>
    </row>
    <row r="1535" spans="1:13" x14ac:dyDescent="0.25">
      <c r="A1535" s="1">
        <v>945128</v>
      </c>
      <c r="B1535" s="6" t="s">
        <v>1651</v>
      </c>
      <c r="F1535" s="6" t="s">
        <v>9</v>
      </c>
      <c r="G1535" s="6" t="s">
        <v>38</v>
      </c>
      <c r="H1535" s="9" t="s">
        <v>33</v>
      </c>
      <c r="I1535" s="7" t="str">
        <f t="shared" si="92"/>
        <v>61001005000</v>
      </c>
      <c r="J1535" s="7" t="str">
        <f t="shared" si="93"/>
        <v>Материал по ЕГРН</v>
      </c>
      <c r="K1535" s="7">
        <f>VLOOKUP(J1535,Лист2!A$2:B$4,2,FALSE)</f>
        <v>792</v>
      </c>
      <c r="L1535" s="7" t="str">
        <f t="shared" si="94"/>
        <v>ГОТОВ_ИЗМЕНЕН</v>
      </c>
      <c r="M1535" s="7">
        <f t="shared" si="95"/>
        <v>0</v>
      </c>
    </row>
    <row r="1536" spans="1:13" x14ac:dyDescent="0.25">
      <c r="A1536" s="1">
        <v>945140</v>
      </c>
      <c r="B1536" s="6" t="s">
        <v>1652</v>
      </c>
      <c r="F1536" s="6" t="s">
        <v>9</v>
      </c>
      <c r="G1536" s="6" t="s">
        <v>62</v>
      </c>
      <c r="H1536" s="9" t="s">
        <v>63</v>
      </c>
      <c r="I1536" s="7" t="str">
        <f t="shared" si="92"/>
        <v>61001006002</v>
      </c>
      <c r="J1536" s="7" t="str">
        <f t="shared" si="93"/>
        <v>Материал по ЕГРН</v>
      </c>
      <c r="K1536" s="7">
        <f>VLOOKUP(J1536,Лист2!A$2:B$4,2,FALSE)</f>
        <v>792</v>
      </c>
      <c r="L1536" s="7" t="str">
        <f t="shared" si="94"/>
        <v>ГОТОВ_ИЗМЕНЕН</v>
      </c>
      <c r="M1536" s="7">
        <f t="shared" si="95"/>
        <v>0</v>
      </c>
    </row>
    <row r="1537" spans="1:13" x14ac:dyDescent="0.25">
      <c r="A1537" s="1">
        <v>945152</v>
      </c>
      <c r="B1537" s="6" t="s">
        <v>1653</v>
      </c>
      <c r="F1537" s="6" t="s">
        <v>9</v>
      </c>
      <c r="G1537" s="6" t="s">
        <v>10</v>
      </c>
      <c r="H1537" s="9" t="s">
        <v>11</v>
      </c>
      <c r="I1537" s="7" t="str">
        <f t="shared" si="92"/>
        <v>61001003000</v>
      </c>
      <c r="J1537" s="7" t="str">
        <f t="shared" si="93"/>
        <v>Материал по ЕГРН</v>
      </c>
      <c r="K1537" s="7">
        <f>VLOOKUP(J1537,Лист2!A$2:B$4,2,FALSE)</f>
        <v>792</v>
      </c>
      <c r="L1537" s="7" t="str">
        <f t="shared" si="94"/>
        <v>ГОТОВ_ИЗМЕНЕН</v>
      </c>
      <c r="M1537" s="7">
        <f t="shared" si="95"/>
        <v>0</v>
      </c>
    </row>
    <row r="1538" spans="1:13" x14ac:dyDescent="0.25">
      <c r="A1538" s="1">
        <v>945164</v>
      </c>
      <c r="B1538" s="6" t="s">
        <v>1654</v>
      </c>
      <c r="F1538" s="6" t="s">
        <v>9</v>
      </c>
      <c r="G1538" s="6" t="s">
        <v>62</v>
      </c>
      <c r="H1538" s="9" t="s">
        <v>63</v>
      </c>
      <c r="I1538" s="7" t="str">
        <f t="shared" si="92"/>
        <v>61001006002</v>
      </c>
      <c r="J1538" s="7" t="str">
        <f t="shared" si="93"/>
        <v>Материал по ЕГРН</v>
      </c>
      <c r="K1538" s="7">
        <f>VLOOKUP(J1538,Лист2!A$2:B$4,2,FALSE)</f>
        <v>792</v>
      </c>
      <c r="L1538" s="7" t="str">
        <f t="shared" si="94"/>
        <v>ГОТОВ_ИЗМЕНЕН</v>
      </c>
      <c r="M1538" s="7">
        <f t="shared" si="95"/>
        <v>0</v>
      </c>
    </row>
    <row r="1539" spans="1:13" x14ac:dyDescent="0.25">
      <c r="A1539" s="1">
        <v>945176</v>
      </c>
      <c r="B1539" s="6" t="s">
        <v>1655</v>
      </c>
      <c r="F1539" s="6" t="s">
        <v>9</v>
      </c>
      <c r="G1539" s="6" t="s">
        <v>73</v>
      </c>
      <c r="H1539" s="9" t="s">
        <v>74</v>
      </c>
      <c r="I1539" s="7" t="str">
        <f t="shared" si="92"/>
        <v>61001006000</v>
      </c>
      <c r="J1539" s="7" t="str">
        <f t="shared" si="93"/>
        <v>Материал по ЕГРН</v>
      </c>
      <c r="K1539" s="7">
        <f>VLOOKUP(J1539,Лист2!A$2:B$4,2,FALSE)</f>
        <v>792</v>
      </c>
      <c r="L1539" s="7" t="str">
        <f t="shared" si="94"/>
        <v>ГОТОВ_ИЗМЕНЕН</v>
      </c>
      <c r="M1539" s="7">
        <f t="shared" si="95"/>
        <v>0</v>
      </c>
    </row>
    <row r="1540" spans="1:13" x14ac:dyDescent="0.25">
      <c r="A1540" s="1">
        <v>945188</v>
      </c>
      <c r="B1540" s="6" t="s">
        <v>1656</v>
      </c>
      <c r="F1540" s="6" t="s">
        <v>9</v>
      </c>
      <c r="G1540" s="6" t="s">
        <v>73</v>
      </c>
      <c r="H1540" s="9" t="s">
        <v>74</v>
      </c>
      <c r="I1540" s="7" t="str">
        <f t="shared" si="92"/>
        <v>61001006000</v>
      </c>
      <c r="J1540" s="7" t="str">
        <f t="shared" si="93"/>
        <v>Материал по ЕГРН</v>
      </c>
      <c r="K1540" s="7">
        <f>VLOOKUP(J1540,Лист2!A$2:B$4,2,FALSE)</f>
        <v>792</v>
      </c>
      <c r="L1540" s="7" t="str">
        <f t="shared" si="94"/>
        <v>ГОТОВ_ИЗМЕНЕН</v>
      </c>
      <c r="M1540" s="7">
        <f t="shared" si="95"/>
        <v>0</v>
      </c>
    </row>
    <row r="1541" spans="1:13" x14ac:dyDescent="0.25">
      <c r="A1541" s="1">
        <v>243334</v>
      </c>
      <c r="B1541" s="6" t="s">
        <v>1657</v>
      </c>
      <c r="C1541" s="9" t="s">
        <v>33</v>
      </c>
      <c r="D1541" s="6" t="s">
        <v>20</v>
      </c>
      <c r="E1541" s="6" t="s">
        <v>37</v>
      </c>
      <c r="F1541" s="6" t="s">
        <v>9</v>
      </c>
      <c r="G1541" s="6" t="s">
        <v>38</v>
      </c>
      <c r="H1541" s="9" t="s">
        <v>33</v>
      </c>
      <c r="I1541" s="7" t="str">
        <f t="shared" ref="I1541:I1604" si="96">IF(LEN(H1541)=11,H1541,IF(LEN(H1541)=0,"61001005000","61001003000"))</f>
        <v>61001005000</v>
      </c>
      <c r="J1541" s="7" t="str">
        <f t="shared" ref="J1541:J1604" si="97">IF(LEN(H1541)=11,"Материал по ЕГРН",IF(LEN(H1541)=0,"Прочие по допущению","Смешанные по допущению"))</f>
        <v>Материал по ЕГРН</v>
      </c>
      <c r="K1541" s="7">
        <f>VLOOKUP(J1541,Лист2!A$2:B$4,2,FALSE)</f>
        <v>792</v>
      </c>
      <c r="L1541" s="7" t="str">
        <f t="shared" ref="L1541:L1604" si="98">IF(I1541=C1541,"ГОТОВ","ГОТОВ_ИЗМЕНЕН")</f>
        <v>ГОТОВ</v>
      </c>
      <c r="M1541" s="7" t="str">
        <f t="shared" ref="M1541:M1604" si="99">C1541</f>
        <v>61001005000</v>
      </c>
    </row>
    <row r="1542" spans="1:13" x14ac:dyDescent="0.25">
      <c r="A1542" s="1">
        <v>517506</v>
      </c>
      <c r="B1542" s="6" t="s">
        <v>1658</v>
      </c>
      <c r="C1542" s="9" t="s">
        <v>33</v>
      </c>
      <c r="D1542" s="6" t="s">
        <v>20</v>
      </c>
      <c r="E1542" s="6" t="s">
        <v>37</v>
      </c>
      <c r="F1542" s="6" t="s">
        <v>9</v>
      </c>
      <c r="G1542" s="6" t="s">
        <v>38</v>
      </c>
      <c r="H1542" s="9" t="s">
        <v>33</v>
      </c>
      <c r="I1542" s="7" t="str">
        <f t="shared" si="96"/>
        <v>61001005000</v>
      </c>
      <c r="J1542" s="7" t="str">
        <f t="shared" si="97"/>
        <v>Материал по ЕГРН</v>
      </c>
      <c r="K1542" s="7">
        <f>VLOOKUP(J1542,Лист2!A$2:B$4,2,FALSE)</f>
        <v>792</v>
      </c>
      <c r="L1542" s="7" t="str">
        <f t="shared" si="98"/>
        <v>ГОТОВ</v>
      </c>
      <c r="M1542" s="7" t="str">
        <f t="shared" si="99"/>
        <v>61001005000</v>
      </c>
    </row>
    <row r="1543" spans="1:13" x14ac:dyDescent="0.25">
      <c r="A1543" s="1">
        <v>802698</v>
      </c>
      <c r="B1543" s="6" t="s">
        <v>1659</v>
      </c>
      <c r="C1543" s="9" t="s">
        <v>33</v>
      </c>
      <c r="D1543" s="6" t="s">
        <v>20</v>
      </c>
      <c r="E1543" s="6" t="s">
        <v>37</v>
      </c>
      <c r="F1543" s="6" t="s">
        <v>9</v>
      </c>
      <c r="G1543" s="6" t="s">
        <v>38</v>
      </c>
      <c r="H1543" s="9" t="s">
        <v>33</v>
      </c>
      <c r="I1543" s="7" t="str">
        <f t="shared" si="96"/>
        <v>61001005000</v>
      </c>
      <c r="J1543" s="7" t="str">
        <f t="shared" si="97"/>
        <v>Материал по ЕГРН</v>
      </c>
      <c r="K1543" s="7">
        <f>VLOOKUP(J1543,Лист2!A$2:B$4,2,FALSE)</f>
        <v>792</v>
      </c>
      <c r="L1543" s="7" t="str">
        <f t="shared" si="98"/>
        <v>ГОТОВ</v>
      </c>
      <c r="M1543" s="7" t="str">
        <f t="shared" si="99"/>
        <v>61001005000</v>
      </c>
    </row>
    <row r="1544" spans="1:13" x14ac:dyDescent="0.25">
      <c r="A1544" s="1">
        <v>945203</v>
      </c>
      <c r="B1544" s="6" t="s">
        <v>1660</v>
      </c>
      <c r="F1544" s="6" t="s">
        <v>9</v>
      </c>
      <c r="G1544" s="6" t="s">
        <v>65</v>
      </c>
      <c r="H1544" s="9" t="s">
        <v>66</v>
      </c>
      <c r="I1544" s="7" t="str">
        <f t="shared" si="96"/>
        <v>61001002003</v>
      </c>
      <c r="J1544" s="7" t="str">
        <f t="shared" si="97"/>
        <v>Материал по ЕГРН</v>
      </c>
      <c r="K1544" s="7">
        <f>VLOOKUP(J1544,Лист2!A$2:B$4,2,FALSE)</f>
        <v>792</v>
      </c>
      <c r="L1544" s="7" t="str">
        <f t="shared" si="98"/>
        <v>ГОТОВ_ИЗМЕНЕН</v>
      </c>
      <c r="M1544" s="7">
        <f t="shared" si="99"/>
        <v>0</v>
      </c>
    </row>
    <row r="1545" spans="1:13" x14ac:dyDescent="0.25">
      <c r="A1545" s="1">
        <v>945215</v>
      </c>
      <c r="B1545" s="6" t="s">
        <v>1661</v>
      </c>
      <c r="F1545" s="6" t="s">
        <v>9</v>
      </c>
      <c r="G1545" s="6" t="s">
        <v>34</v>
      </c>
      <c r="H1545" s="9" t="s">
        <v>35</v>
      </c>
      <c r="I1545" s="7" t="str">
        <f t="shared" si="96"/>
        <v>61001002000</v>
      </c>
      <c r="J1545" s="7" t="str">
        <f t="shared" si="97"/>
        <v>Материал по ЕГРН</v>
      </c>
      <c r="K1545" s="7">
        <f>VLOOKUP(J1545,Лист2!A$2:B$4,2,FALSE)</f>
        <v>792</v>
      </c>
      <c r="L1545" s="7" t="str">
        <f t="shared" si="98"/>
        <v>ГОТОВ_ИЗМЕНЕН</v>
      </c>
      <c r="M1545" s="7">
        <f t="shared" si="99"/>
        <v>0</v>
      </c>
    </row>
    <row r="1546" spans="1:13" x14ac:dyDescent="0.25">
      <c r="A1546" s="1">
        <v>945227</v>
      </c>
      <c r="B1546" s="6" t="s">
        <v>1662</v>
      </c>
      <c r="F1546" s="6" t="s">
        <v>9</v>
      </c>
      <c r="G1546" s="6" t="s">
        <v>59</v>
      </c>
      <c r="H1546" s="9" t="s">
        <v>60</v>
      </c>
      <c r="I1546" s="7" t="str">
        <f t="shared" si="96"/>
        <v>61001001001</v>
      </c>
      <c r="J1546" s="7" t="str">
        <f t="shared" si="97"/>
        <v>Материал по ЕГРН</v>
      </c>
      <c r="K1546" s="7">
        <f>VLOOKUP(J1546,Лист2!A$2:B$4,2,FALSE)</f>
        <v>792</v>
      </c>
      <c r="L1546" s="7" t="str">
        <f t="shared" si="98"/>
        <v>ГОТОВ_ИЗМЕНЕН</v>
      </c>
      <c r="M1546" s="7">
        <f t="shared" si="99"/>
        <v>0</v>
      </c>
    </row>
    <row r="1547" spans="1:13" x14ac:dyDescent="0.25">
      <c r="A1547" s="1">
        <v>945239</v>
      </c>
      <c r="B1547" s="6" t="s">
        <v>1663</v>
      </c>
      <c r="F1547" s="6" t="s">
        <v>9</v>
      </c>
      <c r="G1547" s="6" t="s">
        <v>62</v>
      </c>
      <c r="H1547" s="9" t="s">
        <v>63</v>
      </c>
      <c r="I1547" s="7" t="str">
        <f t="shared" si="96"/>
        <v>61001006002</v>
      </c>
      <c r="J1547" s="7" t="str">
        <f t="shared" si="97"/>
        <v>Материал по ЕГРН</v>
      </c>
      <c r="K1547" s="7">
        <f>VLOOKUP(J1547,Лист2!A$2:B$4,2,FALSE)</f>
        <v>792</v>
      </c>
      <c r="L1547" s="7" t="str">
        <f t="shared" si="98"/>
        <v>ГОТОВ_ИЗМЕНЕН</v>
      </c>
      <c r="M1547" s="7">
        <f t="shared" si="99"/>
        <v>0</v>
      </c>
    </row>
    <row r="1548" spans="1:13" x14ac:dyDescent="0.25">
      <c r="A1548" s="1">
        <v>945251</v>
      </c>
      <c r="B1548" s="6" t="s">
        <v>1664</v>
      </c>
      <c r="F1548" s="6" t="s">
        <v>9</v>
      </c>
      <c r="G1548" s="6" t="s">
        <v>73</v>
      </c>
      <c r="H1548" s="9" t="s">
        <v>74</v>
      </c>
      <c r="I1548" s="7" t="str">
        <f t="shared" si="96"/>
        <v>61001006000</v>
      </c>
      <c r="J1548" s="7" t="str">
        <f t="shared" si="97"/>
        <v>Материал по ЕГРН</v>
      </c>
      <c r="K1548" s="7">
        <f>VLOOKUP(J1548,Лист2!A$2:B$4,2,FALSE)</f>
        <v>792</v>
      </c>
      <c r="L1548" s="7" t="str">
        <f t="shared" si="98"/>
        <v>ГОТОВ_ИЗМЕНЕН</v>
      </c>
      <c r="M1548" s="7">
        <f t="shared" si="99"/>
        <v>0</v>
      </c>
    </row>
    <row r="1549" spans="1:13" x14ac:dyDescent="0.25">
      <c r="A1549" s="1">
        <v>945263</v>
      </c>
      <c r="B1549" s="6" t="s">
        <v>1665</v>
      </c>
      <c r="F1549" s="6" t="s">
        <v>9</v>
      </c>
      <c r="G1549" s="6" t="s">
        <v>38</v>
      </c>
      <c r="H1549" s="9" t="s">
        <v>33</v>
      </c>
      <c r="I1549" s="7" t="str">
        <f t="shared" si="96"/>
        <v>61001005000</v>
      </c>
      <c r="J1549" s="7" t="str">
        <f t="shared" si="97"/>
        <v>Материал по ЕГРН</v>
      </c>
      <c r="K1549" s="7">
        <f>VLOOKUP(J1549,Лист2!A$2:B$4,2,FALSE)</f>
        <v>792</v>
      </c>
      <c r="L1549" s="7" t="str">
        <f t="shared" si="98"/>
        <v>ГОТОВ_ИЗМЕНЕН</v>
      </c>
      <c r="M1549" s="7">
        <f t="shared" si="99"/>
        <v>0</v>
      </c>
    </row>
    <row r="1550" spans="1:13" x14ac:dyDescent="0.25">
      <c r="A1550" s="1">
        <v>945275</v>
      </c>
      <c r="B1550" s="6" t="s">
        <v>1666</v>
      </c>
      <c r="F1550" s="6" t="s">
        <v>9</v>
      </c>
      <c r="G1550" s="6" t="s">
        <v>10</v>
      </c>
      <c r="H1550" s="9" t="s">
        <v>11</v>
      </c>
      <c r="I1550" s="7" t="str">
        <f t="shared" si="96"/>
        <v>61001003000</v>
      </c>
      <c r="J1550" s="7" t="str">
        <f t="shared" si="97"/>
        <v>Материал по ЕГРН</v>
      </c>
      <c r="K1550" s="7">
        <f>VLOOKUP(J1550,Лист2!A$2:B$4,2,FALSE)</f>
        <v>792</v>
      </c>
      <c r="L1550" s="7" t="str">
        <f t="shared" si="98"/>
        <v>ГОТОВ_ИЗМЕНЕН</v>
      </c>
      <c r="M1550" s="7">
        <f t="shared" si="99"/>
        <v>0</v>
      </c>
    </row>
    <row r="1551" spans="1:13" x14ac:dyDescent="0.25">
      <c r="A1551" s="1">
        <v>945287</v>
      </c>
      <c r="B1551" s="6" t="s">
        <v>1667</v>
      </c>
      <c r="F1551" s="6" t="s">
        <v>9</v>
      </c>
      <c r="G1551" s="6" t="s">
        <v>10</v>
      </c>
      <c r="H1551" s="9" t="s">
        <v>11</v>
      </c>
      <c r="I1551" s="7" t="str">
        <f t="shared" si="96"/>
        <v>61001003000</v>
      </c>
      <c r="J1551" s="7" t="str">
        <f t="shared" si="97"/>
        <v>Материал по ЕГРН</v>
      </c>
      <c r="K1551" s="7">
        <f>VLOOKUP(J1551,Лист2!A$2:B$4,2,FALSE)</f>
        <v>792</v>
      </c>
      <c r="L1551" s="7" t="str">
        <f t="shared" si="98"/>
        <v>ГОТОВ_ИЗМЕНЕН</v>
      </c>
      <c r="M1551" s="7">
        <f t="shared" si="99"/>
        <v>0</v>
      </c>
    </row>
    <row r="1552" spans="1:13" x14ac:dyDescent="0.25">
      <c r="A1552" s="1">
        <v>945299</v>
      </c>
      <c r="B1552" s="6" t="s">
        <v>1668</v>
      </c>
      <c r="F1552" s="6" t="s">
        <v>9</v>
      </c>
      <c r="G1552" s="6" t="s">
        <v>90</v>
      </c>
      <c r="H1552" s="9" t="s">
        <v>12</v>
      </c>
      <c r="I1552" s="7" t="str">
        <f t="shared" si="96"/>
        <v>61001008000</v>
      </c>
      <c r="J1552" s="7" t="str">
        <f t="shared" si="97"/>
        <v>Материал по ЕГРН</v>
      </c>
      <c r="K1552" s="7">
        <f>VLOOKUP(J1552,Лист2!A$2:B$4,2,FALSE)</f>
        <v>792</v>
      </c>
      <c r="L1552" s="7" t="str">
        <f t="shared" si="98"/>
        <v>ГОТОВ_ИЗМЕНЕН</v>
      </c>
      <c r="M1552" s="7">
        <f t="shared" si="99"/>
        <v>0</v>
      </c>
    </row>
    <row r="1553" spans="1:13" x14ac:dyDescent="0.25">
      <c r="A1553" s="1">
        <v>945311</v>
      </c>
      <c r="B1553" s="6" t="s">
        <v>1669</v>
      </c>
      <c r="F1553" s="6" t="s">
        <v>9</v>
      </c>
      <c r="G1553" s="6" t="s">
        <v>34</v>
      </c>
      <c r="H1553" s="9" t="s">
        <v>35</v>
      </c>
      <c r="I1553" s="7" t="str">
        <f t="shared" si="96"/>
        <v>61001002000</v>
      </c>
      <c r="J1553" s="7" t="str">
        <f t="shared" si="97"/>
        <v>Материал по ЕГРН</v>
      </c>
      <c r="K1553" s="7">
        <f>VLOOKUP(J1553,Лист2!A$2:B$4,2,FALSE)</f>
        <v>792</v>
      </c>
      <c r="L1553" s="7" t="str">
        <f t="shared" si="98"/>
        <v>ГОТОВ_ИЗМЕНЕН</v>
      </c>
      <c r="M1553" s="7">
        <f t="shared" si="99"/>
        <v>0</v>
      </c>
    </row>
    <row r="1554" spans="1:13" x14ac:dyDescent="0.25">
      <c r="A1554" s="1">
        <v>945323</v>
      </c>
      <c r="B1554" s="6" t="s">
        <v>1670</v>
      </c>
      <c r="F1554" s="6" t="s">
        <v>9</v>
      </c>
      <c r="G1554" s="6" t="s">
        <v>38</v>
      </c>
      <c r="H1554" s="9" t="s">
        <v>33</v>
      </c>
      <c r="I1554" s="7" t="str">
        <f t="shared" si="96"/>
        <v>61001005000</v>
      </c>
      <c r="J1554" s="7" t="str">
        <f t="shared" si="97"/>
        <v>Материал по ЕГРН</v>
      </c>
      <c r="K1554" s="7">
        <f>VLOOKUP(J1554,Лист2!A$2:B$4,2,FALSE)</f>
        <v>792</v>
      </c>
      <c r="L1554" s="7" t="str">
        <f t="shared" si="98"/>
        <v>ГОТОВ_ИЗМЕНЕН</v>
      </c>
      <c r="M1554" s="7">
        <f t="shared" si="99"/>
        <v>0</v>
      </c>
    </row>
    <row r="1555" spans="1:13" x14ac:dyDescent="0.25">
      <c r="A1555" s="1">
        <v>945335</v>
      </c>
      <c r="B1555" s="6" t="s">
        <v>1671</v>
      </c>
      <c r="F1555" s="6" t="s">
        <v>9</v>
      </c>
      <c r="G1555" s="6" t="s">
        <v>59</v>
      </c>
      <c r="H1555" s="9" t="s">
        <v>60</v>
      </c>
      <c r="I1555" s="7" t="str">
        <f t="shared" si="96"/>
        <v>61001001001</v>
      </c>
      <c r="J1555" s="7" t="str">
        <f t="shared" si="97"/>
        <v>Материал по ЕГРН</v>
      </c>
      <c r="K1555" s="7">
        <f>VLOOKUP(J1555,Лист2!A$2:B$4,2,FALSE)</f>
        <v>792</v>
      </c>
      <c r="L1555" s="7" t="str">
        <f t="shared" si="98"/>
        <v>ГОТОВ_ИЗМЕНЕН</v>
      </c>
      <c r="M1555" s="7">
        <f t="shared" si="99"/>
        <v>0</v>
      </c>
    </row>
    <row r="1556" spans="1:13" x14ac:dyDescent="0.25">
      <c r="A1556" s="1">
        <v>945347</v>
      </c>
      <c r="B1556" s="6" t="s">
        <v>1672</v>
      </c>
      <c r="F1556" s="6" t="s">
        <v>9</v>
      </c>
      <c r="G1556" s="6" t="s">
        <v>125</v>
      </c>
      <c r="H1556" s="9" t="s">
        <v>126</v>
      </c>
      <c r="I1556" s="7" t="str">
        <f t="shared" si="96"/>
        <v>61001007004</v>
      </c>
      <c r="J1556" s="7" t="str">
        <f t="shared" si="97"/>
        <v>Материал по ЕГРН</v>
      </c>
      <c r="K1556" s="7">
        <f>VLOOKUP(J1556,Лист2!A$2:B$4,2,FALSE)</f>
        <v>792</v>
      </c>
      <c r="L1556" s="7" t="str">
        <f t="shared" si="98"/>
        <v>ГОТОВ_ИЗМЕНЕН</v>
      </c>
      <c r="M1556" s="7">
        <f t="shared" si="99"/>
        <v>0</v>
      </c>
    </row>
    <row r="1557" spans="1:13" x14ac:dyDescent="0.25">
      <c r="A1557" s="1">
        <v>945359</v>
      </c>
      <c r="B1557" s="6" t="s">
        <v>1673</v>
      </c>
      <c r="F1557" s="6" t="s">
        <v>9</v>
      </c>
      <c r="G1557" s="6" t="s">
        <v>149</v>
      </c>
      <c r="H1557" s="9" t="s">
        <v>150</v>
      </c>
      <c r="I1557" s="7" t="str">
        <f t="shared" si="96"/>
        <v>61001007000</v>
      </c>
      <c r="J1557" s="7" t="str">
        <f t="shared" si="97"/>
        <v>Материал по ЕГРН</v>
      </c>
      <c r="K1557" s="7">
        <f>VLOOKUP(J1557,Лист2!A$2:B$4,2,FALSE)</f>
        <v>792</v>
      </c>
      <c r="L1557" s="7" t="str">
        <f t="shared" si="98"/>
        <v>ГОТОВ_ИЗМЕНЕН</v>
      </c>
      <c r="M1557" s="7">
        <f t="shared" si="99"/>
        <v>0</v>
      </c>
    </row>
    <row r="1558" spans="1:13" x14ac:dyDescent="0.25">
      <c r="A1558" s="1">
        <v>945371</v>
      </c>
      <c r="B1558" s="6" t="s">
        <v>1674</v>
      </c>
      <c r="F1558" s="6" t="s">
        <v>9</v>
      </c>
      <c r="G1558" s="6" t="s">
        <v>10</v>
      </c>
      <c r="H1558" s="9" t="s">
        <v>11</v>
      </c>
      <c r="I1558" s="7" t="str">
        <f t="shared" si="96"/>
        <v>61001003000</v>
      </c>
      <c r="J1558" s="7" t="str">
        <f t="shared" si="97"/>
        <v>Материал по ЕГРН</v>
      </c>
      <c r="K1558" s="7">
        <f>VLOOKUP(J1558,Лист2!A$2:B$4,2,FALSE)</f>
        <v>792</v>
      </c>
      <c r="L1558" s="7" t="str">
        <f t="shared" si="98"/>
        <v>ГОТОВ_ИЗМЕНЕН</v>
      </c>
      <c r="M1558" s="7">
        <f t="shared" si="99"/>
        <v>0</v>
      </c>
    </row>
    <row r="1559" spans="1:13" x14ac:dyDescent="0.25">
      <c r="A1559" s="1">
        <v>945383</v>
      </c>
      <c r="B1559" s="6" t="s">
        <v>1675</v>
      </c>
      <c r="F1559" s="6" t="s">
        <v>9</v>
      </c>
      <c r="G1559" s="6" t="s">
        <v>90</v>
      </c>
      <c r="H1559" s="9" t="s">
        <v>12</v>
      </c>
      <c r="I1559" s="7" t="str">
        <f t="shared" si="96"/>
        <v>61001008000</v>
      </c>
      <c r="J1559" s="7" t="str">
        <f t="shared" si="97"/>
        <v>Материал по ЕГРН</v>
      </c>
      <c r="K1559" s="7">
        <f>VLOOKUP(J1559,Лист2!A$2:B$4,2,FALSE)</f>
        <v>792</v>
      </c>
      <c r="L1559" s="7" t="str">
        <f t="shared" si="98"/>
        <v>ГОТОВ_ИЗМЕНЕН</v>
      </c>
      <c r="M1559" s="7">
        <f t="shared" si="99"/>
        <v>0</v>
      </c>
    </row>
    <row r="1560" spans="1:13" x14ac:dyDescent="0.25">
      <c r="A1560" s="1">
        <v>945395</v>
      </c>
      <c r="B1560" s="6" t="s">
        <v>1676</v>
      </c>
      <c r="F1560" s="6" t="s">
        <v>9</v>
      </c>
      <c r="G1560" s="6" t="s">
        <v>10</v>
      </c>
      <c r="H1560" s="9" t="s">
        <v>11</v>
      </c>
      <c r="I1560" s="7" t="str">
        <f t="shared" si="96"/>
        <v>61001003000</v>
      </c>
      <c r="J1560" s="7" t="str">
        <f t="shared" si="97"/>
        <v>Материал по ЕГРН</v>
      </c>
      <c r="K1560" s="7">
        <f>VLOOKUP(J1560,Лист2!A$2:B$4,2,FALSE)</f>
        <v>792</v>
      </c>
      <c r="L1560" s="7" t="str">
        <f t="shared" si="98"/>
        <v>ГОТОВ_ИЗМЕНЕН</v>
      </c>
      <c r="M1560" s="7">
        <f t="shared" si="99"/>
        <v>0</v>
      </c>
    </row>
    <row r="1561" spans="1:13" x14ac:dyDescent="0.25">
      <c r="A1561" s="1">
        <v>945407</v>
      </c>
      <c r="B1561" s="6" t="s">
        <v>1677</v>
      </c>
      <c r="F1561" s="6" t="s">
        <v>9</v>
      </c>
      <c r="G1561" s="6" t="s">
        <v>59</v>
      </c>
      <c r="H1561" s="9" t="s">
        <v>60</v>
      </c>
      <c r="I1561" s="7" t="str">
        <f t="shared" si="96"/>
        <v>61001001001</v>
      </c>
      <c r="J1561" s="7" t="str">
        <f t="shared" si="97"/>
        <v>Материал по ЕГРН</v>
      </c>
      <c r="K1561" s="7">
        <f>VLOOKUP(J1561,Лист2!A$2:B$4,2,FALSE)</f>
        <v>792</v>
      </c>
      <c r="L1561" s="7" t="str">
        <f t="shared" si="98"/>
        <v>ГОТОВ_ИЗМЕНЕН</v>
      </c>
      <c r="M1561" s="7">
        <f t="shared" si="99"/>
        <v>0</v>
      </c>
    </row>
    <row r="1562" spans="1:13" x14ac:dyDescent="0.25">
      <c r="A1562" s="1">
        <v>945419</v>
      </c>
      <c r="B1562" s="6" t="s">
        <v>1678</v>
      </c>
      <c r="F1562" s="6" t="s">
        <v>9</v>
      </c>
      <c r="G1562" s="6" t="s">
        <v>38</v>
      </c>
      <c r="H1562" s="9" t="s">
        <v>33</v>
      </c>
      <c r="I1562" s="7" t="str">
        <f t="shared" si="96"/>
        <v>61001005000</v>
      </c>
      <c r="J1562" s="7" t="str">
        <f t="shared" si="97"/>
        <v>Материал по ЕГРН</v>
      </c>
      <c r="K1562" s="7">
        <f>VLOOKUP(J1562,Лист2!A$2:B$4,2,FALSE)</f>
        <v>792</v>
      </c>
      <c r="L1562" s="7" t="str">
        <f t="shared" si="98"/>
        <v>ГОТОВ_ИЗМЕНЕН</v>
      </c>
      <c r="M1562" s="7">
        <f t="shared" si="99"/>
        <v>0</v>
      </c>
    </row>
    <row r="1563" spans="1:13" x14ac:dyDescent="0.25">
      <c r="A1563" s="1">
        <v>945431</v>
      </c>
      <c r="B1563" s="6" t="s">
        <v>1679</v>
      </c>
      <c r="F1563" s="6" t="s">
        <v>9</v>
      </c>
      <c r="G1563" s="6" t="s">
        <v>10</v>
      </c>
      <c r="H1563" s="9" t="s">
        <v>11</v>
      </c>
      <c r="I1563" s="7" t="str">
        <f t="shared" si="96"/>
        <v>61001003000</v>
      </c>
      <c r="J1563" s="7" t="str">
        <f t="shared" si="97"/>
        <v>Материал по ЕГРН</v>
      </c>
      <c r="K1563" s="7">
        <f>VLOOKUP(J1563,Лист2!A$2:B$4,2,FALSE)</f>
        <v>792</v>
      </c>
      <c r="L1563" s="7" t="str">
        <f t="shared" si="98"/>
        <v>ГОТОВ_ИЗМЕНЕН</v>
      </c>
      <c r="M1563" s="7">
        <f t="shared" si="99"/>
        <v>0</v>
      </c>
    </row>
    <row r="1564" spans="1:13" x14ac:dyDescent="0.25">
      <c r="A1564" s="1">
        <v>945443</v>
      </c>
      <c r="B1564" s="6" t="s">
        <v>1680</v>
      </c>
      <c r="F1564" s="6" t="s">
        <v>9</v>
      </c>
      <c r="G1564" s="6" t="s">
        <v>10</v>
      </c>
      <c r="H1564" s="9" t="s">
        <v>11</v>
      </c>
      <c r="I1564" s="7" t="str">
        <f t="shared" si="96"/>
        <v>61001003000</v>
      </c>
      <c r="J1564" s="7" t="str">
        <f t="shared" si="97"/>
        <v>Материал по ЕГРН</v>
      </c>
      <c r="K1564" s="7">
        <f>VLOOKUP(J1564,Лист2!A$2:B$4,2,FALSE)</f>
        <v>792</v>
      </c>
      <c r="L1564" s="7" t="str">
        <f t="shared" si="98"/>
        <v>ГОТОВ_ИЗМЕНЕН</v>
      </c>
      <c r="M1564" s="7">
        <f t="shared" si="99"/>
        <v>0</v>
      </c>
    </row>
    <row r="1565" spans="1:13" x14ac:dyDescent="0.25">
      <c r="A1565" s="1">
        <v>945455</v>
      </c>
      <c r="B1565" s="6" t="s">
        <v>1681</v>
      </c>
      <c r="F1565" s="6" t="s">
        <v>9</v>
      </c>
      <c r="G1565" s="6" t="s">
        <v>38</v>
      </c>
      <c r="H1565" s="9" t="s">
        <v>33</v>
      </c>
      <c r="I1565" s="7" t="str">
        <f t="shared" si="96"/>
        <v>61001005000</v>
      </c>
      <c r="J1565" s="7" t="str">
        <f t="shared" si="97"/>
        <v>Материал по ЕГРН</v>
      </c>
      <c r="K1565" s="7">
        <f>VLOOKUP(J1565,Лист2!A$2:B$4,2,FALSE)</f>
        <v>792</v>
      </c>
      <c r="L1565" s="7" t="str">
        <f t="shared" si="98"/>
        <v>ГОТОВ_ИЗМЕНЕН</v>
      </c>
      <c r="M1565" s="7">
        <f t="shared" si="99"/>
        <v>0</v>
      </c>
    </row>
    <row r="1566" spans="1:13" x14ac:dyDescent="0.25">
      <c r="A1566" s="1">
        <v>945467</v>
      </c>
      <c r="B1566" s="6" t="s">
        <v>1682</v>
      </c>
      <c r="F1566" s="6" t="s">
        <v>9</v>
      </c>
      <c r="G1566" s="6" t="s">
        <v>90</v>
      </c>
      <c r="H1566" s="9" t="s">
        <v>12</v>
      </c>
      <c r="I1566" s="7" t="str">
        <f t="shared" si="96"/>
        <v>61001008000</v>
      </c>
      <c r="J1566" s="7" t="str">
        <f t="shared" si="97"/>
        <v>Материал по ЕГРН</v>
      </c>
      <c r="K1566" s="7">
        <f>VLOOKUP(J1566,Лист2!A$2:B$4,2,FALSE)</f>
        <v>792</v>
      </c>
      <c r="L1566" s="7" t="str">
        <f t="shared" si="98"/>
        <v>ГОТОВ_ИЗМЕНЕН</v>
      </c>
      <c r="M1566" s="7">
        <f t="shared" si="99"/>
        <v>0</v>
      </c>
    </row>
    <row r="1567" spans="1:13" x14ac:dyDescent="0.25">
      <c r="A1567" s="1">
        <v>945479</v>
      </c>
      <c r="B1567" s="6" t="s">
        <v>1683</v>
      </c>
      <c r="F1567" s="6" t="s">
        <v>9</v>
      </c>
      <c r="G1567" s="6" t="s">
        <v>38</v>
      </c>
      <c r="H1567" s="9" t="s">
        <v>33</v>
      </c>
      <c r="I1567" s="7" t="str">
        <f t="shared" si="96"/>
        <v>61001005000</v>
      </c>
      <c r="J1567" s="7" t="str">
        <f t="shared" si="97"/>
        <v>Материал по ЕГРН</v>
      </c>
      <c r="K1567" s="7">
        <f>VLOOKUP(J1567,Лист2!A$2:B$4,2,FALSE)</f>
        <v>792</v>
      </c>
      <c r="L1567" s="7" t="str">
        <f t="shared" si="98"/>
        <v>ГОТОВ_ИЗМЕНЕН</v>
      </c>
      <c r="M1567" s="7">
        <f t="shared" si="99"/>
        <v>0</v>
      </c>
    </row>
    <row r="1568" spans="1:13" x14ac:dyDescent="0.25">
      <c r="A1568" s="1">
        <v>945491</v>
      </c>
      <c r="B1568" s="6" t="s">
        <v>1684</v>
      </c>
      <c r="F1568" s="6" t="s">
        <v>9</v>
      </c>
      <c r="G1568" s="6" t="s">
        <v>62</v>
      </c>
      <c r="H1568" s="9" t="s">
        <v>63</v>
      </c>
      <c r="I1568" s="7" t="str">
        <f t="shared" si="96"/>
        <v>61001006002</v>
      </c>
      <c r="J1568" s="7" t="str">
        <f t="shared" si="97"/>
        <v>Материал по ЕГРН</v>
      </c>
      <c r="K1568" s="7">
        <f>VLOOKUP(J1568,Лист2!A$2:B$4,2,FALSE)</f>
        <v>792</v>
      </c>
      <c r="L1568" s="7" t="str">
        <f t="shared" si="98"/>
        <v>ГОТОВ_ИЗМЕНЕН</v>
      </c>
      <c r="M1568" s="7">
        <f t="shared" si="99"/>
        <v>0</v>
      </c>
    </row>
    <row r="1569" spans="1:13" x14ac:dyDescent="0.25">
      <c r="A1569" s="1">
        <v>200575</v>
      </c>
      <c r="B1569" s="6" t="s">
        <v>1685</v>
      </c>
      <c r="C1569" s="9" t="s">
        <v>33</v>
      </c>
      <c r="D1569" s="6" t="s">
        <v>20</v>
      </c>
      <c r="E1569" s="6" t="s">
        <v>37</v>
      </c>
      <c r="F1569" s="6" t="s">
        <v>9</v>
      </c>
      <c r="G1569" s="6" t="s">
        <v>38</v>
      </c>
      <c r="H1569" s="9" t="s">
        <v>33</v>
      </c>
      <c r="I1569" s="7" t="str">
        <f t="shared" si="96"/>
        <v>61001005000</v>
      </c>
      <c r="J1569" s="7" t="str">
        <f t="shared" si="97"/>
        <v>Материал по ЕГРН</v>
      </c>
      <c r="K1569" s="7">
        <f>VLOOKUP(J1569,Лист2!A$2:B$4,2,FALSE)</f>
        <v>792</v>
      </c>
      <c r="L1569" s="7" t="str">
        <f t="shared" si="98"/>
        <v>ГОТОВ</v>
      </c>
      <c r="M1569" s="7" t="str">
        <f t="shared" si="99"/>
        <v>61001005000</v>
      </c>
    </row>
    <row r="1570" spans="1:13" x14ac:dyDescent="0.25">
      <c r="A1570" s="1">
        <v>525961</v>
      </c>
      <c r="B1570" s="6" t="s">
        <v>1686</v>
      </c>
      <c r="C1570" s="9" t="s">
        <v>33</v>
      </c>
      <c r="D1570" s="6" t="s">
        <v>20</v>
      </c>
      <c r="E1570" s="6" t="s">
        <v>37</v>
      </c>
      <c r="F1570" s="6" t="s">
        <v>9</v>
      </c>
      <c r="G1570" s="6" t="s">
        <v>38</v>
      </c>
      <c r="H1570" s="9" t="s">
        <v>33</v>
      </c>
      <c r="I1570" s="7" t="str">
        <f t="shared" si="96"/>
        <v>61001005000</v>
      </c>
      <c r="J1570" s="7" t="str">
        <f t="shared" si="97"/>
        <v>Материал по ЕГРН</v>
      </c>
      <c r="K1570" s="7">
        <f>VLOOKUP(J1570,Лист2!A$2:B$4,2,FALSE)</f>
        <v>792</v>
      </c>
      <c r="L1570" s="7" t="str">
        <f t="shared" si="98"/>
        <v>ГОТОВ</v>
      </c>
      <c r="M1570" s="7" t="str">
        <f t="shared" si="99"/>
        <v>61001005000</v>
      </c>
    </row>
    <row r="1571" spans="1:13" x14ac:dyDescent="0.25">
      <c r="A1571" s="1">
        <v>787840</v>
      </c>
      <c r="B1571" s="6" t="s">
        <v>1687</v>
      </c>
      <c r="C1571" s="9" t="s">
        <v>33</v>
      </c>
      <c r="D1571" s="6" t="s">
        <v>20</v>
      </c>
      <c r="E1571" s="6" t="s">
        <v>37</v>
      </c>
      <c r="F1571" s="6" t="s">
        <v>9</v>
      </c>
      <c r="G1571" s="6" t="s">
        <v>38</v>
      </c>
      <c r="H1571" s="9" t="s">
        <v>33</v>
      </c>
      <c r="I1571" s="7" t="str">
        <f t="shared" si="96"/>
        <v>61001005000</v>
      </c>
      <c r="J1571" s="7" t="str">
        <f t="shared" si="97"/>
        <v>Материал по ЕГРН</v>
      </c>
      <c r="K1571" s="7">
        <f>VLOOKUP(J1571,Лист2!A$2:B$4,2,FALSE)</f>
        <v>792</v>
      </c>
      <c r="L1571" s="7" t="str">
        <f t="shared" si="98"/>
        <v>ГОТОВ</v>
      </c>
      <c r="M1571" s="7" t="str">
        <f t="shared" si="99"/>
        <v>61001005000</v>
      </c>
    </row>
    <row r="1572" spans="1:13" x14ac:dyDescent="0.25">
      <c r="A1572" s="1">
        <v>943624</v>
      </c>
      <c r="B1572" s="6" t="s">
        <v>1688</v>
      </c>
      <c r="F1572" s="6" t="s">
        <v>9</v>
      </c>
      <c r="G1572" s="6" t="s">
        <v>38</v>
      </c>
      <c r="H1572" s="9" t="s">
        <v>33</v>
      </c>
      <c r="I1572" s="7" t="str">
        <f t="shared" si="96"/>
        <v>61001005000</v>
      </c>
      <c r="J1572" s="7" t="str">
        <f t="shared" si="97"/>
        <v>Материал по ЕГРН</v>
      </c>
      <c r="K1572" s="7">
        <f>VLOOKUP(J1572,Лист2!A$2:B$4,2,FALSE)</f>
        <v>792</v>
      </c>
      <c r="L1572" s="7" t="str">
        <f t="shared" si="98"/>
        <v>ГОТОВ_ИЗМЕНЕН</v>
      </c>
      <c r="M1572" s="7">
        <f t="shared" si="99"/>
        <v>0</v>
      </c>
    </row>
    <row r="1573" spans="1:13" x14ac:dyDescent="0.25">
      <c r="A1573" s="1">
        <v>943636</v>
      </c>
      <c r="B1573" s="6" t="s">
        <v>1689</v>
      </c>
      <c r="F1573" s="6" t="s">
        <v>9</v>
      </c>
      <c r="G1573" s="6" t="s">
        <v>10</v>
      </c>
      <c r="H1573" s="9" t="s">
        <v>11</v>
      </c>
      <c r="I1573" s="7" t="str">
        <f t="shared" si="96"/>
        <v>61001003000</v>
      </c>
      <c r="J1573" s="7" t="str">
        <f t="shared" si="97"/>
        <v>Материал по ЕГРН</v>
      </c>
      <c r="K1573" s="7">
        <f>VLOOKUP(J1573,Лист2!A$2:B$4,2,FALSE)</f>
        <v>792</v>
      </c>
      <c r="L1573" s="7" t="str">
        <f t="shared" si="98"/>
        <v>ГОТОВ_ИЗМЕНЕН</v>
      </c>
      <c r="M1573" s="7">
        <f t="shared" si="99"/>
        <v>0</v>
      </c>
    </row>
    <row r="1574" spans="1:13" x14ac:dyDescent="0.25">
      <c r="A1574" s="1">
        <v>943648</v>
      </c>
      <c r="B1574" s="6" t="s">
        <v>1690</v>
      </c>
      <c r="F1574" s="6" t="s">
        <v>9</v>
      </c>
      <c r="G1574" s="6" t="s">
        <v>1198</v>
      </c>
      <c r="H1574" s="9" t="s">
        <v>1199</v>
      </c>
      <c r="I1574" s="7" t="str">
        <f t="shared" si="96"/>
        <v>61001003000</v>
      </c>
      <c r="J1574" s="7" t="str">
        <f t="shared" si="97"/>
        <v>Смешанные по допущению</v>
      </c>
      <c r="K1574" s="7">
        <f>VLOOKUP(J1574,Лист2!A$2:B$4,2,FALSE)</f>
        <v>793</v>
      </c>
      <c r="L1574" s="7" t="str">
        <f t="shared" si="98"/>
        <v>ГОТОВ_ИЗМЕНЕН</v>
      </c>
      <c r="M1574" s="7">
        <f t="shared" si="99"/>
        <v>0</v>
      </c>
    </row>
    <row r="1575" spans="1:13" x14ac:dyDescent="0.25">
      <c r="A1575" s="1">
        <v>943660</v>
      </c>
      <c r="B1575" s="6" t="s">
        <v>1691</v>
      </c>
      <c r="F1575" s="6" t="s">
        <v>9</v>
      </c>
      <c r="G1575" s="6" t="s">
        <v>59</v>
      </c>
      <c r="H1575" s="9" t="s">
        <v>60</v>
      </c>
      <c r="I1575" s="7" t="str">
        <f t="shared" si="96"/>
        <v>61001001001</v>
      </c>
      <c r="J1575" s="7" t="str">
        <f t="shared" si="97"/>
        <v>Материал по ЕГРН</v>
      </c>
      <c r="K1575" s="7">
        <f>VLOOKUP(J1575,Лист2!A$2:B$4,2,FALSE)</f>
        <v>792</v>
      </c>
      <c r="L1575" s="7" t="str">
        <f t="shared" si="98"/>
        <v>ГОТОВ_ИЗМЕНЕН</v>
      </c>
      <c r="M1575" s="7">
        <f t="shared" si="99"/>
        <v>0</v>
      </c>
    </row>
    <row r="1576" spans="1:13" x14ac:dyDescent="0.25">
      <c r="A1576" s="1">
        <v>943672</v>
      </c>
      <c r="B1576" s="6" t="s">
        <v>1692</v>
      </c>
      <c r="F1576" s="6" t="s">
        <v>9</v>
      </c>
      <c r="G1576" s="6" t="s">
        <v>62</v>
      </c>
      <c r="H1576" s="9" t="s">
        <v>63</v>
      </c>
      <c r="I1576" s="7" t="str">
        <f t="shared" si="96"/>
        <v>61001006002</v>
      </c>
      <c r="J1576" s="7" t="str">
        <f t="shared" si="97"/>
        <v>Материал по ЕГРН</v>
      </c>
      <c r="K1576" s="7">
        <f>VLOOKUP(J1576,Лист2!A$2:B$4,2,FALSE)</f>
        <v>792</v>
      </c>
      <c r="L1576" s="7" t="str">
        <f t="shared" si="98"/>
        <v>ГОТОВ_ИЗМЕНЕН</v>
      </c>
      <c r="M1576" s="7">
        <f t="shared" si="99"/>
        <v>0</v>
      </c>
    </row>
    <row r="1577" spans="1:13" x14ac:dyDescent="0.25">
      <c r="A1577" s="1">
        <v>943684</v>
      </c>
      <c r="B1577" s="6" t="s">
        <v>1693</v>
      </c>
      <c r="F1577" s="6" t="s">
        <v>9</v>
      </c>
      <c r="G1577" s="6" t="s">
        <v>38</v>
      </c>
      <c r="H1577" s="9" t="s">
        <v>33</v>
      </c>
      <c r="I1577" s="7" t="str">
        <f t="shared" si="96"/>
        <v>61001005000</v>
      </c>
      <c r="J1577" s="7" t="str">
        <f t="shared" si="97"/>
        <v>Материал по ЕГРН</v>
      </c>
      <c r="K1577" s="7">
        <f>VLOOKUP(J1577,Лист2!A$2:B$4,2,FALSE)</f>
        <v>792</v>
      </c>
      <c r="L1577" s="7" t="str">
        <f t="shared" si="98"/>
        <v>ГОТОВ_ИЗМЕНЕН</v>
      </c>
      <c r="M1577" s="7">
        <f t="shared" si="99"/>
        <v>0</v>
      </c>
    </row>
    <row r="1578" spans="1:13" x14ac:dyDescent="0.25">
      <c r="A1578" s="1">
        <v>943696</v>
      </c>
      <c r="B1578" s="6" t="s">
        <v>1694</v>
      </c>
      <c r="F1578" s="6" t="s">
        <v>9</v>
      </c>
      <c r="G1578" s="6" t="s">
        <v>146</v>
      </c>
      <c r="H1578" s="9" t="s">
        <v>147</v>
      </c>
      <c r="I1578" s="7" t="str">
        <f t="shared" si="96"/>
        <v>61001000000</v>
      </c>
      <c r="J1578" s="7" t="str">
        <f t="shared" si="97"/>
        <v>Материал по ЕГРН</v>
      </c>
      <c r="K1578" s="7">
        <f>VLOOKUP(J1578,Лист2!A$2:B$4,2,FALSE)</f>
        <v>792</v>
      </c>
      <c r="L1578" s="7" t="str">
        <f t="shared" si="98"/>
        <v>ГОТОВ_ИЗМЕНЕН</v>
      </c>
      <c r="M1578" s="7">
        <f t="shared" si="99"/>
        <v>0</v>
      </c>
    </row>
    <row r="1579" spans="1:13" x14ac:dyDescent="0.25">
      <c r="A1579" s="1">
        <v>943708</v>
      </c>
      <c r="B1579" s="6" t="s">
        <v>1695</v>
      </c>
      <c r="F1579" s="6" t="s">
        <v>9</v>
      </c>
      <c r="G1579" s="6" t="s">
        <v>38</v>
      </c>
      <c r="H1579" s="9" t="s">
        <v>33</v>
      </c>
      <c r="I1579" s="7" t="str">
        <f t="shared" si="96"/>
        <v>61001005000</v>
      </c>
      <c r="J1579" s="7" t="str">
        <f t="shared" si="97"/>
        <v>Материал по ЕГРН</v>
      </c>
      <c r="K1579" s="7">
        <f>VLOOKUP(J1579,Лист2!A$2:B$4,2,FALSE)</f>
        <v>792</v>
      </c>
      <c r="L1579" s="7" t="str">
        <f t="shared" si="98"/>
        <v>ГОТОВ_ИЗМЕНЕН</v>
      </c>
      <c r="M1579" s="7">
        <f t="shared" si="99"/>
        <v>0</v>
      </c>
    </row>
    <row r="1580" spans="1:13" ht="25.5" x14ac:dyDescent="0.25">
      <c r="A1580" s="1">
        <v>943720</v>
      </c>
      <c r="B1580" s="6" t="s">
        <v>1696</v>
      </c>
      <c r="E1580" s="6" t="s">
        <v>8</v>
      </c>
      <c r="F1580" s="6" t="s">
        <v>9</v>
      </c>
      <c r="G1580" s="6" t="s">
        <v>1697</v>
      </c>
      <c r="H1580" s="9" t="s">
        <v>1698</v>
      </c>
      <c r="I1580" s="7" t="str">
        <f t="shared" si="96"/>
        <v>61001003000</v>
      </c>
      <c r="J1580" s="7" t="str">
        <f t="shared" si="97"/>
        <v>Смешанные по допущению</v>
      </c>
      <c r="K1580" s="7">
        <f>VLOOKUP(J1580,Лист2!A$2:B$4,2,FALSE)</f>
        <v>793</v>
      </c>
      <c r="L1580" s="7" t="str">
        <f t="shared" si="98"/>
        <v>ГОТОВ_ИЗМЕНЕН</v>
      </c>
      <c r="M1580" s="7">
        <f t="shared" si="99"/>
        <v>0</v>
      </c>
    </row>
    <row r="1581" spans="1:13" x14ac:dyDescent="0.25">
      <c r="A1581" s="1">
        <v>943732</v>
      </c>
      <c r="B1581" s="6" t="s">
        <v>1699</v>
      </c>
      <c r="F1581" s="6" t="s">
        <v>9</v>
      </c>
      <c r="G1581" s="6" t="s">
        <v>34</v>
      </c>
      <c r="H1581" s="9" t="s">
        <v>35</v>
      </c>
      <c r="I1581" s="7" t="str">
        <f t="shared" si="96"/>
        <v>61001002000</v>
      </c>
      <c r="J1581" s="7" t="str">
        <f t="shared" si="97"/>
        <v>Материал по ЕГРН</v>
      </c>
      <c r="K1581" s="7">
        <f>VLOOKUP(J1581,Лист2!A$2:B$4,2,FALSE)</f>
        <v>792</v>
      </c>
      <c r="L1581" s="7" t="str">
        <f t="shared" si="98"/>
        <v>ГОТОВ_ИЗМЕНЕН</v>
      </c>
      <c r="M1581" s="7">
        <f t="shared" si="99"/>
        <v>0</v>
      </c>
    </row>
    <row r="1582" spans="1:13" x14ac:dyDescent="0.25">
      <c r="A1582" s="1">
        <v>943744</v>
      </c>
      <c r="B1582" s="6" t="s">
        <v>1700</v>
      </c>
      <c r="F1582" s="6" t="s">
        <v>9</v>
      </c>
      <c r="G1582" s="6" t="s">
        <v>73</v>
      </c>
      <c r="H1582" s="9" t="s">
        <v>74</v>
      </c>
      <c r="I1582" s="7" t="str">
        <f t="shared" si="96"/>
        <v>61001006000</v>
      </c>
      <c r="J1582" s="7" t="str">
        <f t="shared" si="97"/>
        <v>Материал по ЕГРН</v>
      </c>
      <c r="K1582" s="7">
        <f>VLOOKUP(J1582,Лист2!A$2:B$4,2,FALSE)</f>
        <v>792</v>
      </c>
      <c r="L1582" s="7" t="str">
        <f t="shared" si="98"/>
        <v>ГОТОВ_ИЗМЕНЕН</v>
      </c>
      <c r="M1582" s="7">
        <f t="shared" si="99"/>
        <v>0</v>
      </c>
    </row>
    <row r="1583" spans="1:13" x14ac:dyDescent="0.25">
      <c r="A1583" s="1">
        <v>943756</v>
      </c>
      <c r="B1583" s="6" t="s">
        <v>1701</v>
      </c>
      <c r="F1583" s="6" t="s">
        <v>9</v>
      </c>
      <c r="G1583" s="6" t="s">
        <v>62</v>
      </c>
      <c r="H1583" s="9" t="s">
        <v>63</v>
      </c>
      <c r="I1583" s="7" t="str">
        <f t="shared" si="96"/>
        <v>61001006002</v>
      </c>
      <c r="J1583" s="7" t="str">
        <f t="shared" si="97"/>
        <v>Материал по ЕГРН</v>
      </c>
      <c r="K1583" s="7">
        <f>VLOOKUP(J1583,Лист2!A$2:B$4,2,FALSE)</f>
        <v>792</v>
      </c>
      <c r="L1583" s="7" t="str">
        <f t="shared" si="98"/>
        <v>ГОТОВ_ИЗМЕНЕН</v>
      </c>
      <c r="M1583" s="7">
        <f t="shared" si="99"/>
        <v>0</v>
      </c>
    </row>
    <row r="1584" spans="1:13" ht="25.5" x14ac:dyDescent="0.25">
      <c r="A1584" s="1">
        <v>943768</v>
      </c>
      <c r="B1584" s="6" t="s">
        <v>1702</v>
      </c>
      <c r="E1584" s="6" t="s">
        <v>8</v>
      </c>
      <c r="F1584" s="6" t="s">
        <v>9</v>
      </c>
      <c r="G1584" s="6" t="s">
        <v>1697</v>
      </c>
      <c r="H1584" s="9" t="s">
        <v>1698</v>
      </c>
      <c r="I1584" s="7" t="str">
        <f t="shared" si="96"/>
        <v>61001003000</v>
      </c>
      <c r="J1584" s="7" t="str">
        <f t="shared" si="97"/>
        <v>Смешанные по допущению</v>
      </c>
      <c r="K1584" s="7">
        <f>VLOOKUP(J1584,Лист2!A$2:B$4,2,FALSE)</f>
        <v>793</v>
      </c>
      <c r="L1584" s="7" t="str">
        <f t="shared" si="98"/>
        <v>ГОТОВ_ИЗМЕНЕН</v>
      </c>
      <c r="M1584" s="7">
        <f t="shared" si="99"/>
        <v>0</v>
      </c>
    </row>
    <row r="1585" spans="1:13" x14ac:dyDescent="0.25">
      <c r="A1585" s="1">
        <v>943780</v>
      </c>
      <c r="B1585" s="6" t="s">
        <v>1703</v>
      </c>
      <c r="F1585" s="6" t="s">
        <v>9</v>
      </c>
      <c r="G1585" s="6" t="s">
        <v>38</v>
      </c>
      <c r="H1585" s="9" t="s">
        <v>33</v>
      </c>
      <c r="I1585" s="7" t="str">
        <f t="shared" si="96"/>
        <v>61001005000</v>
      </c>
      <c r="J1585" s="7" t="str">
        <f t="shared" si="97"/>
        <v>Материал по ЕГРН</v>
      </c>
      <c r="K1585" s="7">
        <f>VLOOKUP(J1585,Лист2!A$2:B$4,2,FALSE)</f>
        <v>792</v>
      </c>
      <c r="L1585" s="7" t="str">
        <f t="shared" si="98"/>
        <v>ГОТОВ_ИЗМЕНЕН</v>
      </c>
      <c r="M1585" s="7">
        <f t="shared" si="99"/>
        <v>0</v>
      </c>
    </row>
    <row r="1586" spans="1:13" x14ac:dyDescent="0.25">
      <c r="A1586" s="1">
        <v>943792</v>
      </c>
      <c r="B1586" s="6" t="s">
        <v>1704</v>
      </c>
      <c r="F1586" s="6" t="s">
        <v>9</v>
      </c>
      <c r="G1586" s="6" t="s">
        <v>38</v>
      </c>
      <c r="H1586" s="9" t="s">
        <v>33</v>
      </c>
      <c r="I1586" s="7" t="str">
        <f t="shared" si="96"/>
        <v>61001005000</v>
      </c>
      <c r="J1586" s="7" t="str">
        <f t="shared" si="97"/>
        <v>Материал по ЕГРН</v>
      </c>
      <c r="K1586" s="7">
        <f>VLOOKUP(J1586,Лист2!A$2:B$4,2,FALSE)</f>
        <v>792</v>
      </c>
      <c r="L1586" s="7" t="str">
        <f t="shared" si="98"/>
        <v>ГОТОВ_ИЗМЕНЕН</v>
      </c>
      <c r="M1586" s="7">
        <f t="shared" si="99"/>
        <v>0</v>
      </c>
    </row>
    <row r="1587" spans="1:13" x14ac:dyDescent="0.25">
      <c r="A1587" s="1">
        <v>943804</v>
      </c>
      <c r="B1587" s="6" t="s">
        <v>1705</v>
      </c>
      <c r="F1587" s="6" t="s">
        <v>9</v>
      </c>
      <c r="G1587" s="6" t="s">
        <v>59</v>
      </c>
      <c r="H1587" s="9" t="s">
        <v>60</v>
      </c>
      <c r="I1587" s="7" t="str">
        <f t="shared" si="96"/>
        <v>61001001001</v>
      </c>
      <c r="J1587" s="7" t="str">
        <f t="shared" si="97"/>
        <v>Материал по ЕГРН</v>
      </c>
      <c r="K1587" s="7">
        <f>VLOOKUP(J1587,Лист2!A$2:B$4,2,FALSE)</f>
        <v>792</v>
      </c>
      <c r="L1587" s="7" t="str">
        <f t="shared" si="98"/>
        <v>ГОТОВ_ИЗМЕНЕН</v>
      </c>
      <c r="M1587" s="7">
        <f t="shared" si="99"/>
        <v>0</v>
      </c>
    </row>
    <row r="1588" spans="1:13" x14ac:dyDescent="0.25">
      <c r="A1588" s="1">
        <v>943816</v>
      </c>
      <c r="B1588" s="6" t="s">
        <v>1706</v>
      </c>
      <c r="F1588" s="6" t="s">
        <v>9</v>
      </c>
      <c r="G1588" s="6" t="s">
        <v>38</v>
      </c>
      <c r="H1588" s="9" t="s">
        <v>33</v>
      </c>
      <c r="I1588" s="7" t="str">
        <f t="shared" si="96"/>
        <v>61001005000</v>
      </c>
      <c r="J1588" s="7" t="str">
        <f t="shared" si="97"/>
        <v>Материал по ЕГРН</v>
      </c>
      <c r="K1588" s="7">
        <f>VLOOKUP(J1588,Лист2!A$2:B$4,2,FALSE)</f>
        <v>792</v>
      </c>
      <c r="L1588" s="7" t="str">
        <f t="shared" si="98"/>
        <v>ГОТОВ_ИЗМЕНЕН</v>
      </c>
      <c r="M1588" s="7">
        <f t="shared" si="99"/>
        <v>0</v>
      </c>
    </row>
    <row r="1589" spans="1:13" x14ac:dyDescent="0.25">
      <c r="A1589" s="1">
        <v>943828</v>
      </c>
      <c r="B1589" s="6" t="s">
        <v>1707</v>
      </c>
      <c r="F1589" s="6" t="s">
        <v>9</v>
      </c>
      <c r="G1589" s="6" t="s">
        <v>38</v>
      </c>
      <c r="H1589" s="9" t="s">
        <v>33</v>
      </c>
      <c r="I1589" s="7" t="str">
        <f t="shared" si="96"/>
        <v>61001005000</v>
      </c>
      <c r="J1589" s="7" t="str">
        <f t="shared" si="97"/>
        <v>Материал по ЕГРН</v>
      </c>
      <c r="K1589" s="7">
        <f>VLOOKUP(J1589,Лист2!A$2:B$4,2,FALSE)</f>
        <v>792</v>
      </c>
      <c r="L1589" s="7" t="str">
        <f t="shared" si="98"/>
        <v>ГОТОВ_ИЗМЕНЕН</v>
      </c>
      <c r="M1589" s="7">
        <f t="shared" si="99"/>
        <v>0</v>
      </c>
    </row>
    <row r="1590" spans="1:13" x14ac:dyDescent="0.25">
      <c r="A1590" s="1">
        <v>943840</v>
      </c>
      <c r="B1590" s="6" t="s">
        <v>1708</v>
      </c>
      <c r="F1590" s="6" t="s">
        <v>9</v>
      </c>
      <c r="G1590" s="6" t="s">
        <v>62</v>
      </c>
      <c r="H1590" s="9" t="s">
        <v>63</v>
      </c>
      <c r="I1590" s="7" t="str">
        <f t="shared" si="96"/>
        <v>61001006002</v>
      </c>
      <c r="J1590" s="7" t="str">
        <f t="shared" si="97"/>
        <v>Материал по ЕГРН</v>
      </c>
      <c r="K1590" s="7">
        <f>VLOOKUP(J1590,Лист2!A$2:B$4,2,FALSE)</f>
        <v>792</v>
      </c>
      <c r="L1590" s="7" t="str">
        <f t="shared" si="98"/>
        <v>ГОТОВ_ИЗМЕНЕН</v>
      </c>
      <c r="M1590" s="7">
        <f t="shared" si="99"/>
        <v>0</v>
      </c>
    </row>
    <row r="1591" spans="1:13" x14ac:dyDescent="0.25">
      <c r="A1591" s="1">
        <v>943852</v>
      </c>
      <c r="B1591" s="6" t="s">
        <v>1709</v>
      </c>
      <c r="F1591" s="6" t="s">
        <v>9</v>
      </c>
      <c r="G1591" s="6" t="s">
        <v>62</v>
      </c>
      <c r="H1591" s="9" t="s">
        <v>63</v>
      </c>
      <c r="I1591" s="7" t="str">
        <f t="shared" si="96"/>
        <v>61001006002</v>
      </c>
      <c r="J1591" s="7" t="str">
        <f t="shared" si="97"/>
        <v>Материал по ЕГРН</v>
      </c>
      <c r="K1591" s="7">
        <f>VLOOKUP(J1591,Лист2!A$2:B$4,2,FALSE)</f>
        <v>792</v>
      </c>
      <c r="L1591" s="7" t="str">
        <f t="shared" si="98"/>
        <v>ГОТОВ_ИЗМЕНЕН</v>
      </c>
      <c r="M1591" s="7">
        <f t="shared" si="99"/>
        <v>0</v>
      </c>
    </row>
    <row r="1592" spans="1:13" x14ac:dyDescent="0.25">
      <c r="A1592" s="1">
        <v>943864</v>
      </c>
      <c r="B1592" s="6" t="s">
        <v>1710</v>
      </c>
      <c r="F1592" s="6" t="s">
        <v>9</v>
      </c>
      <c r="G1592" s="6" t="s">
        <v>34</v>
      </c>
      <c r="H1592" s="9" t="s">
        <v>35</v>
      </c>
      <c r="I1592" s="7" t="str">
        <f t="shared" si="96"/>
        <v>61001002000</v>
      </c>
      <c r="J1592" s="7" t="str">
        <f t="shared" si="97"/>
        <v>Материал по ЕГРН</v>
      </c>
      <c r="K1592" s="7">
        <f>VLOOKUP(J1592,Лист2!A$2:B$4,2,FALSE)</f>
        <v>792</v>
      </c>
      <c r="L1592" s="7" t="str">
        <f t="shared" si="98"/>
        <v>ГОТОВ_ИЗМЕНЕН</v>
      </c>
      <c r="M1592" s="7">
        <f t="shared" si="99"/>
        <v>0</v>
      </c>
    </row>
    <row r="1593" spans="1:13" x14ac:dyDescent="0.25">
      <c r="A1593" s="1">
        <v>943876</v>
      </c>
      <c r="B1593" s="6" t="s">
        <v>1711</v>
      </c>
      <c r="F1593" s="6" t="s">
        <v>9</v>
      </c>
      <c r="G1593" s="6" t="s">
        <v>59</v>
      </c>
      <c r="H1593" s="9" t="s">
        <v>60</v>
      </c>
      <c r="I1593" s="7" t="str">
        <f t="shared" si="96"/>
        <v>61001001001</v>
      </c>
      <c r="J1593" s="7" t="str">
        <f t="shared" si="97"/>
        <v>Материал по ЕГРН</v>
      </c>
      <c r="K1593" s="7">
        <f>VLOOKUP(J1593,Лист2!A$2:B$4,2,FALSE)</f>
        <v>792</v>
      </c>
      <c r="L1593" s="7" t="str">
        <f t="shared" si="98"/>
        <v>ГОТОВ_ИЗМЕНЕН</v>
      </c>
      <c r="M1593" s="7">
        <f t="shared" si="99"/>
        <v>0</v>
      </c>
    </row>
    <row r="1594" spans="1:13" x14ac:dyDescent="0.25">
      <c r="A1594" s="1">
        <v>943888</v>
      </c>
      <c r="B1594" s="6" t="s">
        <v>1712</v>
      </c>
      <c r="F1594" s="6" t="s">
        <v>9</v>
      </c>
      <c r="G1594" s="6" t="s">
        <v>34</v>
      </c>
      <c r="H1594" s="9" t="s">
        <v>35</v>
      </c>
      <c r="I1594" s="7" t="str">
        <f t="shared" si="96"/>
        <v>61001002000</v>
      </c>
      <c r="J1594" s="7" t="str">
        <f t="shared" si="97"/>
        <v>Материал по ЕГРН</v>
      </c>
      <c r="K1594" s="7">
        <f>VLOOKUP(J1594,Лист2!A$2:B$4,2,FALSE)</f>
        <v>792</v>
      </c>
      <c r="L1594" s="7" t="str">
        <f t="shared" si="98"/>
        <v>ГОТОВ_ИЗМЕНЕН</v>
      </c>
      <c r="M1594" s="7">
        <f t="shared" si="99"/>
        <v>0</v>
      </c>
    </row>
    <row r="1595" spans="1:13" x14ac:dyDescent="0.25">
      <c r="A1595" s="1">
        <v>943900</v>
      </c>
      <c r="B1595" s="6" t="s">
        <v>1713</v>
      </c>
      <c r="F1595" s="6" t="s">
        <v>9</v>
      </c>
      <c r="G1595" s="6" t="s">
        <v>34</v>
      </c>
      <c r="H1595" s="9" t="s">
        <v>35</v>
      </c>
      <c r="I1595" s="7" t="str">
        <f t="shared" si="96"/>
        <v>61001002000</v>
      </c>
      <c r="J1595" s="7" t="str">
        <f t="shared" si="97"/>
        <v>Материал по ЕГРН</v>
      </c>
      <c r="K1595" s="7">
        <f>VLOOKUP(J1595,Лист2!A$2:B$4,2,FALSE)</f>
        <v>792</v>
      </c>
      <c r="L1595" s="7" t="str">
        <f t="shared" si="98"/>
        <v>ГОТОВ_ИЗМЕНЕН</v>
      </c>
      <c r="M1595" s="7">
        <f t="shared" si="99"/>
        <v>0</v>
      </c>
    </row>
    <row r="1596" spans="1:13" x14ac:dyDescent="0.25">
      <c r="A1596" s="1">
        <v>943912</v>
      </c>
      <c r="B1596" s="6" t="s">
        <v>1714</v>
      </c>
      <c r="F1596" s="6" t="s">
        <v>9</v>
      </c>
      <c r="G1596" s="6" t="s">
        <v>10</v>
      </c>
      <c r="H1596" s="9" t="s">
        <v>11</v>
      </c>
      <c r="I1596" s="7" t="str">
        <f t="shared" si="96"/>
        <v>61001003000</v>
      </c>
      <c r="J1596" s="7" t="str">
        <f t="shared" si="97"/>
        <v>Материал по ЕГРН</v>
      </c>
      <c r="K1596" s="7">
        <f>VLOOKUP(J1596,Лист2!A$2:B$4,2,FALSE)</f>
        <v>792</v>
      </c>
      <c r="L1596" s="7" t="str">
        <f t="shared" si="98"/>
        <v>ГОТОВ_ИЗМЕНЕН</v>
      </c>
      <c r="M1596" s="7">
        <f t="shared" si="99"/>
        <v>0</v>
      </c>
    </row>
    <row r="1597" spans="1:13" x14ac:dyDescent="0.25">
      <c r="A1597" s="1">
        <v>943924</v>
      </c>
      <c r="B1597" s="6" t="s">
        <v>1715</v>
      </c>
      <c r="F1597" s="6" t="s">
        <v>9</v>
      </c>
      <c r="G1597" s="6" t="s">
        <v>10</v>
      </c>
      <c r="H1597" s="9" t="s">
        <v>11</v>
      </c>
      <c r="I1597" s="7" t="str">
        <f t="shared" si="96"/>
        <v>61001003000</v>
      </c>
      <c r="J1597" s="7" t="str">
        <f t="shared" si="97"/>
        <v>Материал по ЕГРН</v>
      </c>
      <c r="K1597" s="7">
        <f>VLOOKUP(J1597,Лист2!A$2:B$4,2,FALSE)</f>
        <v>792</v>
      </c>
      <c r="L1597" s="7" t="str">
        <f t="shared" si="98"/>
        <v>ГОТОВ_ИЗМЕНЕН</v>
      </c>
      <c r="M1597" s="7">
        <f t="shared" si="99"/>
        <v>0</v>
      </c>
    </row>
    <row r="1598" spans="1:13" x14ac:dyDescent="0.25">
      <c r="A1598" s="1">
        <v>943936</v>
      </c>
      <c r="B1598" s="6" t="s">
        <v>1716</v>
      </c>
      <c r="F1598" s="6" t="s">
        <v>9</v>
      </c>
      <c r="G1598" s="6" t="s">
        <v>62</v>
      </c>
      <c r="H1598" s="9" t="s">
        <v>63</v>
      </c>
      <c r="I1598" s="7" t="str">
        <f t="shared" si="96"/>
        <v>61001006002</v>
      </c>
      <c r="J1598" s="7" t="str">
        <f t="shared" si="97"/>
        <v>Материал по ЕГРН</v>
      </c>
      <c r="K1598" s="7">
        <f>VLOOKUP(J1598,Лист2!A$2:B$4,2,FALSE)</f>
        <v>792</v>
      </c>
      <c r="L1598" s="7" t="str">
        <f t="shared" si="98"/>
        <v>ГОТОВ_ИЗМЕНЕН</v>
      </c>
      <c r="M1598" s="7">
        <f t="shared" si="99"/>
        <v>0</v>
      </c>
    </row>
    <row r="1599" spans="1:13" x14ac:dyDescent="0.25">
      <c r="A1599" s="1">
        <v>943948</v>
      </c>
      <c r="B1599" s="6" t="s">
        <v>1717</v>
      </c>
      <c r="F1599" s="6" t="s">
        <v>9</v>
      </c>
      <c r="G1599" s="6" t="s">
        <v>38</v>
      </c>
      <c r="H1599" s="9" t="s">
        <v>33</v>
      </c>
      <c r="I1599" s="7" t="str">
        <f t="shared" si="96"/>
        <v>61001005000</v>
      </c>
      <c r="J1599" s="7" t="str">
        <f t="shared" si="97"/>
        <v>Материал по ЕГРН</v>
      </c>
      <c r="K1599" s="7">
        <f>VLOOKUP(J1599,Лист2!A$2:B$4,2,FALSE)</f>
        <v>792</v>
      </c>
      <c r="L1599" s="7" t="str">
        <f t="shared" si="98"/>
        <v>ГОТОВ_ИЗМЕНЕН</v>
      </c>
      <c r="M1599" s="7">
        <f t="shared" si="99"/>
        <v>0</v>
      </c>
    </row>
    <row r="1600" spans="1:13" x14ac:dyDescent="0.25">
      <c r="A1600" s="1">
        <v>337805</v>
      </c>
      <c r="B1600" s="6" t="s">
        <v>1718</v>
      </c>
      <c r="C1600" s="9" t="s">
        <v>33</v>
      </c>
      <c r="D1600" s="6" t="s">
        <v>20</v>
      </c>
      <c r="E1600" s="6" t="s">
        <v>37</v>
      </c>
      <c r="F1600" s="6" t="s">
        <v>9</v>
      </c>
      <c r="G1600" s="6" t="s">
        <v>38</v>
      </c>
      <c r="H1600" s="9" t="s">
        <v>33</v>
      </c>
      <c r="I1600" s="7" t="str">
        <f t="shared" si="96"/>
        <v>61001005000</v>
      </c>
      <c r="J1600" s="7" t="str">
        <f t="shared" si="97"/>
        <v>Материал по ЕГРН</v>
      </c>
      <c r="K1600" s="7">
        <f>VLOOKUP(J1600,Лист2!A$2:B$4,2,FALSE)</f>
        <v>792</v>
      </c>
      <c r="L1600" s="7" t="str">
        <f t="shared" si="98"/>
        <v>ГОТОВ</v>
      </c>
      <c r="M1600" s="7" t="str">
        <f t="shared" si="99"/>
        <v>61001005000</v>
      </c>
    </row>
    <row r="1601" spans="1:13" x14ac:dyDescent="0.25">
      <c r="A1601" s="1">
        <v>529414</v>
      </c>
      <c r="B1601" s="6" t="s">
        <v>1719</v>
      </c>
      <c r="C1601" s="9" t="s">
        <v>33</v>
      </c>
      <c r="D1601" s="6" t="s">
        <v>20</v>
      </c>
      <c r="E1601" s="6" t="s">
        <v>37</v>
      </c>
      <c r="F1601" s="6" t="s">
        <v>9</v>
      </c>
      <c r="G1601" s="6" t="s">
        <v>38</v>
      </c>
      <c r="H1601" s="9" t="s">
        <v>33</v>
      </c>
      <c r="I1601" s="7" t="str">
        <f t="shared" si="96"/>
        <v>61001005000</v>
      </c>
      <c r="J1601" s="7" t="str">
        <f t="shared" si="97"/>
        <v>Материал по ЕГРН</v>
      </c>
      <c r="K1601" s="7">
        <f>VLOOKUP(J1601,Лист2!A$2:B$4,2,FALSE)</f>
        <v>792</v>
      </c>
      <c r="L1601" s="7" t="str">
        <f t="shared" si="98"/>
        <v>ГОТОВ</v>
      </c>
      <c r="M1601" s="7" t="str">
        <f t="shared" si="99"/>
        <v>61001005000</v>
      </c>
    </row>
    <row r="1602" spans="1:13" x14ac:dyDescent="0.25">
      <c r="A1602" s="1">
        <v>532637</v>
      </c>
      <c r="B1602" s="6" t="s">
        <v>1720</v>
      </c>
      <c r="C1602" s="9" t="s">
        <v>33</v>
      </c>
      <c r="D1602" s="6" t="s">
        <v>20</v>
      </c>
      <c r="E1602" s="6" t="s">
        <v>37</v>
      </c>
      <c r="F1602" s="6" t="s">
        <v>9</v>
      </c>
      <c r="G1602" s="6" t="s">
        <v>38</v>
      </c>
      <c r="H1602" s="9" t="s">
        <v>33</v>
      </c>
      <c r="I1602" s="7" t="str">
        <f t="shared" si="96"/>
        <v>61001005000</v>
      </c>
      <c r="J1602" s="7" t="str">
        <f t="shared" si="97"/>
        <v>Материал по ЕГРН</v>
      </c>
      <c r="K1602" s="7">
        <f>VLOOKUP(J1602,Лист2!A$2:B$4,2,FALSE)</f>
        <v>792</v>
      </c>
      <c r="L1602" s="7" t="str">
        <f t="shared" si="98"/>
        <v>ГОТОВ</v>
      </c>
      <c r="M1602" s="7" t="str">
        <f t="shared" si="99"/>
        <v>61001005000</v>
      </c>
    </row>
    <row r="1603" spans="1:13" x14ac:dyDescent="0.25">
      <c r="A1603" s="1">
        <v>800264</v>
      </c>
      <c r="B1603" s="6" t="s">
        <v>1721</v>
      </c>
      <c r="C1603" s="9" t="s">
        <v>33</v>
      </c>
      <c r="D1603" s="6" t="s">
        <v>20</v>
      </c>
      <c r="E1603" s="6" t="s">
        <v>37</v>
      </c>
      <c r="F1603" s="6" t="s">
        <v>9</v>
      </c>
      <c r="G1603" s="6" t="s">
        <v>38</v>
      </c>
      <c r="H1603" s="9" t="s">
        <v>33</v>
      </c>
      <c r="I1603" s="7" t="str">
        <f t="shared" si="96"/>
        <v>61001005000</v>
      </c>
      <c r="J1603" s="7" t="str">
        <f t="shared" si="97"/>
        <v>Материал по ЕГРН</v>
      </c>
      <c r="K1603" s="7">
        <f>VLOOKUP(J1603,Лист2!A$2:B$4,2,FALSE)</f>
        <v>792</v>
      </c>
      <c r="L1603" s="7" t="str">
        <f t="shared" si="98"/>
        <v>ГОТОВ</v>
      </c>
      <c r="M1603" s="7" t="str">
        <f t="shared" si="99"/>
        <v>61001005000</v>
      </c>
    </row>
    <row r="1604" spans="1:13" x14ac:dyDescent="0.25">
      <c r="A1604" s="1">
        <v>943960</v>
      </c>
      <c r="B1604" s="6" t="s">
        <v>1722</v>
      </c>
      <c r="F1604" s="6" t="s">
        <v>9</v>
      </c>
      <c r="G1604" s="6" t="s">
        <v>38</v>
      </c>
      <c r="H1604" s="9" t="s">
        <v>33</v>
      </c>
      <c r="I1604" s="7" t="str">
        <f t="shared" si="96"/>
        <v>61001005000</v>
      </c>
      <c r="J1604" s="7" t="str">
        <f t="shared" si="97"/>
        <v>Материал по ЕГРН</v>
      </c>
      <c r="K1604" s="7">
        <f>VLOOKUP(J1604,Лист2!A$2:B$4,2,FALSE)</f>
        <v>792</v>
      </c>
      <c r="L1604" s="7" t="str">
        <f t="shared" si="98"/>
        <v>ГОТОВ_ИЗМЕНЕН</v>
      </c>
      <c r="M1604" s="7">
        <f t="shared" si="99"/>
        <v>0</v>
      </c>
    </row>
    <row r="1605" spans="1:13" x14ac:dyDescent="0.25">
      <c r="A1605" s="1">
        <v>943972</v>
      </c>
      <c r="B1605" s="6" t="s">
        <v>1723</v>
      </c>
      <c r="F1605" s="6" t="s">
        <v>9</v>
      </c>
      <c r="G1605" s="6" t="s">
        <v>62</v>
      </c>
      <c r="H1605" s="9" t="s">
        <v>63</v>
      </c>
      <c r="I1605" s="7" t="str">
        <f t="shared" ref="I1605:I1668" si="100">IF(LEN(H1605)=11,H1605,IF(LEN(H1605)=0,"61001005000","61001003000"))</f>
        <v>61001006002</v>
      </c>
      <c r="J1605" s="7" t="str">
        <f t="shared" ref="J1605:J1668" si="101">IF(LEN(H1605)=11,"Материал по ЕГРН",IF(LEN(H1605)=0,"Прочие по допущению","Смешанные по допущению"))</f>
        <v>Материал по ЕГРН</v>
      </c>
      <c r="K1605" s="7">
        <f>VLOOKUP(J1605,Лист2!A$2:B$4,2,FALSE)</f>
        <v>792</v>
      </c>
      <c r="L1605" s="7" t="str">
        <f t="shared" ref="L1605:L1668" si="102">IF(I1605=C1605,"ГОТОВ","ГОТОВ_ИЗМЕНЕН")</f>
        <v>ГОТОВ_ИЗМЕНЕН</v>
      </c>
      <c r="M1605" s="7">
        <f t="shared" ref="M1605:M1668" si="103">C1605</f>
        <v>0</v>
      </c>
    </row>
    <row r="1606" spans="1:13" x14ac:dyDescent="0.25">
      <c r="A1606" s="1">
        <v>943984</v>
      </c>
      <c r="B1606" s="6" t="s">
        <v>1724</v>
      </c>
      <c r="F1606" s="6" t="s">
        <v>9</v>
      </c>
      <c r="G1606" s="6" t="s">
        <v>38</v>
      </c>
      <c r="H1606" s="9" t="s">
        <v>33</v>
      </c>
      <c r="I1606" s="7" t="str">
        <f t="shared" si="100"/>
        <v>61001005000</v>
      </c>
      <c r="J1606" s="7" t="str">
        <f t="shared" si="101"/>
        <v>Материал по ЕГРН</v>
      </c>
      <c r="K1606" s="7">
        <f>VLOOKUP(J1606,Лист2!A$2:B$4,2,FALSE)</f>
        <v>792</v>
      </c>
      <c r="L1606" s="7" t="str">
        <f t="shared" si="102"/>
        <v>ГОТОВ_ИЗМЕНЕН</v>
      </c>
      <c r="M1606" s="7">
        <f t="shared" si="103"/>
        <v>0</v>
      </c>
    </row>
    <row r="1607" spans="1:13" x14ac:dyDescent="0.25">
      <c r="A1607" s="1">
        <v>943996</v>
      </c>
      <c r="B1607" s="6" t="s">
        <v>1725</v>
      </c>
      <c r="F1607" s="6" t="s">
        <v>9</v>
      </c>
      <c r="G1607" s="6" t="s">
        <v>38</v>
      </c>
      <c r="H1607" s="9" t="s">
        <v>33</v>
      </c>
      <c r="I1607" s="7" t="str">
        <f t="shared" si="100"/>
        <v>61001005000</v>
      </c>
      <c r="J1607" s="7" t="str">
        <f t="shared" si="101"/>
        <v>Материал по ЕГРН</v>
      </c>
      <c r="K1607" s="7">
        <f>VLOOKUP(J1607,Лист2!A$2:B$4,2,FALSE)</f>
        <v>792</v>
      </c>
      <c r="L1607" s="7" t="str">
        <f t="shared" si="102"/>
        <v>ГОТОВ_ИЗМЕНЕН</v>
      </c>
      <c r="M1607" s="7">
        <f t="shared" si="103"/>
        <v>0</v>
      </c>
    </row>
    <row r="1608" spans="1:13" x14ac:dyDescent="0.25">
      <c r="A1608" s="1">
        <v>944008</v>
      </c>
      <c r="B1608" s="6" t="s">
        <v>1726</v>
      </c>
      <c r="F1608" s="6" t="s">
        <v>9</v>
      </c>
      <c r="G1608" s="6" t="s">
        <v>38</v>
      </c>
      <c r="H1608" s="9" t="s">
        <v>33</v>
      </c>
      <c r="I1608" s="7" t="str">
        <f t="shared" si="100"/>
        <v>61001005000</v>
      </c>
      <c r="J1608" s="7" t="str">
        <f t="shared" si="101"/>
        <v>Материал по ЕГРН</v>
      </c>
      <c r="K1608" s="7">
        <f>VLOOKUP(J1608,Лист2!A$2:B$4,2,FALSE)</f>
        <v>792</v>
      </c>
      <c r="L1608" s="7" t="str">
        <f t="shared" si="102"/>
        <v>ГОТОВ_ИЗМЕНЕН</v>
      </c>
      <c r="M1608" s="7">
        <f t="shared" si="103"/>
        <v>0</v>
      </c>
    </row>
    <row r="1609" spans="1:13" x14ac:dyDescent="0.25">
      <c r="A1609" s="1">
        <v>944020</v>
      </c>
      <c r="B1609" s="6" t="s">
        <v>1727</v>
      </c>
      <c r="F1609" s="6" t="s">
        <v>9</v>
      </c>
      <c r="G1609" s="6" t="s">
        <v>149</v>
      </c>
      <c r="H1609" s="9" t="s">
        <v>150</v>
      </c>
      <c r="I1609" s="7" t="str">
        <f t="shared" si="100"/>
        <v>61001007000</v>
      </c>
      <c r="J1609" s="7" t="str">
        <f t="shared" si="101"/>
        <v>Материал по ЕГРН</v>
      </c>
      <c r="K1609" s="7">
        <f>VLOOKUP(J1609,Лист2!A$2:B$4,2,FALSE)</f>
        <v>792</v>
      </c>
      <c r="L1609" s="7" t="str">
        <f t="shared" si="102"/>
        <v>ГОТОВ_ИЗМЕНЕН</v>
      </c>
      <c r="M1609" s="7">
        <f t="shared" si="103"/>
        <v>0</v>
      </c>
    </row>
    <row r="1610" spans="1:13" x14ac:dyDescent="0.25">
      <c r="A1610" s="1">
        <v>944032</v>
      </c>
      <c r="B1610" s="6" t="s">
        <v>1728</v>
      </c>
      <c r="F1610" s="6" t="s">
        <v>9</v>
      </c>
      <c r="G1610" s="6" t="s">
        <v>62</v>
      </c>
      <c r="H1610" s="9" t="s">
        <v>63</v>
      </c>
      <c r="I1610" s="7" t="str">
        <f t="shared" si="100"/>
        <v>61001006002</v>
      </c>
      <c r="J1610" s="7" t="str">
        <f t="shared" si="101"/>
        <v>Материал по ЕГРН</v>
      </c>
      <c r="K1610" s="7">
        <f>VLOOKUP(J1610,Лист2!A$2:B$4,2,FALSE)</f>
        <v>792</v>
      </c>
      <c r="L1610" s="7" t="str">
        <f t="shared" si="102"/>
        <v>ГОТОВ_ИЗМЕНЕН</v>
      </c>
      <c r="M1610" s="7">
        <f t="shared" si="103"/>
        <v>0</v>
      </c>
    </row>
    <row r="1611" spans="1:13" x14ac:dyDescent="0.25">
      <c r="A1611" s="1">
        <v>944044</v>
      </c>
      <c r="B1611" s="6" t="s">
        <v>1729</v>
      </c>
      <c r="F1611" s="6" t="s">
        <v>9</v>
      </c>
      <c r="G1611" s="6" t="s">
        <v>43</v>
      </c>
      <c r="H1611" s="9" t="s">
        <v>42</v>
      </c>
      <c r="I1611" s="7" t="str">
        <f t="shared" si="100"/>
        <v>61001002001</v>
      </c>
      <c r="J1611" s="7" t="str">
        <f t="shared" si="101"/>
        <v>Материал по ЕГРН</v>
      </c>
      <c r="K1611" s="7">
        <f>VLOOKUP(J1611,Лист2!A$2:B$4,2,FALSE)</f>
        <v>792</v>
      </c>
      <c r="L1611" s="7" t="str">
        <f t="shared" si="102"/>
        <v>ГОТОВ_ИЗМЕНЕН</v>
      </c>
      <c r="M1611" s="7">
        <f t="shared" si="103"/>
        <v>0</v>
      </c>
    </row>
    <row r="1612" spans="1:13" x14ac:dyDescent="0.25">
      <c r="A1612" s="1">
        <v>944056</v>
      </c>
      <c r="B1612" s="6" t="s">
        <v>1730</v>
      </c>
      <c r="F1612" s="6" t="s">
        <v>9</v>
      </c>
      <c r="G1612" s="6" t="s">
        <v>38</v>
      </c>
      <c r="H1612" s="9" t="s">
        <v>33</v>
      </c>
      <c r="I1612" s="7" t="str">
        <f t="shared" si="100"/>
        <v>61001005000</v>
      </c>
      <c r="J1612" s="7" t="str">
        <f t="shared" si="101"/>
        <v>Материал по ЕГРН</v>
      </c>
      <c r="K1612" s="7">
        <f>VLOOKUP(J1612,Лист2!A$2:B$4,2,FALSE)</f>
        <v>792</v>
      </c>
      <c r="L1612" s="7" t="str">
        <f t="shared" si="102"/>
        <v>ГОТОВ_ИЗМЕНЕН</v>
      </c>
      <c r="M1612" s="7">
        <f t="shared" si="103"/>
        <v>0</v>
      </c>
    </row>
    <row r="1613" spans="1:13" x14ac:dyDescent="0.25">
      <c r="A1613" s="1">
        <v>944068</v>
      </c>
      <c r="B1613" s="6" t="s">
        <v>1731</v>
      </c>
      <c r="F1613" s="6" t="s">
        <v>9</v>
      </c>
      <c r="G1613" s="6" t="s">
        <v>38</v>
      </c>
      <c r="H1613" s="9" t="s">
        <v>33</v>
      </c>
      <c r="I1613" s="7" t="str">
        <f t="shared" si="100"/>
        <v>61001005000</v>
      </c>
      <c r="J1613" s="7" t="str">
        <f t="shared" si="101"/>
        <v>Материал по ЕГРН</v>
      </c>
      <c r="K1613" s="7">
        <f>VLOOKUP(J1613,Лист2!A$2:B$4,2,FALSE)</f>
        <v>792</v>
      </c>
      <c r="L1613" s="7" t="str">
        <f t="shared" si="102"/>
        <v>ГОТОВ_ИЗМЕНЕН</v>
      </c>
      <c r="M1613" s="7">
        <f t="shared" si="103"/>
        <v>0</v>
      </c>
    </row>
    <row r="1614" spans="1:13" x14ac:dyDescent="0.25">
      <c r="A1614" s="1">
        <v>944080</v>
      </c>
      <c r="B1614" s="6" t="s">
        <v>1732</v>
      </c>
      <c r="F1614" s="6" t="s">
        <v>9</v>
      </c>
      <c r="G1614" s="6" t="s">
        <v>125</v>
      </c>
      <c r="H1614" s="9" t="s">
        <v>126</v>
      </c>
      <c r="I1614" s="7" t="str">
        <f t="shared" si="100"/>
        <v>61001007004</v>
      </c>
      <c r="J1614" s="7" t="str">
        <f t="shared" si="101"/>
        <v>Материал по ЕГРН</v>
      </c>
      <c r="K1614" s="7">
        <f>VLOOKUP(J1614,Лист2!A$2:B$4,2,FALSE)</f>
        <v>792</v>
      </c>
      <c r="L1614" s="7" t="str">
        <f t="shared" si="102"/>
        <v>ГОТОВ_ИЗМЕНЕН</v>
      </c>
      <c r="M1614" s="7">
        <f t="shared" si="103"/>
        <v>0</v>
      </c>
    </row>
    <row r="1615" spans="1:13" x14ac:dyDescent="0.25">
      <c r="A1615" s="1">
        <v>944092</v>
      </c>
      <c r="B1615" s="6" t="s">
        <v>1733</v>
      </c>
      <c r="F1615" s="6" t="s">
        <v>9</v>
      </c>
      <c r="G1615" s="6" t="s">
        <v>38</v>
      </c>
      <c r="H1615" s="9" t="s">
        <v>33</v>
      </c>
      <c r="I1615" s="7" t="str">
        <f t="shared" si="100"/>
        <v>61001005000</v>
      </c>
      <c r="J1615" s="7" t="str">
        <f t="shared" si="101"/>
        <v>Материал по ЕГРН</v>
      </c>
      <c r="K1615" s="7">
        <f>VLOOKUP(J1615,Лист2!A$2:B$4,2,FALSE)</f>
        <v>792</v>
      </c>
      <c r="L1615" s="7" t="str">
        <f t="shared" si="102"/>
        <v>ГОТОВ_ИЗМЕНЕН</v>
      </c>
      <c r="M1615" s="7">
        <f t="shared" si="103"/>
        <v>0</v>
      </c>
    </row>
    <row r="1616" spans="1:13" x14ac:dyDescent="0.25">
      <c r="A1616" s="1">
        <v>944104</v>
      </c>
      <c r="B1616" s="6" t="s">
        <v>1734</v>
      </c>
      <c r="F1616" s="6" t="s">
        <v>9</v>
      </c>
      <c r="G1616" s="6" t="s">
        <v>34</v>
      </c>
      <c r="H1616" s="9" t="s">
        <v>35</v>
      </c>
      <c r="I1616" s="7" t="str">
        <f t="shared" si="100"/>
        <v>61001002000</v>
      </c>
      <c r="J1616" s="7" t="str">
        <f t="shared" si="101"/>
        <v>Материал по ЕГРН</v>
      </c>
      <c r="K1616" s="7">
        <f>VLOOKUP(J1616,Лист2!A$2:B$4,2,FALSE)</f>
        <v>792</v>
      </c>
      <c r="L1616" s="7" t="str">
        <f t="shared" si="102"/>
        <v>ГОТОВ_ИЗМЕНЕН</v>
      </c>
      <c r="M1616" s="7">
        <f t="shared" si="103"/>
        <v>0</v>
      </c>
    </row>
    <row r="1617" spans="1:13" x14ac:dyDescent="0.25">
      <c r="A1617" s="1">
        <v>944116</v>
      </c>
      <c r="B1617" s="6" t="s">
        <v>1735</v>
      </c>
      <c r="F1617" s="6" t="s">
        <v>9</v>
      </c>
      <c r="G1617" s="6" t="s">
        <v>149</v>
      </c>
      <c r="H1617" s="9" t="s">
        <v>150</v>
      </c>
      <c r="I1617" s="7" t="str">
        <f t="shared" si="100"/>
        <v>61001007000</v>
      </c>
      <c r="J1617" s="7" t="str">
        <f t="shared" si="101"/>
        <v>Материал по ЕГРН</v>
      </c>
      <c r="K1617" s="7">
        <f>VLOOKUP(J1617,Лист2!A$2:B$4,2,FALSE)</f>
        <v>792</v>
      </c>
      <c r="L1617" s="7" t="str">
        <f t="shared" si="102"/>
        <v>ГОТОВ_ИЗМЕНЕН</v>
      </c>
      <c r="M1617" s="7">
        <f t="shared" si="103"/>
        <v>0</v>
      </c>
    </row>
    <row r="1618" spans="1:13" x14ac:dyDescent="0.25">
      <c r="A1618" s="1">
        <v>944128</v>
      </c>
      <c r="B1618" s="6" t="s">
        <v>1736</v>
      </c>
      <c r="F1618" s="6" t="s">
        <v>9</v>
      </c>
      <c r="G1618" s="6" t="s">
        <v>59</v>
      </c>
      <c r="H1618" s="9" t="s">
        <v>60</v>
      </c>
      <c r="I1618" s="7" t="str">
        <f t="shared" si="100"/>
        <v>61001001001</v>
      </c>
      <c r="J1618" s="7" t="str">
        <f t="shared" si="101"/>
        <v>Материал по ЕГРН</v>
      </c>
      <c r="K1618" s="7">
        <f>VLOOKUP(J1618,Лист2!A$2:B$4,2,FALSE)</f>
        <v>792</v>
      </c>
      <c r="L1618" s="7" t="str">
        <f t="shared" si="102"/>
        <v>ГОТОВ_ИЗМЕНЕН</v>
      </c>
      <c r="M1618" s="7">
        <f t="shared" si="103"/>
        <v>0</v>
      </c>
    </row>
    <row r="1619" spans="1:13" x14ac:dyDescent="0.25">
      <c r="A1619" s="1">
        <v>944140</v>
      </c>
      <c r="B1619" s="6" t="s">
        <v>1737</v>
      </c>
      <c r="F1619" s="6" t="s">
        <v>9</v>
      </c>
      <c r="G1619" s="6" t="s">
        <v>10</v>
      </c>
      <c r="H1619" s="9" t="s">
        <v>11</v>
      </c>
      <c r="I1619" s="7" t="str">
        <f t="shared" si="100"/>
        <v>61001003000</v>
      </c>
      <c r="J1619" s="7" t="str">
        <f t="shared" si="101"/>
        <v>Материал по ЕГРН</v>
      </c>
      <c r="K1619" s="7">
        <f>VLOOKUP(J1619,Лист2!A$2:B$4,2,FALSE)</f>
        <v>792</v>
      </c>
      <c r="L1619" s="7" t="str">
        <f t="shared" si="102"/>
        <v>ГОТОВ_ИЗМЕНЕН</v>
      </c>
      <c r="M1619" s="7">
        <f t="shared" si="103"/>
        <v>0</v>
      </c>
    </row>
    <row r="1620" spans="1:13" x14ac:dyDescent="0.25">
      <c r="A1620" s="1">
        <v>944152</v>
      </c>
      <c r="B1620" s="6" t="s">
        <v>1738</v>
      </c>
      <c r="F1620" s="6" t="s">
        <v>9</v>
      </c>
      <c r="G1620" s="6" t="s">
        <v>149</v>
      </c>
      <c r="H1620" s="9" t="s">
        <v>150</v>
      </c>
      <c r="I1620" s="7" t="str">
        <f t="shared" si="100"/>
        <v>61001007000</v>
      </c>
      <c r="J1620" s="7" t="str">
        <f t="shared" si="101"/>
        <v>Материал по ЕГРН</v>
      </c>
      <c r="K1620" s="7">
        <f>VLOOKUP(J1620,Лист2!A$2:B$4,2,FALSE)</f>
        <v>792</v>
      </c>
      <c r="L1620" s="7" t="str">
        <f t="shared" si="102"/>
        <v>ГОТОВ_ИЗМЕНЕН</v>
      </c>
      <c r="M1620" s="7">
        <f t="shared" si="103"/>
        <v>0</v>
      </c>
    </row>
    <row r="1621" spans="1:13" x14ac:dyDescent="0.25">
      <c r="A1621" s="1">
        <v>944164</v>
      </c>
      <c r="B1621" s="6" t="s">
        <v>1739</v>
      </c>
      <c r="F1621" s="6" t="s">
        <v>9</v>
      </c>
      <c r="G1621" s="6" t="s">
        <v>59</v>
      </c>
      <c r="H1621" s="9" t="s">
        <v>60</v>
      </c>
      <c r="I1621" s="7" t="str">
        <f t="shared" si="100"/>
        <v>61001001001</v>
      </c>
      <c r="J1621" s="7" t="str">
        <f t="shared" si="101"/>
        <v>Материал по ЕГРН</v>
      </c>
      <c r="K1621" s="7">
        <f>VLOOKUP(J1621,Лист2!A$2:B$4,2,FALSE)</f>
        <v>792</v>
      </c>
      <c r="L1621" s="7" t="str">
        <f t="shared" si="102"/>
        <v>ГОТОВ_ИЗМЕНЕН</v>
      </c>
      <c r="M1621" s="7">
        <f t="shared" si="103"/>
        <v>0</v>
      </c>
    </row>
    <row r="1622" spans="1:13" x14ac:dyDescent="0.25">
      <c r="A1622" s="1">
        <v>944176</v>
      </c>
      <c r="B1622" s="6" t="s">
        <v>1740</v>
      </c>
      <c r="F1622" s="6" t="s">
        <v>9</v>
      </c>
      <c r="G1622" s="6" t="s">
        <v>34</v>
      </c>
      <c r="H1622" s="9" t="s">
        <v>35</v>
      </c>
      <c r="I1622" s="7" t="str">
        <f t="shared" si="100"/>
        <v>61001002000</v>
      </c>
      <c r="J1622" s="7" t="str">
        <f t="shared" si="101"/>
        <v>Материал по ЕГРН</v>
      </c>
      <c r="K1622" s="7">
        <f>VLOOKUP(J1622,Лист2!A$2:B$4,2,FALSE)</f>
        <v>792</v>
      </c>
      <c r="L1622" s="7" t="str">
        <f t="shared" si="102"/>
        <v>ГОТОВ_ИЗМЕНЕН</v>
      </c>
      <c r="M1622" s="7">
        <f t="shared" si="103"/>
        <v>0</v>
      </c>
    </row>
    <row r="1623" spans="1:13" x14ac:dyDescent="0.25">
      <c r="A1623" s="1">
        <v>944188</v>
      </c>
      <c r="B1623" s="6" t="s">
        <v>1741</v>
      </c>
      <c r="F1623" s="6" t="s">
        <v>9</v>
      </c>
      <c r="G1623" s="6" t="s">
        <v>59</v>
      </c>
      <c r="H1623" s="9" t="s">
        <v>60</v>
      </c>
      <c r="I1623" s="7" t="str">
        <f t="shared" si="100"/>
        <v>61001001001</v>
      </c>
      <c r="J1623" s="7" t="str">
        <f t="shared" si="101"/>
        <v>Материал по ЕГРН</v>
      </c>
      <c r="K1623" s="7">
        <f>VLOOKUP(J1623,Лист2!A$2:B$4,2,FALSE)</f>
        <v>792</v>
      </c>
      <c r="L1623" s="7" t="str">
        <f t="shared" si="102"/>
        <v>ГОТОВ_ИЗМЕНЕН</v>
      </c>
      <c r="M1623" s="7">
        <f t="shared" si="103"/>
        <v>0</v>
      </c>
    </row>
    <row r="1624" spans="1:13" x14ac:dyDescent="0.25">
      <c r="A1624" s="1">
        <v>944200</v>
      </c>
      <c r="B1624" s="6" t="s">
        <v>1742</v>
      </c>
      <c r="F1624" s="6" t="s">
        <v>9</v>
      </c>
      <c r="G1624" s="6" t="s">
        <v>59</v>
      </c>
      <c r="H1624" s="9" t="s">
        <v>60</v>
      </c>
      <c r="I1624" s="7" t="str">
        <f t="shared" si="100"/>
        <v>61001001001</v>
      </c>
      <c r="J1624" s="7" t="str">
        <f t="shared" si="101"/>
        <v>Материал по ЕГРН</v>
      </c>
      <c r="K1624" s="7">
        <f>VLOOKUP(J1624,Лист2!A$2:B$4,2,FALSE)</f>
        <v>792</v>
      </c>
      <c r="L1624" s="7" t="str">
        <f t="shared" si="102"/>
        <v>ГОТОВ_ИЗМЕНЕН</v>
      </c>
      <c r="M1624" s="7">
        <f t="shared" si="103"/>
        <v>0</v>
      </c>
    </row>
    <row r="1625" spans="1:13" x14ac:dyDescent="0.25">
      <c r="A1625" s="1">
        <v>944212</v>
      </c>
      <c r="B1625" s="6" t="s">
        <v>1743</v>
      </c>
      <c r="F1625" s="6" t="s">
        <v>9</v>
      </c>
      <c r="G1625" s="6" t="s">
        <v>34</v>
      </c>
      <c r="H1625" s="9" t="s">
        <v>35</v>
      </c>
      <c r="I1625" s="7" t="str">
        <f t="shared" si="100"/>
        <v>61001002000</v>
      </c>
      <c r="J1625" s="7" t="str">
        <f t="shared" si="101"/>
        <v>Материал по ЕГРН</v>
      </c>
      <c r="K1625" s="7">
        <f>VLOOKUP(J1625,Лист2!A$2:B$4,2,FALSE)</f>
        <v>792</v>
      </c>
      <c r="L1625" s="7" t="str">
        <f t="shared" si="102"/>
        <v>ГОТОВ_ИЗМЕНЕН</v>
      </c>
      <c r="M1625" s="7">
        <f t="shared" si="103"/>
        <v>0</v>
      </c>
    </row>
    <row r="1626" spans="1:13" x14ac:dyDescent="0.25">
      <c r="A1626" s="1">
        <v>944224</v>
      </c>
      <c r="B1626" s="6" t="s">
        <v>1744</v>
      </c>
      <c r="F1626" s="6" t="s">
        <v>9</v>
      </c>
      <c r="G1626" s="6" t="s">
        <v>90</v>
      </c>
      <c r="H1626" s="9" t="s">
        <v>12</v>
      </c>
      <c r="I1626" s="7" t="str">
        <f t="shared" si="100"/>
        <v>61001008000</v>
      </c>
      <c r="J1626" s="7" t="str">
        <f t="shared" si="101"/>
        <v>Материал по ЕГРН</v>
      </c>
      <c r="K1626" s="7">
        <f>VLOOKUP(J1626,Лист2!A$2:B$4,2,FALSE)</f>
        <v>792</v>
      </c>
      <c r="L1626" s="7" t="str">
        <f t="shared" si="102"/>
        <v>ГОТОВ_ИЗМЕНЕН</v>
      </c>
      <c r="M1626" s="7">
        <f t="shared" si="103"/>
        <v>0</v>
      </c>
    </row>
    <row r="1627" spans="1:13" x14ac:dyDescent="0.25">
      <c r="A1627" s="1">
        <v>944236</v>
      </c>
      <c r="B1627" s="6" t="s">
        <v>1745</v>
      </c>
      <c r="F1627" s="6" t="s">
        <v>9</v>
      </c>
      <c r="G1627" s="6" t="s">
        <v>38</v>
      </c>
      <c r="H1627" s="9" t="s">
        <v>33</v>
      </c>
      <c r="I1627" s="7" t="str">
        <f t="shared" si="100"/>
        <v>61001005000</v>
      </c>
      <c r="J1627" s="7" t="str">
        <f t="shared" si="101"/>
        <v>Материал по ЕГРН</v>
      </c>
      <c r="K1627" s="7">
        <f>VLOOKUP(J1627,Лист2!A$2:B$4,2,FALSE)</f>
        <v>792</v>
      </c>
      <c r="L1627" s="7" t="str">
        <f t="shared" si="102"/>
        <v>ГОТОВ_ИЗМЕНЕН</v>
      </c>
      <c r="M1627" s="7">
        <f t="shared" si="103"/>
        <v>0</v>
      </c>
    </row>
    <row r="1628" spans="1:13" x14ac:dyDescent="0.25">
      <c r="A1628" s="1">
        <v>944248</v>
      </c>
      <c r="B1628" s="6" t="s">
        <v>1746</v>
      </c>
      <c r="F1628" s="6" t="s">
        <v>9</v>
      </c>
      <c r="G1628" s="6" t="s">
        <v>34</v>
      </c>
      <c r="H1628" s="9" t="s">
        <v>35</v>
      </c>
      <c r="I1628" s="7" t="str">
        <f t="shared" si="100"/>
        <v>61001002000</v>
      </c>
      <c r="J1628" s="7" t="str">
        <f t="shared" si="101"/>
        <v>Материал по ЕГРН</v>
      </c>
      <c r="K1628" s="7">
        <f>VLOOKUP(J1628,Лист2!A$2:B$4,2,FALSE)</f>
        <v>792</v>
      </c>
      <c r="L1628" s="7" t="str">
        <f t="shared" si="102"/>
        <v>ГОТОВ_ИЗМЕНЕН</v>
      </c>
      <c r="M1628" s="7">
        <f t="shared" si="103"/>
        <v>0</v>
      </c>
    </row>
    <row r="1629" spans="1:13" x14ac:dyDescent="0.25">
      <c r="A1629" s="1">
        <v>944260</v>
      </c>
      <c r="B1629" s="6" t="s">
        <v>1747</v>
      </c>
      <c r="F1629" s="6" t="s">
        <v>9</v>
      </c>
      <c r="G1629" s="6" t="s">
        <v>62</v>
      </c>
      <c r="H1629" s="9" t="s">
        <v>63</v>
      </c>
      <c r="I1629" s="7" t="str">
        <f t="shared" si="100"/>
        <v>61001006002</v>
      </c>
      <c r="J1629" s="7" t="str">
        <f t="shared" si="101"/>
        <v>Материал по ЕГРН</v>
      </c>
      <c r="K1629" s="7">
        <f>VLOOKUP(J1629,Лист2!A$2:B$4,2,FALSE)</f>
        <v>792</v>
      </c>
      <c r="L1629" s="7" t="str">
        <f t="shared" si="102"/>
        <v>ГОТОВ_ИЗМЕНЕН</v>
      </c>
      <c r="M1629" s="7">
        <f t="shared" si="103"/>
        <v>0</v>
      </c>
    </row>
    <row r="1630" spans="1:13" x14ac:dyDescent="0.25">
      <c r="A1630" s="1">
        <v>944272</v>
      </c>
      <c r="B1630" s="6" t="s">
        <v>1748</v>
      </c>
      <c r="F1630" s="6" t="s">
        <v>9</v>
      </c>
      <c r="G1630" s="6" t="s">
        <v>38</v>
      </c>
      <c r="H1630" s="9" t="s">
        <v>33</v>
      </c>
      <c r="I1630" s="7" t="str">
        <f t="shared" si="100"/>
        <v>61001005000</v>
      </c>
      <c r="J1630" s="7" t="str">
        <f t="shared" si="101"/>
        <v>Материал по ЕГРН</v>
      </c>
      <c r="K1630" s="7">
        <f>VLOOKUP(J1630,Лист2!A$2:B$4,2,FALSE)</f>
        <v>792</v>
      </c>
      <c r="L1630" s="7" t="str">
        <f t="shared" si="102"/>
        <v>ГОТОВ_ИЗМЕНЕН</v>
      </c>
      <c r="M1630" s="7">
        <f t="shared" si="103"/>
        <v>0</v>
      </c>
    </row>
    <row r="1631" spans="1:13" x14ac:dyDescent="0.25">
      <c r="A1631" s="1">
        <v>33545</v>
      </c>
      <c r="B1631" s="6" t="s">
        <v>1749</v>
      </c>
      <c r="C1631" s="9" t="s">
        <v>126</v>
      </c>
      <c r="D1631" s="6" t="s">
        <v>20</v>
      </c>
      <c r="E1631" s="6" t="s">
        <v>37</v>
      </c>
      <c r="F1631" s="6" t="s">
        <v>9</v>
      </c>
      <c r="G1631" s="6" t="s">
        <v>125</v>
      </c>
      <c r="H1631" s="9" t="s">
        <v>126</v>
      </c>
      <c r="I1631" s="7" t="str">
        <f t="shared" si="100"/>
        <v>61001007004</v>
      </c>
      <c r="J1631" s="7" t="str">
        <f t="shared" si="101"/>
        <v>Материал по ЕГРН</v>
      </c>
      <c r="K1631" s="7">
        <f>VLOOKUP(J1631,Лист2!A$2:B$4,2,FALSE)</f>
        <v>792</v>
      </c>
      <c r="L1631" s="7" t="str">
        <f t="shared" si="102"/>
        <v>ГОТОВ</v>
      </c>
      <c r="M1631" s="7" t="str">
        <f t="shared" si="103"/>
        <v>61001007004</v>
      </c>
    </row>
    <row r="1632" spans="1:13" x14ac:dyDescent="0.25">
      <c r="A1632" s="1">
        <v>378699</v>
      </c>
      <c r="B1632" s="6" t="s">
        <v>1750</v>
      </c>
      <c r="C1632" s="9" t="s">
        <v>60</v>
      </c>
      <c r="D1632" s="6" t="s">
        <v>20</v>
      </c>
      <c r="E1632" s="6" t="s">
        <v>37</v>
      </c>
      <c r="F1632" s="6" t="s">
        <v>9</v>
      </c>
      <c r="G1632" s="6" t="s">
        <v>59</v>
      </c>
      <c r="H1632" s="9" t="s">
        <v>60</v>
      </c>
      <c r="I1632" s="7" t="str">
        <f t="shared" si="100"/>
        <v>61001001001</v>
      </c>
      <c r="J1632" s="7" t="str">
        <f t="shared" si="101"/>
        <v>Материал по ЕГРН</v>
      </c>
      <c r="K1632" s="7">
        <f>VLOOKUP(J1632,Лист2!A$2:B$4,2,FALSE)</f>
        <v>792</v>
      </c>
      <c r="L1632" s="7" t="str">
        <f t="shared" si="102"/>
        <v>ГОТОВ</v>
      </c>
      <c r="M1632" s="7" t="str">
        <f t="shared" si="103"/>
        <v>61001001001</v>
      </c>
    </row>
    <row r="1633" spans="1:13" x14ac:dyDescent="0.25">
      <c r="A1633" s="1">
        <v>510440</v>
      </c>
      <c r="B1633" s="6" t="s">
        <v>1751</v>
      </c>
      <c r="C1633" s="9" t="s">
        <v>33</v>
      </c>
      <c r="D1633" s="6" t="s">
        <v>20</v>
      </c>
      <c r="E1633" s="6" t="s">
        <v>37</v>
      </c>
      <c r="F1633" s="6" t="s">
        <v>9</v>
      </c>
      <c r="G1633" s="6" t="s">
        <v>38</v>
      </c>
      <c r="H1633" s="9" t="s">
        <v>33</v>
      </c>
      <c r="I1633" s="7" t="str">
        <f t="shared" si="100"/>
        <v>61001005000</v>
      </c>
      <c r="J1633" s="7" t="str">
        <f t="shared" si="101"/>
        <v>Материал по ЕГРН</v>
      </c>
      <c r="K1633" s="7">
        <f>VLOOKUP(J1633,Лист2!A$2:B$4,2,FALSE)</f>
        <v>792</v>
      </c>
      <c r="L1633" s="7" t="str">
        <f t="shared" si="102"/>
        <v>ГОТОВ</v>
      </c>
      <c r="M1633" s="7" t="str">
        <f t="shared" si="103"/>
        <v>61001005000</v>
      </c>
    </row>
    <row r="1634" spans="1:13" x14ac:dyDescent="0.25">
      <c r="A1634" s="1">
        <v>845519</v>
      </c>
      <c r="B1634" s="6" t="s">
        <v>1752</v>
      </c>
      <c r="C1634" s="9" t="s">
        <v>33</v>
      </c>
      <c r="D1634" s="6" t="s">
        <v>20</v>
      </c>
      <c r="E1634" s="6" t="s">
        <v>37</v>
      </c>
      <c r="F1634" s="6" t="s">
        <v>9</v>
      </c>
      <c r="G1634" s="6" t="s">
        <v>38</v>
      </c>
      <c r="H1634" s="9" t="s">
        <v>33</v>
      </c>
      <c r="I1634" s="7" t="str">
        <f t="shared" si="100"/>
        <v>61001005000</v>
      </c>
      <c r="J1634" s="7" t="str">
        <f t="shared" si="101"/>
        <v>Материал по ЕГРН</v>
      </c>
      <c r="K1634" s="7">
        <f>VLOOKUP(J1634,Лист2!A$2:B$4,2,FALSE)</f>
        <v>792</v>
      </c>
      <c r="L1634" s="7" t="str">
        <f t="shared" si="102"/>
        <v>ГОТОВ</v>
      </c>
      <c r="M1634" s="7" t="str">
        <f t="shared" si="103"/>
        <v>61001005000</v>
      </c>
    </row>
    <row r="1635" spans="1:13" x14ac:dyDescent="0.25">
      <c r="A1635" s="1">
        <v>945789</v>
      </c>
      <c r="B1635" s="6" t="s">
        <v>1753</v>
      </c>
      <c r="F1635" s="6" t="s">
        <v>9</v>
      </c>
      <c r="G1635" s="6" t="s">
        <v>38</v>
      </c>
      <c r="H1635" s="9" t="s">
        <v>33</v>
      </c>
      <c r="I1635" s="7" t="str">
        <f t="shared" si="100"/>
        <v>61001005000</v>
      </c>
      <c r="J1635" s="7" t="str">
        <f t="shared" si="101"/>
        <v>Материал по ЕГРН</v>
      </c>
      <c r="K1635" s="7">
        <f>VLOOKUP(J1635,Лист2!A$2:B$4,2,FALSE)</f>
        <v>792</v>
      </c>
      <c r="L1635" s="7" t="str">
        <f t="shared" si="102"/>
        <v>ГОТОВ_ИЗМЕНЕН</v>
      </c>
      <c r="M1635" s="7">
        <f t="shared" si="103"/>
        <v>0</v>
      </c>
    </row>
    <row r="1636" spans="1:13" x14ac:dyDescent="0.25">
      <c r="A1636" s="1">
        <v>312707</v>
      </c>
      <c r="B1636" s="6" t="s">
        <v>1754</v>
      </c>
      <c r="C1636" s="9" t="s">
        <v>11</v>
      </c>
      <c r="D1636" s="6" t="s">
        <v>20</v>
      </c>
      <c r="E1636" s="6" t="s">
        <v>37</v>
      </c>
      <c r="F1636" s="6" t="s">
        <v>9</v>
      </c>
      <c r="G1636" s="6" t="s">
        <v>10</v>
      </c>
      <c r="H1636" s="9" t="s">
        <v>11</v>
      </c>
      <c r="I1636" s="7" t="str">
        <f t="shared" si="100"/>
        <v>61001003000</v>
      </c>
      <c r="J1636" s="7" t="str">
        <f t="shared" si="101"/>
        <v>Материал по ЕГРН</v>
      </c>
      <c r="K1636" s="7">
        <f>VLOOKUP(J1636,Лист2!A$2:B$4,2,FALSE)</f>
        <v>792</v>
      </c>
      <c r="L1636" s="7" t="str">
        <f t="shared" si="102"/>
        <v>ГОТОВ</v>
      </c>
      <c r="M1636" s="7" t="str">
        <f t="shared" si="103"/>
        <v>61001003000</v>
      </c>
    </row>
    <row r="1637" spans="1:13" x14ac:dyDescent="0.25">
      <c r="A1637" s="1">
        <v>515682</v>
      </c>
      <c r="B1637" s="6" t="s">
        <v>1755</v>
      </c>
      <c r="C1637" s="9" t="s">
        <v>33</v>
      </c>
      <c r="D1637" s="6" t="s">
        <v>20</v>
      </c>
      <c r="E1637" s="6" t="s">
        <v>37</v>
      </c>
      <c r="F1637" s="6" t="s">
        <v>9</v>
      </c>
      <c r="G1637" s="6" t="s">
        <v>38</v>
      </c>
      <c r="H1637" s="9" t="s">
        <v>33</v>
      </c>
      <c r="I1637" s="7" t="str">
        <f t="shared" si="100"/>
        <v>61001005000</v>
      </c>
      <c r="J1637" s="7" t="str">
        <f t="shared" si="101"/>
        <v>Материал по ЕГРН</v>
      </c>
      <c r="K1637" s="7">
        <f>VLOOKUP(J1637,Лист2!A$2:B$4,2,FALSE)</f>
        <v>792</v>
      </c>
      <c r="L1637" s="7" t="str">
        <f t="shared" si="102"/>
        <v>ГОТОВ</v>
      </c>
      <c r="M1637" s="7" t="str">
        <f t="shared" si="103"/>
        <v>61001005000</v>
      </c>
    </row>
    <row r="1638" spans="1:13" x14ac:dyDescent="0.25">
      <c r="A1638" s="1">
        <v>524315</v>
      </c>
      <c r="B1638" s="6" t="s">
        <v>1756</v>
      </c>
      <c r="C1638" s="9" t="s">
        <v>33</v>
      </c>
      <c r="D1638" s="6" t="s">
        <v>20</v>
      </c>
      <c r="E1638" s="6" t="s">
        <v>37</v>
      </c>
      <c r="F1638" s="6" t="s">
        <v>9</v>
      </c>
      <c r="G1638" s="6" t="s">
        <v>38</v>
      </c>
      <c r="H1638" s="9" t="s">
        <v>33</v>
      </c>
      <c r="I1638" s="7" t="str">
        <f t="shared" si="100"/>
        <v>61001005000</v>
      </c>
      <c r="J1638" s="7" t="str">
        <f t="shared" si="101"/>
        <v>Материал по ЕГРН</v>
      </c>
      <c r="K1638" s="7">
        <f>VLOOKUP(J1638,Лист2!A$2:B$4,2,FALSE)</f>
        <v>792</v>
      </c>
      <c r="L1638" s="7" t="str">
        <f t="shared" si="102"/>
        <v>ГОТОВ</v>
      </c>
      <c r="M1638" s="7" t="str">
        <f t="shared" si="103"/>
        <v>61001005000</v>
      </c>
    </row>
    <row r="1639" spans="1:13" x14ac:dyDescent="0.25">
      <c r="A1639" s="1">
        <v>531013</v>
      </c>
      <c r="B1639" s="6" t="s">
        <v>1757</v>
      </c>
      <c r="C1639" s="9" t="s">
        <v>33</v>
      </c>
      <c r="D1639" s="6" t="s">
        <v>20</v>
      </c>
      <c r="E1639" s="6" t="s">
        <v>37</v>
      </c>
      <c r="F1639" s="6" t="s">
        <v>9</v>
      </c>
      <c r="G1639" s="6" t="s">
        <v>38</v>
      </c>
      <c r="H1639" s="9" t="s">
        <v>33</v>
      </c>
      <c r="I1639" s="7" t="str">
        <f t="shared" si="100"/>
        <v>61001005000</v>
      </c>
      <c r="J1639" s="7" t="str">
        <f t="shared" si="101"/>
        <v>Материал по ЕГРН</v>
      </c>
      <c r="K1639" s="7">
        <f>VLOOKUP(J1639,Лист2!A$2:B$4,2,FALSE)</f>
        <v>792</v>
      </c>
      <c r="L1639" s="7" t="str">
        <f t="shared" si="102"/>
        <v>ГОТОВ</v>
      </c>
      <c r="M1639" s="7" t="str">
        <f t="shared" si="103"/>
        <v>61001005000</v>
      </c>
    </row>
    <row r="1640" spans="1:13" x14ac:dyDescent="0.25">
      <c r="A1640" s="1">
        <v>734866</v>
      </c>
      <c r="B1640" s="6" t="s">
        <v>1758</v>
      </c>
      <c r="C1640" s="9" t="s">
        <v>33</v>
      </c>
      <c r="D1640" s="6" t="s">
        <v>20</v>
      </c>
      <c r="E1640" s="6" t="s">
        <v>37</v>
      </c>
      <c r="F1640" s="6" t="s">
        <v>9</v>
      </c>
      <c r="G1640" s="6" t="s">
        <v>38</v>
      </c>
      <c r="H1640" s="9" t="s">
        <v>33</v>
      </c>
      <c r="I1640" s="7" t="str">
        <f t="shared" si="100"/>
        <v>61001005000</v>
      </c>
      <c r="J1640" s="7" t="str">
        <f t="shared" si="101"/>
        <v>Материал по ЕГРН</v>
      </c>
      <c r="K1640" s="7">
        <f>VLOOKUP(J1640,Лист2!A$2:B$4,2,FALSE)</f>
        <v>792</v>
      </c>
      <c r="L1640" s="7" t="str">
        <f t="shared" si="102"/>
        <v>ГОТОВ</v>
      </c>
      <c r="M1640" s="7" t="str">
        <f t="shared" si="103"/>
        <v>61001005000</v>
      </c>
    </row>
    <row r="1641" spans="1:13" x14ac:dyDescent="0.25">
      <c r="A1641" s="1">
        <v>226432</v>
      </c>
      <c r="B1641" s="6" t="s">
        <v>1759</v>
      </c>
      <c r="C1641" s="9" t="s">
        <v>33</v>
      </c>
      <c r="D1641" s="6" t="s">
        <v>20</v>
      </c>
      <c r="E1641" s="6" t="s">
        <v>37</v>
      </c>
      <c r="F1641" s="6" t="s">
        <v>9</v>
      </c>
      <c r="G1641" s="6" t="s">
        <v>38</v>
      </c>
      <c r="H1641" s="9" t="s">
        <v>33</v>
      </c>
      <c r="I1641" s="7" t="str">
        <f t="shared" si="100"/>
        <v>61001005000</v>
      </c>
      <c r="J1641" s="7" t="str">
        <f t="shared" si="101"/>
        <v>Материал по ЕГРН</v>
      </c>
      <c r="K1641" s="7">
        <f>VLOOKUP(J1641,Лист2!A$2:B$4,2,FALSE)</f>
        <v>792</v>
      </c>
      <c r="L1641" s="7" t="str">
        <f t="shared" si="102"/>
        <v>ГОТОВ</v>
      </c>
      <c r="M1641" s="7" t="str">
        <f t="shared" si="103"/>
        <v>61001005000</v>
      </c>
    </row>
    <row r="1642" spans="1:13" x14ac:dyDescent="0.25">
      <c r="A1642" s="1">
        <v>305996</v>
      </c>
      <c r="B1642" s="6" t="s">
        <v>1760</v>
      </c>
      <c r="C1642" s="9" t="s">
        <v>33</v>
      </c>
      <c r="D1642" s="6" t="s">
        <v>20</v>
      </c>
      <c r="E1642" s="6" t="s">
        <v>37</v>
      </c>
      <c r="F1642" s="6" t="s">
        <v>9</v>
      </c>
      <c r="G1642" s="6" t="s">
        <v>38</v>
      </c>
      <c r="H1642" s="9" t="s">
        <v>33</v>
      </c>
      <c r="I1642" s="7" t="str">
        <f t="shared" si="100"/>
        <v>61001005000</v>
      </c>
      <c r="J1642" s="7" t="str">
        <f t="shared" si="101"/>
        <v>Материал по ЕГРН</v>
      </c>
      <c r="K1642" s="7">
        <f>VLOOKUP(J1642,Лист2!A$2:B$4,2,FALSE)</f>
        <v>792</v>
      </c>
      <c r="L1642" s="7" t="str">
        <f t="shared" si="102"/>
        <v>ГОТОВ</v>
      </c>
      <c r="M1642" s="7" t="str">
        <f t="shared" si="103"/>
        <v>61001005000</v>
      </c>
    </row>
    <row r="1643" spans="1:13" x14ac:dyDescent="0.25">
      <c r="A1643" s="1">
        <v>541020</v>
      </c>
      <c r="B1643" s="6" t="s">
        <v>1761</v>
      </c>
      <c r="C1643" s="9" t="s">
        <v>42</v>
      </c>
      <c r="D1643" s="6" t="s">
        <v>20</v>
      </c>
      <c r="E1643" s="6" t="s">
        <v>37</v>
      </c>
      <c r="F1643" s="6" t="s">
        <v>9</v>
      </c>
      <c r="G1643" s="6" t="s">
        <v>43</v>
      </c>
      <c r="H1643" s="9" t="s">
        <v>42</v>
      </c>
      <c r="I1643" s="7" t="str">
        <f t="shared" si="100"/>
        <v>61001002001</v>
      </c>
      <c r="J1643" s="7" t="str">
        <f t="shared" si="101"/>
        <v>Материал по ЕГРН</v>
      </c>
      <c r="K1643" s="7">
        <f>VLOOKUP(J1643,Лист2!A$2:B$4,2,FALSE)</f>
        <v>792</v>
      </c>
      <c r="L1643" s="7" t="str">
        <f t="shared" si="102"/>
        <v>ГОТОВ</v>
      </c>
      <c r="M1643" s="7" t="str">
        <f t="shared" si="103"/>
        <v>61001002001</v>
      </c>
    </row>
    <row r="1644" spans="1:13" x14ac:dyDescent="0.25">
      <c r="A1644" s="1">
        <v>793481</v>
      </c>
      <c r="B1644" s="6" t="s">
        <v>1762</v>
      </c>
      <c r="C1644" s="9" t="s">
        <v>60</v>
      </c>
      <c r="D1644" s="6" t="s">
        <v>20</v>
      </c>
      <c r="E1644" s="6" t="s">
        <v>8</v>
      </c>
      <c r="F1644" s="6" t="s">
        <v>9</v>
      </c>
      <c r="G1644" s="6" t="s">
        <v>38</v>
      </c>
      <c r="H1644" s="9" t="s">
        <v>33</v>
      </c>
      <c r="I1644" s="7" t="str">
        <f t="shared" si="100"/>
        <v>61001005000</v>
      </c>
      <c r="J1644" s="7" t="str">
        <f t="shared" si="101"/>
        <v>Материал по ЕГРН</v>
      </c>
      <c r="K1644" s="7">
        <f>VLOOKUP(J1644,Лист2!A$2:B$4,2,FALSE)</f>
        <v>792</v>
      </c>
      <c r="L1644" s="7" t="str">
        <f t="shared" si="102"/>
        <v>ГОТОВ_ИЗМЕНЕН</v>
      </c>
      <c r="M1644" s="7" t="str">
        <f t="shared" si="103"/>
        <v>61001001001</v>
      </c>
    </row>
    <row r="1645" spans="1:13" x14ac:dyDescent="0.25">
      <c r="A1645" s="1">
        <v>307759</v>
      </c>
      <c r="B1645" s="6" t="s">
        <v>1763</v>
      </c>
      <c r="C1645" s="9" t="s">
        <v>12</v>
      </c>
      <c r="D1645" s="6" t="s">
        <v>20</v>
      </c>
      <c r="E1645" s="6" t="s">
        <v>37</v>
      </c>
      <c r="F1645" s="6" t="s">
        <v>9</v>
      </c>
      <c r="G1645" s="6" t="s">
        <v>90</v>
      </c>
      <c r="H1645" s="9" t="s">
        <v>12</v>
      </c>
      <c r="I1645" s="7" t="str">
        <f t="shared" si="100"/>
        <v>61001008000</v>
      </c>
      <c r="J1645" s="7" t="str">
        <f t="shared" si="101"/>
        <v>Материал по ЕГРН</v>
      </c>
      <c r="K1645" s="7">
        <f>VLOOKUP(J1645,Лист2!A$2:B$4,2,FALSE)</f>
        <v>792</v>
      </c>
      <c r="L1645" s="7" t="str">
        <f t="shared" si="102"/>
        <v>ГОТОВ</v>
      </c>
      <c r="M1645" s="7" t="str">
        <f t="shared" si="103"/>
        <v>61001008000</v>
      </c>
    </row>
    <row r="1646" spans="1:13" x14ac:dyDescent="0.25">
      <c r="A1646" s="1">
        <v>683354</v>
      </c>
      <c r="B1646" s="6" t="s">
        <v>1764</v>
      </c>
      <c r="C1646" s="9" t="s">
        <v>33</v>
      </c>
      <c r="D1646" s="6" t="s">
        <v>20</v>
      </c>
      <c r="E1646" s="6" t="s">
        <v>37</v>
      </c>
      <c r="F1646" s="6" t="s">
        <v>9</v>
      </c>
      <c r="G1646" s="6" t="s">
        <v>38</v>
      </c>
      <c r="H1646" s="9" t="s">
        <v>33</v>
      </c>
      <c r="I1646" s="7" t="str">
        <f t="shared" si="100"/>
        <v>61001005000</v>
      </c>
      <c r="J1646" s="7" t="str">
        <f t="shared" si="101"/>
        <v>Материал по ЕГРН</v>
      </c>
      <c r="K1646" s="7">
        <f>VLOOKUP(J1646,Лист2!A$2:B$4,2,FALSE)</f>
        <v>792</v>
      </c>
      <c r="L1646" s="7" t="str">
        <f t="shared" si="102"/>
        <v>ГОТОВ</v>
      </c>
      <c r="M1646" s="7" t="str">
        <f t="shared" si="103"/>
        <v>61001005000</v>
      </c>
    </row>
    <row r="1647" spans="1:13" x14ac:dyDescent="0.25">
      <c r="A1647" s="1">
        <v>787649</v>
      </c>
      <c r="B1647" s="6" t="s">
        <v>1765</v>
      </c>
      <c r="C1647" s="9" t="s">
        <v>33</v>
      </c>
      <c r="D1647" s="6" t="s">
        <v>20</v>
      </c>
      <c r="E1647" s="6" t="s">
        <v>37</v>
      </c>
      <c r="F1647" s="6" t="s">
        <v>9</v>
      </c>
      <c r="G1647" s="6" t="s">
        <v>38</v>
      </c>
      <c r="H1647" s="9" t="s">
        <v>33</v>
      </c>
      <c r="I1647" s="7" t="str">
        <f t="shared" si="100"/>
        <v>61001005000</v>
      </c>
      <c r="J1647" s="7" t="str">
        <f t="shared" si="101"/>
        <v>Материал по ЕГРН</v>
      </c>
      <c r="K1647" s="7">
        <f>VLOOKUP(J1647,Лист2!A$2:B$4,2,FALSE)</f>
        <v>792</v>
      </c>
      <c r="L1647" s="7" t="str">
        <f t="shared" si="102"/>
        <v>ГОТОВ</v>
      </c>
      <c r="M1647" s="7" t="str">
        <f t="shared" si="103"/>
        <v>61001005000</v>
      </c>
    </row>
    <row r="1648" spans="1:13" x14ac:dyDescent="0.25">
      <c r="A1648" s="1">
        <v>943417</v>
      </c>
      <c r="B1648" s="6" t="s">
        <v>1766</v>
      </c>
      <c r="F1648" s="6" t="s">
        <v>9</v>
      </c>
      <c r="G1648" s="6" t="s">
        <v>38</v>
      </c>
      <c r="H1648" s="9" t="s">
        <v>33</v>
      </c>
      <c r="I1648" s="7" t="str">
        <f t="shared" si="100"/>
        <v>61001005000</v>
      </c>
      <c r="J1648" s="7" t="str">
        <f t="shared" si="101"/>
        <v>Материал по ЕГРН</v>
      </c>
      <c r="K1648" s="7">
        <f>VLOOKUP(J1648,Лист2!A$2:B$4,2,FALSE)</f>
        <v>792</v>
      </c>
      <c r="L1648" s="7" t="str">
        <f t="shared" si="102"/>
        <v>ГОТОВ_ИЗМЕНЕН</v>
      </c>
      <c r="M1648" s="7">
        <f t="shared" si="103"/>
        <v>0</v>
      </c>
    </row>
    <row r="1649" spans="1:13" x14ac:dyDescent="0.25">
      <c r="A1649" s="1">
        <v>943429</v>
      </c>
      <c r="B1649" s="6" t="s">
        <v>1767</v>
      </c>
      <c r="F1649" s="6" t="s">
        <v>9</v>
      </c>
      <c r="G1649" s="6" t="s">
        <v>62</v>
      </c>
      <c r="H1649" s="9" t="s">
        <v>63</v>
      </c>
      <c r="I1649" s="7" t="str">
        <f t="shared" si="100"/>
        <v>61001006002</v>
      </c>
      <c r="J1649" s="7" t="str">
        <f t="shared" si="101"/>
        <v>Материал по ЕГРН</v>
      </c>
      <c r="K1649" s="7">
        <f>VLOOKUP(J1649,Лист2!A$2:B$4,2,FALSE)</f>
        <v>792</v>
      </c>
      <c r="L1649" s="7" t="str">
        <f t="shared" si="102"/>
        <v>ГОТОВ_ИЗМЕНЕН</v>
      </c>
      <c r="M1649" s="7">
        <f t="shared" si="103"/>
        <v>0</v>
      </c>
    </row>
    <row r="1650" spans="1:13" x14ac:dyDescent="0.25">
      <c r="A1650" s="1">
        <v>943441</v>
      </c>
      <c r="B1650" s="6" t="s">
        <v>1768</v>
      </c>
      <c r="F1650" s="6" t="s">
        <v>9</v>
      </c>
      <c r="G1650" s="6" t="s">
        <v>38</v>
      </c>
      <c r="H1650" s="9" t="s">
        <v>33</v>
      </c>
      <c r="I1650" s="7" t="str">
        <f t="shared" si="100"/>
        <v>61001005000</v>
      </c>
      <c r="J1650" s="7" t="str">
        <f t="shared" si="101"/>
        <v>Материал по ЕГРН</v>
      </c>
      <c r="K1650" s="7">
        <f>VLOOKUP(J1650,Лист2!A$2:B$4,2,FALSE)</f>
        <v>792</v>
      </c>
      <c r="L1650" s="7" t="str">
        <f t="shared" si="102"/>
        <v>ГОТОВ_ИЗМЕНЕН</v>
      </c>
      <c r="M1650" s="7">
        <f t="shared" si="103"/>
        <v>0</v>
      </c>
    </row>
    <row r="1651" spans="1:13" x14ac:dyDescent="0.25">
      <c r="A1651" s="1">
        <v>943453</v>
      </c>
      <c r="B1651" s="6" t="s">
        <v>1769</v>
      </c>
      <c r="F1651" s="6" t="s">
        <v>9</v>
      </c>
      <c r="G1651" s="6" t="s">
        <v>38</v>
      </c>
      <c r="H1651" s="9" t="s">
        <v>33</v>
      </c>
      <c r="I1651" s="7" t="str">
        <f t="shared" si="100"/>
        <v>61001005000</v>
      </c>
      <c r="J1651" s="7" t="str">
        <f t="shared" si="101"/>
        <v>Материал по ЕГРН</v>
      </c>
      <c r="K1651" s="7">
        <f>VLOOKUP(J1651,Лист2!A$2:B$4,2,FALSE)</f>
        <v>792</v>
      </c>
      <c r="L1651" s="7" t="str">
        <f t="shared" si="102"/>
        <v>ГОТОВ_ИЗМЕНЕН</v>
      </c>
      <c r="M1651" s="7">
        <f t="shared" si="103"/>
        <v>0</v>
      </c>
    </row>
    <row r="1652" spans="1:13" x14ac:dyDescent="0.25">
      <c r="A1652" s="1">
        <v>943465</v>
      </c>
      <c r="B1652" s="6" t="s">
        <v>1770</v>
      </c>
      <c r="F1652" s="6" t="s">
        <v>9</v>
      </c>
      <c r="G1652" s="6" t="s">
        <v>38</v>
      </c>
      <c r="H1652" s="9" t="s">
        <v>33</v>
      </c>
      <c r="I1652" s="7" t="str">
        <f t="shared" si="100"/>
        <v>61001005000</v>
      </c>
      <c r="J1652" s="7" t="str">
        <f t="shared" si="101"/>
        <v>Материал по ЕГРН</v>
      </c>
      <c r="K1652" s="7">
        <f>VLOOKUP(J1652,Лист2!A$2:B$4,2,FALSE)</f>
        <v>792</v>
      </c>
      <c r="L1652" s="7" t="str">
        <f t="shared" si="102"/>
        <v>ГОТОВ_ИЗМЕНЕН</v>
      </c>
      <c r="M1652" s="7">
        <f t="shared" si="103"/>
        <v>0</v>
      </c>
    </row>
    <row r="1653" spans="1:13" x14ac:dyDescent="0.25">
      <c r="A1653" s="1">
        <v>943477</v>
      </c>
      <c r="B1653" s="6" t="s">
        <v>1771</v>
      </c>
      <c r="F1653" s="6" t="s">
        <v>9</v>
      </c>
      <c r="G1653" s="6" t="s">
        <v>34</v>
      </c>
      <c r="H1653" s="9" t="s">
        <v>35</v>
      </c>
      <c r="I1653" s="7" t="str">
        <f t="shared" si="100"/>
        <v>61001002000</v>
      </c>
      <c r="J1653" s="7" t="str">
        <f t="shared" si="101"/>
        <v>Материал по ЕГРН</v>
      </c>
      <c r="K1653" s="7">
        <f>VLOOKUP(J1653,Лист2!A$2:B$4,2,FALSE)</f>
        <v>792</v>
      </c>
      <c r="L1653" s="7" t="str">
        <f t="shared" si="102"/>
        <v>ГОТОВ_ИЗМЕНЕН</v>
      </c>
      <c r="M1653" s="7">
        <f t="shared" si="103"/>
        <v>0</v>
      </c>
    </row>
    <row r="1654" spans="1:13" x14ac:dyDescent="0.25">
      <c r="A1654" s="1">
        <v>943489</v>
      </c>
      <c r="B1654" s="6" t="s">
        <v>1772</v>
      </c>
      <c r="F1654" s="6" t="s">
        <v>9</v>
      </c>
      <c r="G1654" s="6" t="s">
        <v>90</v>
      </c>
      <c r="H1654" s="9" t="s">
        <v>12</v>
      </c>
      <c r="I1654" s="7" t="str">
        <f t="shared" si="100"/>
        <v>61001008000</v>
      </c>
      <c r="J1654" s="7" t="str">
        <f t="shared" si="101"/>
        <v>Материал по ЕГРН</v>
      </c>
      <c r="K1654" s="7">
        <f>VLOOKUP(J1654,Лист2!A$2:B$4,2,FALSE)</f>
        <v>792</v>
      </c>
      <c r="L1654" s="7" t="str">
        <f t="shared" si="102"/>
        <v>ГОТОВ_ИЗМЕНЕН</v>
      </c>
      <c r="M1654" s="7">
        <f t="shared" si="103"/>
        <v>0</v>
      </c>
    </row>
    <row r="1655" spans="1:13" x14ac:dyDescent="0.25">
      <c r="A1655" s="1">
        <v>943501</v>
      </c>
      <c r="B1655" s="6" t="s">
        <v>1773</v>
      </c>
      <c r="F1655" s="6" t="s">
        <v>9</v>
      </c>
      <c r="G1655" s="6" t="s">
        <v>34</v>
      </c>
      <c r="H1655" s="9" t="s">
        <v>35</v>
      </c>
      <c r="I1655" s="7" t="str">
        <f t="shared" si="100"/>
        <v>61001002000</v>
      </c>
      <c r="J1655" s="7" t="str">
        <f t="shared" si="101"/>
        <v>Материал по ЕГРН</v>
      </c>
      <c r="K1655" s="7">
        <f>VLOOKUP(J1655,Лист2!A$2:B$4,2,FALSE)</f>
        <v>792</v>
      </c>
      <c r="L1655" s="7" t="str">
        <f t="shared" si="102"/>
        <v>ГОТОВ_ИЗМЕНЕН</v>
      </c>
      <c r="M1655" s="7">
        <f t="shared" si="103"/>
        <v>0</v>
      </c>
    </row>
    <row r="1656" spans="1:13" x14ac:dyDescent="0.25">
      <c r="A1656" s="1">
        <v>943513</v>
      </c>
      <c r="B1656" s="6" t="s">
        <v>1774</v>
      </c>
      <c r="F1656" s="6" t="s">
        <v>9</v>
      </c>
      <c r="G1656" s="6" t="s">
        <v>34</v>
      </c>
      <c r="H1656" s="9" t="s">
        <v>35</v>
      </c>
      <c r="I1656" s="7" t="str">
        <f t="shared" si="100"/>
        <v>61001002000</v>
      </c>
      <c r="J1656" s="7" t="str">
        <f t="shared" si="101"/>
        <v>Материал по ЕГРН</v>
      </c>
      <c r="K1656" s="7">
        <f>VLOOKUP(J1656,Лист2!A$2:B$4,2,FALSE)</f>
        <v>792</v>
      </c>
      <c r="L1656" s="7" t="str">
        <f t="shared" si="102"/>
        <v>ГОТОВ_ИЗМЕНЕН</v>
      </c>
      <c r="M1656" s="7">
        <f t="shared" si="103"/>
        <v>0</v>
      </c>
    </row>
    <row r="1657" spans="1:13" x14ac:dyDescent="0.25">
      <c r="A1657" s="1">
        <v>943525</v>
      </c>
      <c r="B1657" s="6" t="s">
        <v>1775</v>
      </c>
      <c r="F1657" s="6" t="s">
        <v>9</v>
      </c>
      <c r="G1657" s="6" t="s">
        <v>59</v>
      </c>
      <c r="H1657" s="9" t="s">
        <v>60</v>
      </c>
      <c r="I1657" s="7" t="str">
        <f t="shared" si="100"/>
        <v>61001001001</v>
      </c>
      <c r="J1657" s="7" t="str">
        <f t="shared" si="101"/>
        <v>Материал по ЕГРН</v>
      </c>
      <c r="K1657" s="7">
        <f>VLOOKUP(J1657,Лист2!A$2:B$4,2,FALSE)</f>
        <v>792</v>
      </c>
      <c r="L1657" s="7" t="str">
        <f t="shared" si="102"/>
        <v>ГОТОВ_ИЗМЕНЕН</v>
      </c>
      <c r="M1657" s="7">
        <f t="shared" si="103"/>
        <v>0</v>
      </c>
    </row>
    <row r="1658" spans="1:13" x14ac:dyDescent="0.25">
      <c r="A1658" s="1">
        <v>943537</v>
      </c>
      <c r="B1658" s="6" t="s">
        <v>1776</v>
      </c>
      <c r="F1658" s="6" t="s">
        <v>9</v>
      </c>
      <c r="G1658" s="6" t="s">
        <v>38</v>
      </c>
      <c r="H1658" s="9" t="s">
        <v>33</v>
      </c>
      <c r="I1658" s="7" t="str">
        <f t="shared" si="100"/>
        <v>61001005000</v>
      </c>
      <c r="J1658" s="7" t="str">
        <f t="shared" si="101"/>
        <v>Материал по ЕГРН</v>
      </c>
      <c r="K1658" s="7">
        <f>VLOOKUP(J1658,Лист2!A$2:B$4,2,FALSE)</f>
        <v>792</v>
      </c>
      <c r="L1658" s="7" t="str">
        <f t="shared" si="102"/>
        <v>ГОТОВ_ИЗМЕНЕН</v>
      </c>
      <c r="M1658" s="7">
        <f t="shared" si="103"/>
        <v>0</v>
      </c>
    </row>
    <row r="1659" spans="1:13" x14ac:dyDescent="0.25">
      <c r="A1659" s="1">
        <v>943549</v>
      </c>
      <c r="B1659" s="6" t="s">
        <v>1777</v>
      </c>
      <c r="F1659" s="6" t="s">
        <v>9</v>
      </c>
      <c r="G1659" s="6" t="s">
        <v>38</v>
      </c>
      <c r="H1659" s="9" t="s">
        <v>33</v>
      </c>
      <c r="I1659" s="7" t="str">
        <f t="shared" si="100"/>
        <v>61001005000</v>
      </c>
      <c r="J1659" s="7" t="str">
        <f t="shared" si="101"/>
        <v>Материал по ЕГРН</v>
      </c>
      <c r="K1659" s="7">
        <f>VLOOKUP(J1659,Лист2!A$2:B$4,2,FALSE)</f>
        <v>792</v>
      </c>
      <c r="L1659" s="7" t="str">
        <f t="shared" si="102"/>
        <v>ГОТОВ_ИЗМЕНЕН</v>
      </c>
      <c r="M1659" s="7">
        <f t="shared" si="103"/>
        <v>0</v>
      </c>
    </row>
    <row r="1660" spans="1:13" x14ac:dyDescent="0.25">
      <c r="A1660" s="1">
        <v>943561</v>
      </c>
      <c r="B1660" s="6" t="s">
        <v>1778</v>
      </c>
      <c r="F1660" s="6" t="s">
        <v>9</v>
      </c>
      <c r="G1660" s="6" t="s">
        <v>38</v>
      </c>
      <c r="H1660" s="9" t="s">
        <v>33</v>
      </c>
      <c r="I1660" s="7" t="str">
        <f t="shared" si="100"/>
        <v>61001005000</v>
      </c>
      <c r="J1660" s="7" t="str">
        <f t="shared" si="101"/>
        <v>Материал по ЕГРН</v>
      </c>
      <c r="K1660" s="7">
        <f>VLOOKUP(J1660,Лист2!A$2:B$4,2,FALSE)</f>
        <v>792</v>
      </c>
      <c r="L1660" s="7" t="str">
        <f t="shared" si="102"/>
        <v>ГОТОВ_ИЗМЕНЕН</v>
      </c>
      <c r="M1660" s="7">
        <f t="shared" si="103"/>
        <v>0</v>
      </c>
    </row>
    <row r="1661" spans="1:13" x14ac:dyDescent="0.25">
      <c r="A1661" s="1">
        <v>943573</v>
      </c>
      <c r="B1661" s="6" t="s">
        <v>1779</v>
      </c>
      <c r="F1661" s="6" t="s">
        <v>9</v>
      </c>
      <c r="G1661" s="6" t="s">
        <v>34</v>
      </c>
      <c r="H1661" s="9" t="s">
        <v>35</v>
      </c>
      <c r="I1661" s="7" t="str">
        <f t="shared" si="100"/>
        <v>61001002000</v>
      </c>
      <c r="J1661" s="7" t="str">
        <f t="shared" si="101"/>
        <v>Материал по ЕГРН</v>
      </c>
      <c r="K1661" s="7">
        <f>VLOOKUP(J1661,Лист2!A$2:B$4,2,FALSE)</f>
        <v>792</v>
      </c>
      <c r="L1661" s="7" t="str">
        <f t="shared" si="102"/>
        <v>ГОТОВ_ИЗМЕНЕН</v>
      </c>
      <c r="M1661" s="7">
        <f t="shared" si="103"/>
        <v>0</v>
      </c>
    </row>
    <row r="1662" spans="1:13" x14ac:dyDescent="0.25">
      <c r="A1662" s="1">
        <v>943585</v>
      </c>
      <c r="B1662" s="6" t="s">
        <v>1780</v>
      </c>
      <c r="F1662" s="6" t="s">
        <v>9</v>
      </c>
      <c r="G1662" s="6" t="s">
        <v>170</v>
      </c>
      <c r="H1662" s="9" t="s">
        <v>171</v>
      </c>
      <c r="I1662" s="7" t="str">
        <f t="shared" si="100"/>
        <v>61001001000</v>
      </c>
      <c r="J1662" s="7" t="str">
        <f t="shared" si="101"/>
        <v>Материал по ЕГРН</v>
      </c>
      <c r="K1662" s="7">
        <f>VLOOKUP(J1662,Лист2!A$2:B$4,2,FALSE)</f>
        <v>792</v>
      </c>
      <c r="L1662" s="7" t="str">
        <f t="shared" si="102"/>
        <v>ГОТОВ_ИЗМЕНЕН</v>
      </c>
      <c r="M1662" s="7">
        <f t="shared" si="103"/>
        <v>0</v>
      </c>
    </row>
    <row r="1663" spans="1:13" x14ac:dyDescent="0.25">
      <c r="A1663" s="1">
        <v>943597</v>
      </c>
      <c r="B1663" s="6" t="s">
        <v>1781</v>
      </c>
      <c r="F1663" s="6" t="s">
        <v>9</v>
      </c>
      <c r="G1663" s="6" t="s">
        <v>38</v>
      </c>
      <c r="H1663" s="9" t="s">
        <v>33</v>
      </c>
      <c r="I1663" s="7" t="str">
        <f t="shared" si="100"/>
        <v>61001005000</v>
      </c>
      <c r="J1663" s="7" t="str">
        <f t="shared" si="101"/>
        <v>Материал по ЕГРН</v>
      </c>
      <c r="K1663" s="7">
        <f>VLOOKUP(J1663,Лист2!A$2:B$4,2,FALSE)</f>
        <v>792</v>
      </c>
      <c r="L1663" s="7" t="str">
        <f t="shared" si="102"/>
        <v>ГОТОВ_ИЗМЕНЕН</v>
      </c>
      <c r="M1663" s="7">
        <f t="shared" si="103"/>
        <v>0</v>
      </c>
    </row>
    <row r="1664" spans="1:13" x14ac:dyDescent="0.25">
      <c r="A1664" s="1">
        <v>943609</v>
      </c>
      <c r="B1664" s="6" t="s">
        <v>1782</v>
      </c>
      <c r="F1664" s="6" t="s">
        <v>9</v>
      </c>
      <c r="G1664" s="6" t="s">
        <v>59</v>
      </c>
      <c r="H1664" s="9" t="s">
        <v>60</v>
      </c>
      <c r="I1664" s="7" t="str">
        <f t="shared" si="100"/>
        <v>61001001001</v>
      </c>
      <c r="J1664" s="7" t="str">
        <f t="shared" si="101"/>
        <v>Материал по ЕГРН</v>
      </c>
      <c r="K1664" s="7">
        <f>VLOOKUP(J1664,Лист2!A$2:B$4,2,FALSE)</f>
        <v>792</v>
      </c>
      <c r="L1664" s="7" t="str">
        <f t="shared" si="102"/>
        <v>ГОТОВ_ИЗМЕНЕН</v>
      </c>
      <c r="M1664" s="7">
        <f t="shared" si="103"/>
        <v>0</v>
      </c>
    </row>
    <row r="1665" spans="1:13" x14ac:dyDescent="0.25">
      <c r="A1665" s="1">
        <v>127217</v>
      </c>
      <c r="B1665" s="6" t="s">
        <v>1783</v>
      </c>
      <c r="C1665" s="9" t="s">
        <v>33</v>
      </c>
      <c r="D1665" s="6" t="s">
        <v>20</v>
      </c>
      <c r="E1665" s="6" t="s">
        <v>8</v>
      </c>
      <c r="F1665" s="6" t="s">
        <v>9</v>
      </c>
      <c r="G1665" s="6" t="s">
        <v>34</v>
      </c>
      <c r="H1665" s="9" t="s">
        <v>35</v>
      </c>
      <c r="I1665" s="7" t="str">
        <f t="shared" si="100"/>
        <v>61001002000</v>
      </c>
      <c r="J1665" s="7" t="str">
        <f t="shared" si="101"/>
        <v>Материал по ЕГРН</v>
      </c>
      <c r="K1665" s="7">
        <f>VLOOKUP(J1665,Лист2!A$2:B$4,2,FALSE)</f>
        <v>792</v>
      </c>
      <c r="L1665" s="7" t="str">
        <f t="shared" si="102"/>
        <v>ГОТОВ_ИЗМЕНЕН</v>
      </c>
      <c r="M1665" s="7" t="str">
        <f t="shared" si="103"/>
        <v>61001005000</v>
      </c>
    </row>
    <row r="1666" spans="1:13" x14ac:dyDescent="0.25">
      <c r="A1666" s="1">
        <v>322984</v>
      </c>
      <c r="B1666" s="6" t="s">
        <v>1784</v>
      </c>
      <c r="C1666" s="9" t="s">
        <v>110</v>
      </c>
      <c r="D1666" s="6" t="s">
        <v>20</v>
      </c>
      <c r="E1666" s="6" t="s">
        <v>37</v>
      </c>
      <c r="F1666" s="6" t="s">
        <v>9</v>
      </c>
      <c r="G1666" s="6" t="s">
        <v>111</v>
      </c>
      <c r="H1666" s="9" t="s">
        <v>110</v>
      </c>
      <c r="I1666" s="7" t="str">
        <f t="shared" si="100"/>
        <v>61001007001</v>
      </c>
      <c r="J1666" s="7" t="str">
        <f t="shared" si="101"/>
        <v>Материал по ЕГРН</v>
      </c>
      <c r="K1666" s="7">
        <f>VLOOKUP(J1666,Лист2!A$2:B$4,2,FALSE)</f>
        <v>792</v>
      </c>
      <c r="L1666" s="7" t="str">
        <f t="shared" si="102"/>
        <v>ГОТОВ</v>
      </c>
      <c r="M1666" s="7" t="str">
        <f t="shared" si="103"/>
        <v>61001007001</v>
      </c>
    </row>
    <row r="1667" spans="1:13" x14ac:dyDescent="0.25">
      <c r="A1667" s="1">
        <v>520882</v>
      </c>
      <c r="B1667" s="6" t="s">
        <v>1785</v>
      </c>
      <c r="C1667" s="9" t="s">
        <v>33</v>
      </c>
      <c r="D1667" s="6" t="s">
        <v>20</v>
      </c>
      <c r="E1667" s="6" t="s">
        <v>37</v>
      </c>
      <c r="F1667" s="6" t="s">
        <v>9</v>
      </c>
      <c r="G1667" s="6" t="s">
        <v>38</v>
      </c>
      <c r="H1667" s="9" t="s">
        <v>33</v>
      </c>
      <c r="I1667" s="7" t="str">
        <f t="shared" si="100"/>
        <v>61001005000</v>
      </c>
      <c r="J1667" s="7" t="str">
        <f t="shared" si="101"/>
        <v>Материал по ЕГРН</v>
      </c>
      <c r="K1667" s="7">
        <f>VLOOKUP(J1667,Лист2!A$2:B$4,2,FALSE)</f>
        <v>792</v>
      </c>
      <c r="L1667" s="7" t="str">
        <f t="shared" si="102"/>
        <v>ГОТОВ</v>
      </c>
      <c r="M1667" s="7" t="str">
        <f t="shared" si="103"/>
        <v>61001005000</v>
      </c>
    </row>
    <row r="1668" spans="1:13" x14ac:dyDescent="0.25">
      <c r="A1668" s="1">
        <v>527695</v>
      </c>
      <c r="B1668" s="6" t="s">
        <v>1786</v>
      </c>
      <c r="C1668" s="9" t="s">
        <v>33</v>
      </c>
      <c r="D1668" s="6" t="s">
        <v>20</v>
      </c>
      <c r="E1668" s="6" t="s">
        <v>37</v>
      </c>
      <c r="F1668" s="6" t="s">
        <v>9</v>
      </c>
      <c r="G1668" s="6" t="s">
        <v>38</v>
      </c>
      <c r="H1668" s="9" t="s">
        <v>33</v>
      </c>
      <c r="I1668" s="7" t="str">
        <f t="shared" si="100"/>
        <v>61001005000</v>
      </c>
      <c r="J1668" s="7" t="str">
        <f t="shared" si="101"/>
        <v>Материал по ЕГРН</v>
      </c>
      <c r="K1668" s="7">
        <f>VLOOKUP(J1668,Лист2!A$2:B$4,2,FALSE)</f>
        <v>792</v>
      </c>
      <c r="L1668" s="7" t="str">
        <f t="shared" si="102"/>
        <v>ГОТОВ</v>
      </c>
      <c r="M1668" s="7" t="str">
        <f t="shared" si="103"/>
        <v>61001005000</v>
      </c>
    </row>
    <row r="1669" spans="1:13" x14ac:dyDescent="0.25">
      <c r="A1669" s="1">
        <v>816093</v>
      </c>
      <c r="B1669" s="6" t="s">
        <v>1787</v>
      </c>
      <c r="C1669" s="9" t="s">
        <v>33</v>
      </c>
      <c r="D1669" s="6" t="s">
        <v>20</v>
      </c>
      <c r="E1669" s="6" t="s">
        <v>37</v>
      </c>
      <c r="F1669" s="6" t="s">
        <v>9</v>
      </c>
      <c r="G1669" s="6" t="s">
        <v>38</v>
      </c>
      <c r="H1669" s="9" t="s">
        <v>33</v>
      </c>
      <c r="I1669" s="7" t="str">
        <f t="shared" ref="I1669:I1732" si="104">IF(LEN(H1669)=11,H1669,IF(LEN(H1669)=0,"61001005000","61001003000"))</f>
        <v>61001005000</v>
      </c>
      <c r="J1669" s="7" t="str">
        <f t="shared" ref="J1669:J1732" si="105">IF(LEN(H1669)=11,"Материал по ЕГРН",IF(LEN(H1669)=0,"Прочие по допущению","Смешанные по допущению"))</f>
        <v>Материал по ЕГРН</v>
      </c>
      <c r="K1669" s="7">
        <f>VLOOKUP(J1669,Лист2!A$2:B$4,2,FALSE)</f>
        <v>792</v>
      </c>
      <c r="L1669" s="7" t="str">
        <f t="shared" ref="L1669:L1732" si="106">IF(I1669=C1669,"ГОТОВ","ГОТОВ_ИЗМЕНЕН")</f>
        <v>ГОТОВ</v>
      </c>
      <c r="M1669" s="7" t="str">
        <f t="shared" ref="M1669:M1732" si="107">C1669</f>
        <v>61001005000</v>
      </c>
    </row>
    <row r="1670" spans="1:13" x14ac:dyDescent="0.25">
      <c r="A1670" s="1">
        <v>944646</v>
      </c>
      <c r="B1670" s="6" t="s">
        <v>1788</v>
      </c>
      <c r="F1670" s="6" t="s">
        <v>9</v>
      </c>
      <c r="G1670" s="6" t="s">
        <v>34</v>
      </c>
      <c r="H1670" s="9" t="s">
        <v>35</v>
      </c>
      <c r="I1670" s="7" t="str">
        <f t="shared" si="104"/>
        <v>61001002000</v>
      </c>
      <c r="J1670" s="7" t="str">
        <f t="shared" si="105"/>
        <v>Материал по ЕГРН</v>
      </c>
      <c r="K1670" s="7">
        <f>VLOOKUP(J1670,Лист2!A$2:B$4,2,FALSE)</f>
        <v>792</v>
      </c>
      <c r="L1670" s="7" t="str">
        <f t="shared" si="106"/>
        <v>ГОТОВ_ИЗМЕНЕН</v>
      </c>
      <c r="M1670" s="7">
        <f t="shared" si="107"/>
        <v>0</v>
      </c>
    </row>
    <row r="1671" spans="1:13" x14ac:dyDescent="0.25">
      <c r="A1671" s="1">
        <v>944658</v>
      </c>
      <c r="B1671" s="6" t="s">
        <v>1789</v>
      </c>
      <c r="F1671" s="6" t="s">
        <v>9</v>
      </c>
      <c r="G1671" s="6" t="s">
        <v>38</v>
      </c>
      <c r="H1671" s="9" t="s">
        <v>33</v>
      </c>
      <c r="I1671" s="7" t="str">
        <f t="shared" si="104"/>
        <v>61001005000</v>
      </c>
      <c r="J1671" s="7" t="str">
        <f t="shared" si="105"/>
        <v>Материал по ЕГРН</v>
      </c>
      <c r="K1671" s="7">
        <f>VLOOKUP(J1671,Лист2!A$2:B$4,2,FALSE)</f>
        <v>792</v>
      </c>
      <c r="L1671" s="7" t="str">
        <f t="shared" si="106"/>
        <v>ГОТОВ_ИЗМЕНЕН</v>
      </c>
      <c r="M1671" s="7">
        <f t="shared" si="107"/>
        <v>0</v>
      </c>
    </row>
    <row r="1672" spans="1:13" x14ac:dyDescent="0.25">
      <c r="A1672" s="1">
        <v>944670</v>
      </c>
      <c r="B1672" s="6" t="s">
        <v>1790</v>
      </c>
      <c r="F1672" s="6" t="s">
        <v>9</v>
      </c>
      <c r="G1672" s="6" t="s">
        <v>111</v>
      </c>
      <c r="H1672" s="9" t="s">
        <v>110</v>
      </c>
      <c r="I1672" s="7" t="str">
        <f t="shared" si="104"/>
        <v>61001007001</v>
      </c>
      <c r="J1672" s="7" t="str">
        <f t="shared" si="105"/>
        <v>Материал по ЕГРН</v>
      </c>
      <c r="K1672" s="7">
        <f>VLOOKUP(J1672,Лист2!A$2:B$4,2,FALSE)</f>
        <v>792</v>
      </c>
      <c r="L1672" s="7" t="str">
        <f t="shared" si="106"/>
        <v>ГОТОВ_ИЗМЕНЕН</v>
      </c>
      <c r="M1672" s="7">
        <f t="shared" si="107"/>
        <v>0</v>
      </c>
    </row>
    <row r="1673" spans="1:13" x14ac:dyDescent="0.25">
      <c r="A1673" s="1">
        <v>944682</v>
      </c>
      <c r="B1673" s="6" t="s">
        <v>1791</v>
      </c>
      <c r="F1673" s="6" t="s">
        <v>9</v>
      </c>
      <c r="G1673" s="6" t="s">
        <v>86</v>
      </c>
      <c r="H1673" s="9" t="s">
        <v>87</v>
      </c>
      <c r="I1673" s="7" t="str">
        <f t="shared" si="104"/>
        <v>61001003000</v>
      </c>
      <c r="J1673" s="7" t="str">
        <f t="shared" si="105"/>
        <v>Смешанные по допущению</v>
      </c>
      <c r="K1673" s="7">
        <f>VLOOKUP(J1673,Лист2!A$2:B$4,2,FALSE)</f>
        <v>793</v>
      </c>
      <c r="L1673" s="7" t="str">
        <f t="shared" si="106"/>
        <v>ГОТОВ_ИЗМЕНЕН</v>
      </c>
      <c r="M1673" s="7">
        <f t="shared" si="107"/>
        <v>0</v>
      </c>
    </row>
    <row r="1674" spans="1:13" x14ac:dyDescent="0.25">
      <c r="A1674" s="1">
        <v>944694</v>
      </c>
      <c r="B1674" s="6" t="s">
        <v>1792</v>
      </c>
      <c r="F1674" s="6" t="s">
        <v>9</v>
      </c>
      <c r="G1674" s="6" t="s">
        <v>34</v>
      </c>
      <c r="H1674" s="9" t="s">
        <v>35</v>
      </c>
      <c r="I1674" s="7" t="str">
        <f t="shared" si="104"/>
        <v>61001002000</v>
      </c>
      <c r="J1674" s="7" t="str">
        <f t="shared" si="105"/>
        <v>Материал по ЕГРН</v>
      </c>
      <c r="K1674" s="7">
        <f>VLOOKUP(J1674,Лист2!A$2:B$4,2,FALSE)</f>
        <v>792</v>
      </c>
      <c r="L1674" s="7" t="str">
        <f t="shared" si="106"/>
        <v>ГОТОВ_ИЗМЕНЕН</v>
      </c>
      <c r="M1674" s="7">
        <f t="shared" si="107"/>
        <v>0</v>
      </c>
    </row>
    <row r="1675" spans="1:13" x14ac:dyDescent="0.25">
      <c r="A1675" s="1">
        <v>944706</v>
      </c>
      <c r="B1675" s="6" t="s">
        <v>1793</v>
      </c>
      <c r="F1675" s="6" t="s">
        <v>9</v>
      </c>
      <c r="G1675" s="6" t="s">
        <v>90</v>
      </c>
      <c r="H1675" s="9" t="s">
        <v>12</v>
      </c>
      <c r="I1675" s="7" t="str">
        <f t="shared" si="104"/>
        <v>61001008000</v>
      </c>
      <c r="J1675" s="7" t="str">
        <f t="shared" si="105"/>
        <v>Материал по ЕГРН</v>
      </c>
      <c r="K1675" s="7">
        <f>VLOOKUP(J1675,Лист2!A$2:B$4,2,FALSE)</f>
        <v>792</v>
      </c>
      <c r="L1675" s="7" t="str">
        <f t="shared" si="106"/>
        <v>ГОТОВ_ИЗМЕНЕН</v>
      </c>
      <c r="M1675" s="7">
        <f t="shared" si="107"/>
        <v>0</v>
      </c>
    </row>
    <row r="1676" spans="1:13" x14ac:dyDescent="0.25">
      <c r="A1676" s="1">
        <v>944718</v>
      </c>
      <c r="B1676" s="6" t="s">
        <v>1794</v>
      </c>
      <c r="F1676" s="6" t="s">
        <v>9</v>
      </c>
      <c r="G1676" s="6" t="s">
        <v>73</v>
      </c>
      <c r="H1676" s="9" t="s">
        <v>74</v>
      </c>
      <c r="I1676" s="7" t="str">
        <f t="shared" si="104"/>
        <v>61001006000</v>
      </c>
      <c r="J1676" s="7" t="str">
        <f t="shared" si="105"/>
        <v>Материал по ЕГРН</v>
      </c>
      <c r="K1676" s="7">
        <f>VLOOKUP(J1676,Лист2!A$2:B$4,2,FALSE)</f>
        <v>792</v>
      </c>
      <c r="L1676" s="7" t="str">
        <f t="shared" si="106"/>
        <v>ГОТОВ_ИЗМЕНЕН</v>
      </c>
      <c r="M1676" s="7">
        <f t="shared" si="107"/>
        <v>0</v>
      </c>
    </row>
    <row r="1677" spans="1:13" x14ac:dyDescent="0.25">
      <c r="A1677" s="1">
        <v>944730</v>
      </c>
      <c r="B1677" s="6" t="s">
        <v>1795</v>
      </c>
      <c r="F1677" s="6" t="s">
        <v>9</v>
      </c>
      <c r="G1677" s="6" t="s">
        <v>10</v>
      </c>
      <c r="H1677" s="9" t="s">
        <v>11</v>
      </c>
      <c r="I1677" s="7" t="str">
        <f t="shared" si="104"/>
        <v>61001003000</v>
      </c>
      <c r="J1677" s="7" t="str">
        <f t="shared" si="105"/>
        <v>Материал по ЕГРН</v>
      </c>
      <c r="K1677" s="7">
        <f>VLOOKUP(J1677,Лист2!A$2:B$4,2,FALSE)</f>
        <v>792</v>
      </c>
      <c r="L1677" s="7" t="str">
        <f t="shared" si="106"/>
        <v>ГОТОВ_ИЗМЕНЕН</v>
      </c>
      <c r="M1677" s="7">
        <f t="shared" si="107"/>
        <v>0</v>
      </c>
    </row>
    <row r="1678" spans="1:13" x14ac:dyDescent="0.25">
      <c r="A1678" s="1">
        <v>944742</v>
      </c>
      <c r="B1678" s="6" t="s">
        <v>1796</v>
      </c>
      <c r="F1678" s="6" t="s">
        <v>9</v>
      </c>
      <c r="G1678" s="6" t="s">
        <v>38</v>
      </c>
      <c r="H1678" s="9" t="s">
        <v>33</v>
      </c>
      <c r="I1678" s="7" t="str">
        <f t="shared" si="104"/>
        <v>61001005000</v>
      </c>
      <c r="J1678" s="7" t="str">
        <f t="shared" si="105"/>
        <v>Материал по ЕГРН</v>
      </c>
      <c r="K1678" s="7">
        <f>VLOOKUP(J1678,Лист2!A$2:B$4,2,FALSE)</f>
        <v>792</v>
      </c>
      <c r="L1678" s="7" t="str">
        <f t="shared" si="106"/>
        <v>ГОТОВ_ИЗМЕНЕН</v>
      </c>
      <c r="M1678" s="7">
        <f t="shared" si="107"/>
        <v>0</v>
      </c>
    </row>
    <row r="1679" spans="1:13" x14ac:dyDescent="0.25">
      <c r="A1679" s="1">
        <v>944754</v>
      </c>
      <c r="B1679" s="6" t="s">
        <v>1797</v>
      </c>
      <c r="F1679" s="6" t="s">
        <v>9</v>
      </c>
      <c r="G1679" s="6" t="s">
        <v>43</v>
      </c>
      <c r="H1679" s="9" t="s">
        <v>42</v>
      </c>
      <c r="I1679" s="7" t="str">
        <f t="shared" si="104"/>
        <v>61001002001</v>
      </c>
      <c r="J1679" s="7" t="str">
        <f t="shared" si="105"/>
        <v>Материал по ЕГРН</v>
      </c>
      <c r="K1679" s="7">
        <f>VLOOKUP(J1679,Лист2!A$2:B$4,2,FALSE)</f>
        <v>792</v>
      </c>
      <c r="L1679" s="7" t="str">
        <f t="shared" si="106"/>
        <v>ГОТОВ_ИЗМЕНЕН</v>
      </c>
      <c r="M1679" s="7">
        <f t="shared" si="107"/>
        <v>0</v>
      </c>
    </row>
    <row r="1680" spans="1:13" x14ac:dyDescent="0.25">
      <c r="A1680" s="1">
        <v>944766</v>
      </c>
      <c r="B1680" s="6" t="s">
        <v>1798</v>
      </c>
      <c r="F1680" s="6" t="s">
        <v>9</v>
      </c>
      <c r="G1680" s="6" t="s">
        <v>38</v>
      </c>
      <c r="H1680" s="9" t="s">
        <v>33</v>
      </c>
      <c r="I1680" s="7" t="str">
        <f t="shared" si="104"/>
        <v>61001005000</v>
      </c>
      <c r="J1680" s="7" t="str">
        <f t="shared" si="105"/>
        <v>Материал по ЕГРН</v>
      </c>
      <c r="K1680" s="7">
        <f>VLOOKUP(J1680,Лист2!A$2:B$4,2,FALSE)</f>
        <v>792</v>
      </c>
      <c r="L1680" s="7" t="str">
        <f t="shared" si="106"/>
        <v>ГОТОВ_ИЗМЕНЕН</v>
      </c>
      <c r="M1680" s="7">
        <f t="shared" si="107"/>
        <v>0</v>
      </c>
    </row>
    <row r="1681" spans="1:13" x14ac:dyDescent="0.25">
      <c r="A1681" s="1">
        <v>944778</v>
      </c>
      <c r="B1681" s="6" t="s">
        <v>1799</v>
      </c>
      <c r="F1681" s="6" t="s">
        <v>9</v>
      </c>
      <c r="G1681" s="6" t="s">
        <v>34</v>
      </c>
      <c r="H1681" s="9" t="s">
        <v>35</v>
      </c>
      <c r="I1681" s="7" t="str">
        <f t="shared" si="104"/>
        <v>61001002000</v>
      </c>
      <c r="J1681" s="7" t="str">
        <f t="shared" si="105"/>
        <v>Материал по ЕГРН</v>
      </c>
      <c r="K1681" s="7">
        <f>VLOOKUP(J1681,Лист2!A$2:B$4,2,FALSE)</f>
        <v>792</v>
      </c>
      <c r="L1681" s="7" t="str">
        <f t="shared" si="106"/>
        <v>ГОТОВ_ИЗМЕНЕН</v>
      </c>
      <c r="M1681" s="7">
        <f t="shared" si="107"/>
        <v>0</v>
      </c>
    </row>
    <row r="1682" spans="1:13" x14ac:dyDescent="0.25">
      <c r="A1682" s="1">
        <v>944790</v>
      </c>
      <c r="B1682" s="6" t="s">
        <v>1800</v>
      </c>
      <c r="F1682" s="6" t="s">
        <v>9</v>
      </c>
      <c r="G1682" s="6" t="s">
        <v>10</v>
      </c>
      <c r="H1682" s="9" t="s">
        <v>11</v>
      </c>
      <c r="I1682" s="7" t="str">
        <f t="shared" si="104"/>
        <v>61001003000</v>
      </c>
      <c r="J1682" s="7" t="str">
        <f t="shared" si="105"/>
        <v>Материал по ЕГРН</v>
      </c>
      <c r="K1682" s="7">
        <f>VLOOKUP(J1682,Лист2!A$2:B$4,2,FALSE)</f>
        <v>792</v>
      </c>
      <c r="L1682" s="7" t="str">
        <f t="shared" si="106"/>
        <v>ГОТОВ_ИЗМЕНЕН</v>
      </c>
      <c r="M1682" s="7">
        <f t="shared" si="107"/>
        <v>0</v>
      </c>
    </row>
    <row r="1683" spans="1:13" x14ac:dyDescent="0.25">
      <c r="A1683" s="1">
        <v>944802</v>
      </c>
      <c r="B1683" s="6" t="s">
        <v>1801</v>
      </c>
      <c r="F1683" s="6" t="s">
        <v>9</v>
      </c>
      <c r="G1683" s="6" t="s">
        <v>10</v>
      </c>
      <c r="H1683" s="9" t="s">
        <v>11</v>
      </c>
      <c r="I1683" s="7" t="str">
        <f t="shared" si="104"/>
        <v>61001003000</v>
      </c>
      <c r="J1683" s="7" t="str">
        <f t="shared" si="105"/>
        <v>Материал по ЕГРН</v>
      </c>
      <c r="K1683" s="7">
        <f>VLOOKUP(J1683,Лист2!A$2:B$4,2,FALSE)</f>
        <v>792</v>
      </c>
      <c r="L1683" s="7" t="str">
        <f t="shared" si="106"/>
        <v>ГОТОВ_ИЗМЕНЕН</v>
      </c>
      <c r="M1683" s="7">
        <f t="shared" si="107"/>
        <v>0</v>
      </c>
    </row>
    <row r="1684" spans="1:13" x14ac:dyDescent="0.25">
      <c r="A1684" s="1">
        <v>944814</v>
      </c>
      <c r="B1684" s="6" t="s">
        <v>1802</v>
      </c>
      <c r="F1684" s="6" t="s">
        <v>9</v>
      </c>
      <c r="G1684" s="6" t="s">
        <v>90</v>
      </c>
      <c r="H1684" s="9" t="s">
        <v>12</v>
      </c>
      <c r="I1684" s="7" t="str">
        <f t="shared" si="104"/>
        <v>61001008000</v>
      </c>
      <c r="J1684" s="7" t="str">
        <f t="shared" si="105"/>
        <v>Материал по ЕГРН</v>
      </c>
      <c r="K1684" s="7">
        <f>VLOOKUP(J1684,Лист2!A$2:B$4,2,FALSE)</f>
        <v>792</v>
      </c>
      <c r="L1684" s="7" t="str">
        <f t="shared" si="106"/>
        <v>ГОТОВ_ИЗМЕНЕН</v>
      </c>
      <c r="M1684" s="7">
        <f t="shared" si="107"/>
        <v>0</v>
      </c>
    </row>
    <row r="1685" spans="1:13" x14ac:dyDescent="0.25">
      <c r="A1685" s="1">
        <v>944826</v>
      </c>
      <c r="B1685" s="6" t="s">
        <v>1803</v>
      </c>
      <c r="F1685" s="6" t="s">
        <v>9</v>
      </c>
      <c r="G1685" s="6" t="s">
        <v>38</v>
      </c>
      <c r="H1685" s="9" t="s">
        <v>33</v>
      </c>
      <c r="I1685" s="7" t="str">
        <f t="shared" si="104"/>
        <v>61001005000</v>
      </c>
      <c r="J1685" s="7" t="str">
        <f t="shared" si="105"/>
        <v>Материал по ЕГРН</v>
      </c>
      <c r="K1685" s="7">
        <f>VLOOKUP(J1685,Лист2!A$2:B$4,2,FALSE)</f>
        <v>792</v>
      </c>
      <c r="L1685" s="7" t="str">
        <f t="shared" si="106"/>
        <v>ГОТОВ_ИЗМЕНЕН</v>
      </c>
      <c r="M1685" s="7">
        <f t="shared" si="107"/>
        <v>0</v>
      </c>
    </row>
    <row r="1686" spans="1:13" x14ac:dyDescent="0.25">
      <c r="A1686" s="1">
        <v>944838</v>
      </c>
      <c r="B1686" s="6" t="s">
        <v>1804</v>
      </c>
      <c r="F1686" s="6" t="s">
        <v>9</v>
      </c>
      <c r="G1686" s="6" t="s">
        <v>90</v>
      </c>
      <c r="H1686" s="9" t="s">
        <v>12</v>
      </c>
      <c r="I1686" s="7" t="str">
        <f t="shared" si="104"/>
        <v>61001008000</v>
      </c>
      <c r="J1686" s="7" t="str">
        <f t="shared" si="105"/>
        <v>Материал по ЕГРН</v>
      </c>
      <c r="K1686" s="7">
        <f>VLOOKUP(J1686,Лист2!A$2:B$4,2,FALSE)</f>
        <v>792</v>
      </c>
      <c r="L1686" s="7" t="str">
        <f t="shared" si="106"/>
        <v>ГОТОВ_ИЗМЕНЕН</v>
      </c>
      <c r="M1686" s="7">
        <f t="shared" si="107"/>
        <v>0</v>
      </c>
    </row>
    <row r="1687" spans="1:13" x14ac:dyDescent="0.25">
      <c r="A1687" s="1">
        <v>944850</v>
      </c>
      <c r="B1687" s="6" t="s">
        <v>1805</v>
      </c>
      <c r="F1687" s="6" t="s">
        <v>9</v>
      </c>
      <c r="G1687" s="6" t="s">
        <v>38</v>
      </c>
      <c r="H1687" s="9" t="s">
        <v>33</v>
      </c>
      <c r="I1687" s="7" t="str">
        <f t="shared" si="104"/>
        <v>61001005000</v>
      </c>
      <c r="J1687" s="7" t="str">
        <f t="shared" si="105"/>
        <v>Материал по ЕГРН</v>
      </c>
      <c r="K1687" s="7">
        <f>VLOOKUP(J1687,Лист2!A$2:B$4,2,FALSE)</f>
        <v>792</v>
      </c>
      <c r="L1687" s="7" t="str">
        <f t="shared" si="106"/>
        <v>ГОТОВ_ИЗМЕНЕН</v>
      </c>
      <c r="M1687" s="7">
        <f t="shared" si="107"/>
        <v>0</v>
      </c>
    </row>
    <row r="1688" spans="1:13" x14ac:dyDescent="0.25">
      <c r="A1688" s="1">
        <v>944862</v>
      </c>
      <c r="B1688" s="6" t="s">
        <v>1806</v>
      </c>
      <c r="F1688" s="6" t="s">
        <v>9</v>
      </c>
      <c r="G1688" s="6" t="s">
        <v>38</v>
      </c>
      <c r="H1688" s="9" t="s">
        <v>33</v>
      </c>
      <c r="I1688" s="7" t="str">
        <f t="shared" si="104"/>
        <v>61001005000</v>
      </c>
      <c r="J1688" s="7" t="str">
        <f t="shared" si="105"/>
        <v>Материал по ЕГРН</v>
      </c>
      <c r="K1688" s="7">
        <f>VLOOKUP(J1688,Лист2!A$2:B$4,2,FALSE)</f>
        <v>792</v>
      </c>
      <c r="L1688" s="7" t="str">
        <f t="shared" si="106"/>
        <v>ГОТОВ_ИЗМЕНЕН</v>
      </c>
      <c r="M1688" s="7">
        <f t="shared" si="107"/>
        <v>0</v>
      </c>
    </row>
    <row r="1689" spans="1:13" x14ac:dyDescent="0.25">
      <c r="A1689" s="1">
        <v>944874</v>
      </c>
      <c r="B1689" s="6" t="s">
        <v>1807</v>
      </c>
      <c r="F1689" s="6" t="s">
        <v>9</v>
      </c>
      <c r="G1689" s="6" t="s">
        <v>38</v>
      </c>
      <c r="H1689" s="9" t="s">
        <v>33</v>
      </c>
      <c r="I1689" s="7" t="str">
        <f t="shared" si="104"/>
        <v>61001005000</v>
      </c>
      <c r="J1689" s="7" t="str">
        <f t="shared" si="105"/>
        <v>Материал по ЕГРН</v>
      </c>
      <c r="K1689" s="7">
        <f>VLOOKUP(J1689,Лист2!A$2:B$4,2,FALSE)</f>
        <v>792</v>
      </c>
      <c r="L1689" s="7" t="str">
        <f t="shared" si="106"/>
        <v>ГОТОВ_ИЗМЕНЕН</v>
      </c>
      <c r="M1689" s="7">
        <f t="shared" si="107"/>
        <v>0</v>
      </c>
    </row>
    <row r="1690" spans="1:13" x14ac:dyDescent="0.25">
      <c r="A1690" s="1">
        <v>944886</v>
      </c>
      <c r="B1690" s="6" t="s">
        <v>1808</v>
      </c>
      <c r="F1690" s="6" t="s">
        <v>9</v>
      </c>
      <c r="G1690" s="6" t="s">
        <v>38</v>
      </c>
      <c r="H1690" s="9" t="s">
        <v>33</v>
      </c>
      <c r="I1690" s="7" t="str">
        <f t="shared" si="104"/>
        <v>61001005000</v>
      </c>
      <c r="J1690" s="7" t="str">
        <f t="shared" si="105"/>
        <v>Материал по ЕГРН</v>
      </c>
      <c r="K1690" s="7">
        <f>VLOOKUP(J1690,Лист2!A$2:B$4,2,FALSE)</f>
        <v>792</v>
      </c>
      <c r="L1690" s="7" t="str">
        <f t="shared" si="106"/>
        <v>ГОТОВ_ИЗМЕНЕН</v>
      </c>
      <c r="M1690" s="7">
        <f t="shared" si="107"/>
        <v>0</v>
      </c>
    </row>
    <row r="1691" spans="1:13" x14ac:dyDescent="0.25">
      <c r="A1691" s="1">
        <v>944898</v>
      </c>
      <c r="B1691" s="6" t="s">
        <v>1809</v>
      </c>
      <c r="F1691" s="6" t="s">
        <v>9</v>
      </c>
      <c r="G1691" s="6" t="s">
        <v>10</v>
      </c>
      <c r="H1691" s="9" t="s">
        <v>11</v>
      </c>
      <c r="I1691" s="7" t="str">
        <f t="shared" si="104"/>
        <v>61001003000</v>
      </c>
      <c r="J1691" s="7" t="str">
        <f t="shared" si="105"/>
        <v>Материал по ЕГРН</v>
      </c>
      <c r="K1691" s="7">
        <f>VLOOKUP(J1691,Лист2!A$2:B$4,2,FALSE)</f>
        <v>792</v>
      </c>
      <c r="L1691" s="7" t="str">
        <f t="shared" si="106"/>
        <v>ГОТОВ_ИЗМЕНЕН</v>
      </c>
      <c r="M1691" s="7">
        <f t="shared" si="107"/>
        <v>0</v>
      </c>
    </row>
    <row r="1692" spans="1:13" x14ac:dyDescent="0.25">
      <c r="A1692" s="1">
        <v>1405</v>
      </c>
      <c r="B1692" s="6" t="s">
        <v>1810</v>
      </c>
      <c r="C1692" s="9" t="s">
        <v>42</v>
      </c>
      <c r="D1692" s="6" t="s">
        <v>20</v>
      </c>
      <c r="E1692" s="6" t="s">
        <v>37</v>
      </c>
      <c r="F1692" s="6" t="s">
        <v>9</v>
      </c>
      <c r="G1692" s="6" t="s">
        <v>43</v>
      </c>
      <c r="H1692" s="9" t="s">
        <v>42</v>
      </c>
      <c r="I1692" s="7" t="str">
        <f t="shared" si="104"/>
        <v>61001002001</v>
      </c>
      <c r="J1692" s="7" t="str">
        <f t="shared" si="105"/>
        <v>Материал по ЕГРН</v>
      </c>
      <c r="K1692" s="7">
        <f>VLOOKUP(J1692,Лист2!A$2:B$4,2,FALSE)</f>
        <v>792</v>
      </c>
      <c r="L1692" s="7" t="str">
        <f t="shared" si="106"/>
        <v>ГОТОВ</v>
      </c>
      <c r="M1692" s="7" t="str">
        <f t="shared" si="107"/>
        <v>61001002001</v>
      </c>
    </row>
    <row r="1693" spans="1:13" x14ac:dyDescent="0.25">
      <c r="A1693" s="1">
        <v>350565</v>
      </c>
      <c r="B1693" s="6" t="s">
        <v>1811</v>
      </c>
      <c r="C1693" s="9" t="s">
        <v>60</v>
      </c>
      <c r="D1693" s="6" t="s">
        <v>20</v>
      </c>
      <c r="E1693" s="6" t="s">
        <v>37</v>
      </c>
      <c r="F1693" s="6" t="s">
        <v>9</v>
      </c>
      <c r="G1693" s="6" t="s">
        <v>59</v>
      </c>
      <c r="H1693" s="9" t="s">
        <v>60</v>
      </c>
      <c r="I1693" s="7" t="str">
        <f t="shared" si="104"/>
        <v>61001001001</v>
      </c>
      <c r="J1693" s="7" t="str">
        <f t="shared" si="105"/>
        <v>Материал по ЕГРН</v>
      </c>
      <c r="K1693" s="7">
        <f>VLOOKUP(J1693,Лист2!A$2:B$4,2,FALSE)</f>
        <v>792</v>
      </c>
      <c r="L1693" s="7" t="str">
        <f t="shared" si="106"/>
        <v>ГОТОВ</v>
      </c>
      <c r="M1693" s="7" t="str">
        <f t="shared" si="107"/>
        <v>61001001001</v>
      </c>
    </row>
    <row r="1694" spans="1:13" x14ac:dyDescent="0.25">
      <c r="A1694" s="1">
        <v>384552</v>
      </c>
      <c r="B1694" s="6" t="s">
        <v>1812</v>
      </c>
      <c r="C1694" s="9" t="s">
        <v>33</v>
      </c>
      <c r="D1694" s="6" t="s">
        <v>20</v>
      </c>
      <c r="E1694" s="6" t="s">
        <v>37</v>
      </c>
      <c r="F1694" s="6" t="s">
        <v>9</v>
      </c>
      <c r="G1694" s="6" t="s">
        <v>38</v>
      </c>
      <c r="H1694" s="9" t="s">
        <v>33</v>
      </c>
      <c r="I1694" s="7" t="str">
        <f t="shared" si="104"/>
        <v>61001005000</v>
      </c>
      <c r="J1694" s="7" t="str">
        <f t="shared" si="105"/>
        <v>Материал по ЕГРН</v>
      </c>
      <c r="K1694" s="7">
        <f>VLOOKUP(J1694,Лист2!A$2:B$4,2,FALSE)</f>
        <v>792</v>
      </c>
      <c r="L1694" s="7" t="str">
        <f t="shared" si="106"/>
        <v>ГОТОВ</v>
      </c>
      <c r="M1694" s="7" t="str">
        <f t="shared" si="107"/>
        <v>61001005000</v>
      </c>
    </row>
    <row r="1695" spans="1:13" x14ac:dyDescent="0.25">
      <c r="A1695" s="1">
        <v>736173</v>
      </c>
      <c r="B1695" s="6" t="s">
        <v>1813</v>
      </c>
      <c r="C1695" s="9" t="s">
        <v>42</v>
      </c>
      <c r="D1695" s="6" t="s">
        <v>20</v>
      </c>
      <c r="E1695" s="6" t="s">
        <v>37</v>
      </c>
      <c r="F1695" s="6" t="s">
        <v>9</v>
      </c>
      <c r="G1695" s="6" t="s">
        <v>43</v>
      </c>
      <c r="H1695" s="9" t="s">
        <v>42</v>
      </c>
      <c r="I1695" s="7" t="str">
        <f t="shared" si="104"/>
        <v>61001002001</v>
      </c>
      <c r="J1695" s="7" t="str">
        <f t="shared" si="105"/>
        <v>Материал по ЕГРН</v>
      </c>
      <c r="K1695" s="7">
        <f>VLOOKUP(J1695,Лист2!A$2:B$4,2,FALSE)</f>
        <v>792</v>
      </c>
      <c r="L1695" s="7" t="str">
        <f t="shared" si="106"/>
        <v>ГОТОВ</v>
      </c>
      <c r="M1695" s="7" t="str">
        <f t="shared" si="107"/>
        <v>61001002001</v>
      </c>
    </row>
    <row r="1696" spans="1:13" x14ac:dyDescent="0.25">
      <c r="A1696" s="1">
        <v>906465</v>
      </c>
      <c r="B1696" s="6" t="s">
        <v>1814</v>
      </c>
      <c r="C1696" s="9" t="s">
        <v>33</v>
      </c>
      <c r="D1696" s="6" t="s">
        <v>14</v>
      </c>
      <c r="E1696" s="6" t="s">
        <v>37</v>
      </c>
      <c r="F1696" s="6" t="s">
        <v>9</v>
      </c>
      <c r="G1696" s="6" t="s">
        <v>38</v>
      </c>
      <c r="H1696" s="9" t="s">
        <v>33</v>
      </c>
      <c r="I1696" s="7" t="str">
        <f t="shared" si="104"/>
        <v>61001005000</v>
      </c>
      <c r="J1696" s="7" t="str">
        <f t="shared" si="105"/>
        <v>Материал по ЕГРН</v>
      </c>
      <c r="K1696" s="7">
        <f>VLOOKUP(J1696,Лист2!A$2:B$4,2,FALSE)</f>
        <v>792</v>
      </c>
      <c r="L1696" s="7" t="str">
        <f t="shared" si="106"/>
        <v>ГОТОВ</v>
      </c>
      <c r="M1696" s="7" t="str">
        <f t="shared" si="107"/>
        <v>61001005000</v>
      </c>
    </row>
    <row r="1697" spans="1:13" x14ac:dyDescent="0.25">
      <c r="A1697" s="1">
        <v>946174</v>
      </c>
      <c r="B1697" s="6" t="s">
        <v>1815</v>
      </c>
      <c r="F1697" s="6" t="s">
        <v>9</v>
      </c>
      <c r="G1697" s="6" t="s">
        <v>62</v>
      </c>
      <c r="H1697" s="9" t="s">
        <v>63</v>
      </c>
      <c r="I1697" s="7" t="str">
        <f t="shared" si="104"/>
        <v>61001006002</v>
      </c>
      <c r="J1697" s="7" t="str">
        <f t="shared" si="105"/>
        <v>Материал по ЕГРН</v>
      </c>
      <c r="K1697" s="7">
        <f>VLOOKUP(J1697,Лист2!A$2:B$4,2,FALSE)</f>
        <v>792</v>
      </c>
      <c r="L1697" s="7" t="str">
        <f t="shared" si="106"/>
        <v>ГОТОВ_ИЗМЕНЕН</v>
      </c>
      <c r="M1697" s="7">
        <f t="shared" si="107"/>
        <v>0</v>
      </c>
    </row>
    <row r="1698" spans="1:13" x14ac:dyDescent="0.25">
      <c r="A1698" s="1">
        <v>946186</v>
      </c>
      <c r="B1698" s="6" t="s">
        <v>1816</v>
      </c>
      <c r="F1698" s="6" t="s">
        <v>9</v>
      </c>
      <c r="G1698" s="6" t="s">
        <v>38</v>
      </c>
      <c r="H1698" s="9" t="s">
        <v>33</v>
      </c>
      <c r="I1698" s="7" t="str">
        <f t="shared" si="104"/>
        <v>61001005000</v>
      </c>
      <c r="J1698" s="7" t="str">
        <f t="shared" si="105"/>
        <v>Материал по ЕГРН</v>
      </c>
      <c r="K1698" s="7">
        <f>VLOOKUP(J1698,Лист2!A$2:B$4,2,FALSE)</f>
        <v>792</v>
      </c>
      <c r="L1698" s="7" t="str">
        <f t="shared" si="106"/>
        <v>ГОТОВ_ИЗМЕНЕН</v>
      </c>
      <c r="M1698" s="7">
        <f t="shared" si="107"/>
        <v>0</v>
      </c>
    </row>
    <row r="1699" spans="1:13" x14ac:dyDescent="0.25">
      <c r="A1699" s="1">
        <v>946198</v>
      </c>
      <c r="B1699" s="6" t="s">
        <v>1817</v>
      </c>
      <c r="F1699" s="6" t="s">
        <v>9</v>
      </c>
      <c r="G1699" s="6" t="s">
        <v>38</v>
      </c>
      <c r="H1699" s="9" t="s">
        <v>33</v>
      </c>
      <c r="I1699" s="7" t="str">
        <f t="shared" si="104"/>
        <v>61001005000</v>
      </c>
      <c r="J1699" s="7" t="str">
        <f t="shared" si="105"/>
        <v>Материал по ЕГРН</v>
      </c>
      <c r="K1699" s="7">
        <f>VLOOKUP(J1699,Лист2!A$2:B$4,2,FALSE)</f>
        <v>792</v>
      </c>
      <c r="L1699" s="7" t="str">
        <f t="shared" si="106"/>
        <v>ГОТОВ_ИЗМЕНЕН</v>
      </c>
      <c r="M1699" s="7">
        <f t="shared" si="107"/>
        <v>0</v>
      </c>
    </row>
    <row r="1700" spans="1:13" x14ac:dyDescent="0.25">
      <c r="A1700" s="1">
        <v>946210</v>
      </c>
      <c r="B1700" s="6" t="s">
        <v>1818</v>
      </c>
      <c r="F1700" s="6" t="s">
        <v>9</v>
      </c>
      <c r="G1700" s="6" t="s">
        <v>59</v>
      </c>
      <c r="H1700" s="9" t="s">
        <v>60</v>
      </c>
      <c r="I1700" s="7" t="str">
        <f t="shared" si="104"/>
        <v>61001001001</v>
      </c>
      <c r="J1700" s="7" t="str">
        <f t="shared" si="105"/>
        <v>Материал по ЕГРН</v>
      </c>
      <c r="K1700" s="7">
        <f>VLOOKUP(J1700,Лист2!A$2:B$4,2,FALSE)</f>
        <v>792</v>
      </c>
      <c r="L1700" s="7" t="str">
        <f t="shared" si="106"/>
        <v>ГОТОВ_ИЗМЕНЕН</v>
      </c>
      <c r="M1700" s="7">
        <f t="shared" si="107"/>
        <v>0</v>
      </c>
    </row>
    <row r="1701" spans="1:13" x14ac:dyDescent="0.25">
      <c r="A1701" s="1">
        <v>946222</v>
      </c>
      <c r="B1701" s="6" t="s">
        <v>1819</v>
      </c>
      <c r="F1701" s="6" t="s">
        <v>9</v>
      </c>
      <c r="G1701" s="6" t="s">
        <v>59</v>
      </c>
      <c r="H1701" s="9" t="s">
        <v>60</v>
      </c>
      <c r="I1701" s="7" t="str">
        <f t="shared" si="104"/>
        <v>61001001001</v>
      </c>
      <c r="J1701" s="7" t="str">
        <f t="shared" si="105"/>
        <v>Материал по ЕГРН</v>
      </c>
      <c r="K1701" s="7">
        <f>VLOOKUP(J1701,Лист2!A$2:B$4,2,FALSE)</f>
        <v>792</v>
      </c>
      <c r="L1701" s="7" t="str">
        <f t="shared" si="106"/>
        <v>ГОТОВ_ИЗМЕНЕН</v>
      </c>
      <c r="M1701" s="7">
        <f t="shared" si="107"/>
        <v>0</v>
      </c>
    </row>
    <row r="1702" spans="1:13" x14ac:dyDescent="0.25">
      <c r="A1702" s="1">
        <v>946234</v>
      </c>
      <c r="B1702" s="6" t="s">
        <v>1820</v>
      </c>
      <c r="F1702" s="6" t="s">
        <v>9</v>
      </c>
      <c r="G1702" s="6" t="s">
        <v>38</v>
      </c>
      <c r="H1702" s="9" t="s">
        <v>33</v>
      </c>
      <c r="I1702" s="7" t="str">
        <f t="shared" si="104"/>
        <v>61001005000</v>
      </c>
      <c r="J1702" s="7" t="str">
        <f t="shared" si="105"/>
        <v>Материал по ЕГРН</v>
      </c>
      <c r="K1702" s="7">
        <f>VLOOKUP(J1702,Лист2!A$2:B$4,2,FALSE)</f>
        <v>792</v>
      </c>
      <c r="L1702" s="7" t="str">
        <f t="shared" si="106"/>
        <v>ГОТОВ_ИЗМЕНЕН</v>
      </c>
      <c r="M1702" s="7">
        <f t="shared" si="107"/>
        <v>0</v>
      </c>
    </row>
    <row r="1703" spans="1:13" x14ac:dyDescent="0.25">
      <c r="A1703" s="1">
        <v>946246</v>
      </c>
      <c r="B1703" s="6" t="s">
        <v>1821</v>
      </c>
      <c r="F1703" s="6" t="s">
        <v>9</v>
      </c>
      <c r="G1703" s="6" t="s">
        <v>34</v>
      </c>
      <c r="H1703" s="9" t="s">
        <v>35</v>
      </c>
      <c r="I1703" s="7" t="str">
        <f t="shared" si="104"/>
        <v>61001002000</v>
      </c>
      <c r="J1703" s="7" t="str">
        <f t="shared" si="105"/>
        <v>Материал по ЕГРН</v>
      </c>
      <c r="K1703" s="7">
        <f>VLOOKUP(J1703,Лист2!A$2:B$4,2,FALSE)</f>
        <v>792</v>
      </c>
      <c r="L1703" s="7" t="str">
        <f t="shared" si="106"/>
        <v>ГОТОВ_ИЗМЕНЕН</v>
      </c>
      <c r="M1703" s="7">
        <f t="shared" si="107"/>
        <v>0</v>
      </c>
    </row>
    <row r="1704" spans="1:13" x14ac:dyDescent="0.25">
      <c r="A1704" s="1">
        <v>946258</v>
      </c>
      <c r="B1704" s="6" t="s">
        <v>1822</v>
      </c>
      <c r="F1704" s="6" t="s">
        <v>9</v>
      </c>
      <c r="G1704" s="6" t="s">
        <v>38</v>
      </c>
      <c r="H1704" s="9" t="s">
        <v>33</v>
      </c>
      <c r="I1704" s="7" t="str">
        <f t="shared" si="104"/>
        <v>61001005000</v>
      </c>
      <c r="J1704" s="7" t="str">
        <f t="shared" si="105"/>
        <v>Материал по ЕГРН</v>
      </c>
      <c r="K1704" s="7">
        <f>VLOOKUP(J1704,Лист2!A$2:B$4,2,FALSE)</f>
        <v>792</v>
      </c>
      <c r="L1704" s="7" t="str">
        <f t="shared" si="106"/>
        <v>ГОТОВ_ИЗМЕНЕН</v>
      </c>
      <c r="M1704" s="7">
        <f t="shared" si="107"/>
        <v>0</v>
      </c>
    </row>
    <row r="1705" spans="1:13" x14ac:dyDescent="0.25">
      <c r="A1705" s="1">
        <v>946270</v>
      </c>
      <c r="B1705" s="6" t="s">
        <v>1823</v>
      </c>
      <c r="F1705" s="6" t="s">
        <v>9</v>
      </c>
      <c r="G1705" s="6" t="s">
        <v>38</v>
      </c>
      <c r="H1705" s="9" t="s">
        <v>33</v>
      </c>
      <c r="I1705" s="7" t="str">
        <f t="shared" si="104"/>
        <v>61001005000</v>
      </c>
      <c r="J1705" s="7" t="str">
        <f t="shared" si="105"/>
        <v>Материал по ЕГРН</v>
      </c>
      <c r="K1705" s="7">
        <f>VLOOKUP(J1705,Лист2!A$2:B$4,2,FALSE)</f>
        <v>792</v>
      </c>
      <c r="L1705" s="7" t="str">
        <f t="shared" si="106"/>
        <v>ГОТОВ_ИЗМЕНЕН</v>
      </c>
      <c r="M1705" s="7">
        <f t="shared" si="107"/>
        <v>0</v>
      </c>
    </row>
    <row r="1706" spans="1:13" x14ac:dyDescent="0.25">
      <c r="A1706" s="1">
        <v>946282</v>
      </c>
      <c r="B1706" s="6" t="s">
        <v>1824</v>
      </c>
      <c r="F1706" s="6" t="s">
        <v>9</v>
      </c>
      <c r="G1706" s="6" t="s">
        <v>38</v>
      </c>
      <c r="H1706" s="9" t="s">
        <v>33</v>
      </c>
      <c r="I1706" s="7" t="str">
        <f t="shared" si="104"/>
        <v>61001005000</v>
      </c>
      <c r="J1706" s="7" t="str">
        <f t="shared" si="105"/>
        <v>Материал по ЕГРН</v>
      </c>
      <c r="K1706" s="7">
        <f>VLOOKUP(J1706,Лист2!A$2:B$4,2,FALSE)</f>
        <v>792</v>
      </c>
      <c r="L1706" s="7" t="str">
        <f t="shared" si="106"/>
        <v>ГОТОВ_ИЗМЕНЕН</v>
      </c>
      <c r="M1706" s="7">
        <f t="shared" si="107"/>
        <v>0</v>
      </c>
    </row>
    <row r="1707" spans="1:13" x14ac:dyDescent="0.25">
      <c r="A1707" s="1">
        <v>946294</v>
      </c>
      <c r="B1707" s="6" t="s">
        <v>1825</v>
      </c>
      <c r="F1707" s="6" t="s">
        <v>9</v>
      </c>
      <c r="G1707" s="6" t="s">
        <v>38</v>
      </c>
      <c r="H1707" s="9" t="s">
        <v>33</v>
      </c>
      <c r="I1707" s="7" t="str">
        <f t="shared" si="104"/>
        <v>61001005000</v>
      </c>
      <c r="J1707" s="7" t="str">
        <f t="shared" si="105"/>
        <v>Материал по ЕГРН</v>
      </c>
      <c r="K1707" s="7">
        <f>VLOOKUP(J1707,Лист2!A$2:B$4,2,FALSE)</f>
        <v>792</v>
      </c>
      <c r="L1707" s="7" t="str">
        <f t="shared" si="106"/>
        <v>ГОТОВ_ИЗМЕНЕН</v>
      </c>
      <c r="M1707" s="7">
        <f t="shared" si="107"/>
        <v>0</v>
      </c>
    </row>
    <row r="1708" spans="1:13" x14ac:dyDescent="0.25">
      <c r="A1708" s="1">
        <v>946306</v>
      </c>
      <c r="B1708" s="6" t="s">
        <v>1826</v>
      </c>
      <c r="F1708" s="6" t="s">
        <v>9</v>
      </c>
      <c r="G1708" s="6" t="s">
        <v>59</v>
      </c>
      <c r="H1708" s="9" t="s">
        <v>60</v>
      </c>
      <c r="I1708" s="7" t="str">
        <f t="shared" si="104"/>
        <v>61001001001</v>
      </c>
      <c r="J1708" s="7" t="str">
        <f t="shared" si="105"/>
        <v>Материал по ЕГРН</v>
      </c>
      <c r="K1708" s="7">
        <f>VLOOKUP(J1708,Лист2!A$2:B$4,2,FALSE)</f>
        <v>792</v>
      </c>
      <c r="L1708" s="7" t="str">
        <f t="shared" si="106"/>
        <v>ГОТОВ_ИЗМЕНЕН</v>
      </c>
      <c r="M1708" s="7">
        <f t="shared" si="107"/>
        <v>0</v>
      </c>
    </row>
    <row r="1709" spans="1:13" x14ac:dyDescent="0.25">
      <c r="A1709" s="1">
        <v>946318</v>
      </c>
      <c r="B1709" s="6" t="s">
        <v>1827</v>
      </c>
      <c r="F1709" s="6" t="s">
        <v>9</v>
      </c>
      <c r="G1709" s="6" t="s">
        <v>38</v>
      </c>
      <c r="H1709" s="9" t="s">
        <v>33</v>
      </c>
      <c r="I1709" s="7" t="str">
        <f t="shared" si="104"/>
        <v>61001005000</v>
      </c>
      <c r="J1709" s="7" t="str">
        <f t="shared" si="105"/>
        <v>Материал по ЕГРН</v>
      </c>
      <c r="K1709" s="7">
        <f>VLOOKUP(J1709,Лист2!A$2:B$4,2,FALSE)</f>
        <v>792</v>
      </c>
      <c r="L1709" s="7" t="str">
        <f t="shared" si="106"/>
        <v>ГОТОВ_ИЗМЕНЕН</v>
      </c>
      <c r="M1709" s="7">
        <f t="shared" si="107"/>
        <v>0</v>
      </c>
    </row>
    <row r="1710" spans="1:13" x14ac:dyDescent="0.25">
      <c r="A1710" s="1">
        <v>946330</v>
      </c>
      <c r="B1710" s="6" t="s">
        <v>1828</v>
      </c>
      <c r="F1710" s="6" t="s">
        <v>9</v>
      </c>
      <c r="G1710" s="6" t="s">
        <v>38</v>
      </c>
      <c r="H1710" s="9" t="s">
        <v>33</v>
      </c>
      <c r="I1710" s="7" t="str">
        <f t="shared" si="104"/>
        <v>61001005000</v>
      </c>
      <c r="J1710" s="7" t="str">
        <f t="shared" si="105"/>
        <v>Материал по ЕГРН</v>
      </c>
      <c r="K1710" s="7">
        <f>VLOOKUP(J1710,Лист2!A$2:B$4,2,FALSE)</f>
        <v>792</v>
      </c>
      <c r="L1710" s="7" t="str">
        <f t="shared" si="106"/>
        <v>ГОТОВ_ИЗМЕНЕН</v>
      </c>
      <c r="M1710" s="7">
        <f t="shared" si="107"/>
        <v>0</v>
      </c>
    </row>
    <row r="1711" spans="1:13" x14ac:dyDescent="0.25">
      <c r="A1711" s="1">
        <v>946342</v>
      </c>
      <c r="B1711" s="6" t="s">
        <v>1829</v>
      </c>
      <c r="F1711" s="6" t="s">
        <v>9</v>
      </c>
      <c r="G1711" s="6" t="s">
        <v>59</v>
      </c>
      <c r="H1711" s="9" t="s">
        <v>60</v>
      </c>
      <c r="I1711" s="7" t="str">
        <f t="shared" si="104"/>
        <v>61001001001</v>
      </c>
      <c r="J1711" s="7" t="str">
        <f t="shared" si="105"/>
        <v>Материал по ЕГРН</v>
      </c>
      <c r="K1711" s="7">
        <f>VLOOKUP(J1711,Лист2!A$2:B$4,2,FALSE)</f>
        <v>792</v>
      </c>
      <c r="L1711" s="7" t="str">
        <f t="shared" si="106"/>
        <v>ГОТОВ_ИЗМЕНЕН</v>
      </c>
      <c r="M1711" s="7">
        <f t="shared" si="107"/>
        <v>0</v>
      </c>
    </row>
    <row r="1712" spans="1:13" x14ac:dyDescent="0.25">
      <c r="A1712" s="1">
        <v>946354</v>
      </c>
      <c r="B1712" s="6" t="s">
        <v>1830</v>
      </c>
      <c r="F1712" s="6" t="s">
        <v>9</v>
      </c>
      <c r="G1712" s="6" t="s">
        <v>90</v>
      </c>
      <c r="H1712" s="9" t="s">
        <v>12</v>
      </c>
      <c r="I1712" s="7" t="str">
        <f t="shared" si="104"/>
        <v>61001008000</v>
      </c>
      <c r="J1712" s="7" t="str">
        <f t="shared" si="105"/>
        <v>Материал по ЕГРН</v>
      </c>
      <c r="K1712" s="7">
        <f>VLOOKUP(J1712,Лист2!A$2:B$4,2,FALSE)</f>
        <v>792</v>
      </c>
      <c r="L1712" s="7" t="str">
        <f t="shared" si="106"/>
        <v>ГОТОВ_ИЗМЕНЕН</v>
      </c>
      <c r="M1712" s="7">
        <f t="shared" si="107"/>
        <v>0</v>
      </c>
    </row>
    <row r="1713" spans="1:13" x14ac:dyDescent="0.25">
      <c r="A1713" s="1">
        <v>946366</v>
      </c>
      <c r="B1713" s="6" t="s">
        <v>1831</v>
      </c>
      <c r="F1713" s="6" t="s">
        <v>9</v>
      </c>
      <c r="G1713" s="6" t="s">
        <v>38</v>
      </c>
      <c r="H1713" s="9" t="s">
        <v>33</v>
      </c>
      <c r="I1713" s="7" t="str">
        <f t="shared" si="104"/>
        <v>61001005000</v>
      </c>
      <c r="J1713" s="7" t="str">
        <f t="shared" si="105"/>
        <v>Материал по ЕГРН</v>
      </c>
      <c r="K1713" s="7">
        <f>VLOOKUP(J1713,Лист2!A$2:B$4,2,FALSE)</f>
        <v>792</v>
      </c>
      <c r="L1713" s="7" t="str">
        <f t="shared" si="106"/>
        <v>ГОТОВ_ИЗМЕНЕН</v>
      </c>
      <c r="M1713" s="7">
        <f t="shared" si="107"/>
        <v>0</v>
      </c>
    </row>
    <row r="1714" spans="1:13" x14ac:dyDescent="0.25">
      <c r="A1714" s="1">
        <v>946378</v>
      </c>
      <c r="B1714" s="6" t="s">
        <v>1832</v>
      </c>
      <c r="F1714" s="6" t="s">
        <v>9</v>
      </c>
      <c r="G1714" s="6" t="s">
        <v>38</v>
      </c>
      <c r="H1714" s="9" t="s">
        <v>33</v>
      </c>
      <c r="I1714" s="7" t="str">
        <f t="shared" si="104"/>
        <v>61001005000</v>
      </c>
      <c r="J1714" s="7" t="str">
        <f t="shared" si="105"/>
        <v>Материал по ЕГРН</v>
      </c>
      <c r="K1714" s="7">
        <f>VLOOKUP(J1714,Лист2!A$2:B$4,2,FALSE)</f>
        <v>792</v>
      </c>
      <c r="L1714" s="7" t="str">
        <f t="shared" si="106"/>
        <v>ГОТОВ_ИЗМЕНЕН</v>
      </c>
      <c r="M1714" s="7">
        <f t="shared" si="107"/>
        <v>0</v>
      </c>
    </row>
    <row r="1715" spans="1:13" x14ac:dyDescent="0.25">
      <c r="A1715" s="1">
        <v>946390</v>
      </c>
      <c r="B1715" s="6" t="s">
        <v>1833</v>
      </c>
      <c r="F1715" s="6" t="s">
        <v>9</v>
      </c>
      <c r="G1715" s="6" t="s">
        <v>62</v>
      </c>
      <c r="H1715" s="9" t="s">
        <v>63</v>
      </c>
      <c r="I1715" s="7" t="str">
        <f t="shared" si="104"/>
        <v>61001006002</v>
      </c>
      <c r="J1715" s="7" t="str">
        <f t="shared" si="105"/>
        <v>Материал по ЕГРН</v>
      </c>
      <c r="K1715" s="7">
        <f>VLOOKUP(J1715,Лист2!A$2:B$4,2,FALSE)</f>
        <v>792</v>
      </c>
      <c r="L1715" s="7" t="str">
        <f t="shared" si="106"/>
        <v>ГОТОВ_ИЗМЕНЕН</v>
      </c>
      <c r="M1715" s="7">
        <f t="shared" si="107"/>
        <v>0</v>
      </c>
    </row>
    <row r="1716" spans="1:13" x14ac:dyDescent="0.25">
      <c r="A1716" s="1">
        <v>176889</v>
      </c>
      <c r="B1716" s="6" t="s">
        <v>1834</v>
      </c>
      <c r="C1716" s="9" t="s">
        <v>33</v>
      </c>
      <c r="D1716" s="6" t="s">
        <v>20</v>
      </c>
      <c r="E1716" s="6" t="s">
        <v>37</v>
      </c>
      <c r="F1716" s="6" t="s">
        <v>9</v>
      </c>
      <c r="G1716" s="6" t="s">
        <v>38</v>
      </c>
      <c r="H1716" s="9" t="s">
        <v>33</v>
      </c>
      <c r="I1716" s="7" t="str">
        <f t="shared" si="104"/>
        <v>61001005000</v>
      </c>
      <c r="J1716" s="7" t="str">
        <f t="shared" si="105"/>
        <v>Материал по ЕГРН</v>
      </c>
      <c r="K1716" s="7">
        <f>VLOOKUP(J1716,Лист2!A$2:B$4,2,FALSE)</f>
        <v>792</v>
      </c>
      <c r="L1716" s="7" t="str">
        <f t="shared" si="106"/>
        <v>ГОТОВ</v>
      </c>
      <c r="M1716" s="7" t="str">
        <f t="shared" si="107"/>
        <v>61001005000</v>
      </c>
    </row>
    <row r="1717" spans="1:13" x14ac:dyDescent="0.25">
      <c r="A1717" s="1">
        <v>527684</v>
      </c>
      <c r="B1717" s="6" t="s">
        <v>1835</v>
      </c>
      <c r="C1717" s="9" t="s">
        <v>33</v>
      </c>
      <c r="D1717" s="6" t="s">
        <v>20</v>
      </c>
      <c r="E1717" s="6" t="s">
        <v>37</v>
      </c>
      <c r="F1717" s="6" t="s">
        <v>9</v>
      </c>
      <c r="G1717" s="6" t="s">
        <v>38</v>
      </c>
      <c r="H1717" s="9" t="s">
        <v>33</v>
      </c>
      <c r="I1717" s="7" t="str">
        <f t="shared" si="104"/>
        <v>61001005000</v>
      </c>
      <c r="J1717" s="7" t="str">
        <f t="shared" si="105"/>
        <v>Материал по ЕГРН</v>
      </c>
      <c r="K1717" s="7">
        <f>VLOOKUP(J1717,Лист2!A$2:B$4,2,FALSE)</f>
        <v>792</v>
      </c>
      <c r="L1717" s="7" t="str">
        <f t="shared" si="106"/>
        <v>ГОТОВ</v>
      </c>
      <c r="M1717" s="7" t="str">
        <f t="shared" si="107"/>
        <v>61001005000</v>
      </c>
    </row>
    <row r="1718" spans="1:13" x14ac:dyDescent="0.25">
      <c r="A1718" s="1">
        <v>694939</v>
      </c>
      <c r="B1718" s="6" t="s">
        <v>1836</v>
      </c>
      <c r="C1718" s="9" t="s">
        <v>42</v>
      </c>
      <c r="D1718" s="6" t="s">
        <v>20</v>
      </c>
      <c r="E1718" s="6" t="s">
        <v>8</v>
      </c>
      <c r="F1718" s="6" t="s">
        <v>9</v>
      </c>
      <c r="G1718" s="6" t="s">
        <v>38</v>
      </c>
      <c r="H1718" s="9" t="s">
        <v>33</v>
      </c>
      <c r="I1718" s="7" t="str">
        <f t="shared" si="104"/>
        <v>61001005000</v>
      </c>
      <c r="J1718" s="7" t="str">
        <f t="shared" si="105"/>
        <v>Материал по ЕГРН</v>
      </c>
      <c r="K1718" s="7">
        <f>VLOOKUP(J1718,Лист2!A$2:B$4,2,FALSE)</f>
        <v>792</v>
      </c>
      <c r="L1718" s="7" t="str">
        <f t="shared" si="106"/>
        <v>ГОТОВ_ИЗМЕНЕН</v>
      </c>
      <c r="M1718" s="7" t="str">
        <f t="shared" si="107"/>
        <v>61001002001</v>
      </c>
    </row>
    <row r="1719" spans="1:13" x14ac:dyDescent="0.25">
      <c r="A1719" s="1">
        <v>944914</v>
      </c>
      <c r="B1719" s="6" t="s">
        <v>1837</v>
      </c>
      <c r="F1719" s="6" t="s">
        <v>9</v>
      </c>
      <c r="G1719" s="6" t="s">
        <v>38</v>
      </c>
      <c r="H1719" s="9" t="s">
        <v>33</v>
      </c>
      <c r="I1719" s="7" t="str">
        <f t="shared" si="104"/>
        <v>61001005000</v>
      </c>
      <c r="J1719" s="7" t="str">
        <f t="shared" si="105"/>
        <v>Материал по ЕГРН</v>
      </c>
      <c r="K1719" s="7">
        <f>VLOOKUP(J1719,Лист2!A$2:B$4,2,FALSE)</f>
        <v>792</v>
      </c>
      <c r="L1719" s="7" t="str">
        <f t="shared" si="106"/>
        <v>ГОТОВ_ИЗМЕНЕН</v>
      </c>
      <c r="M1719" s="7">
        <f t="shared" si="107"/>
        <v>0</v>
      </c>
    </row>
    <row r="1720" spans="1:13" x14ac:dyDescent="0.25">
      <c r="A1720" s="1">
        <v>944926</v>
      </c>
      <c r="B1720" s="6" t="s">
        <v>1838</v>
      </c>
      <c r="F1720" s="6" t="s">
        <v>9</v>
      </c>
      <c r="G1720" s="6" t="s">
        <v>146</v>
      </c>
      <c r="H1720" s="9" t="s">
        <v>147</v>
      </c>
      <c r="I1720" s="7" t="str">
        <f t="shared" si="104"/>
        <v>61001000000</v>
      </c>
      <c r="J1720" s="7" t="str">
        <f t="shared" si="105"/>
        <v>Материал по ЕГРН</v>
      </c>
      <c r="K1720" s="7">
        <f>VLOOKUP(J1720,Лист2!A$2:B$4,2,FALSE)</f>
        <v>792</v>
      </c>
      <c r="L1720" s="7" t="str">
        <f t="shared" si="106"/>
        <v>ГОТОВ_ИЗМЕНЕН</v>
      </c>
      <c r="M1720" s="7">
        <f t="shared" si="107"/>
        <v>0</v>
      </c>
    </row>
    <row r="1721" spans="1:13" x14ac:dyDescent="0.25">
      <c r="A1721" s="1">
        <v>944938</v>
      </c>
      <c r="B1721" s="6" t="s">
        <v>1839</v>
      </c>
      <c r="F1721" s="6" t="s">
        <v>9</v>
      </c>
      <c r="G1721" s="6" t="s">
        <v>34</v>
      </c>
      <c r="H1721" s="9" t="s">
        <v>35</v>
      </c>
      <c r="I1721" s="7" t="str">
        <f t="shared" si="104"/>
        <v>61001002000</v>
      </c>
      <c r="J1721" s="7" t="str">
        <f t="shared" si="105"/>
        <v>Материал по ЕГРН</v>
      </c>
      <c r="K1721" s="7">
        <f>VLOOKUP(J1721,Лист2!A$2:B$4,2,FALSE)</f>
        <v>792</v>
      </c>
      <c r="L1721" s="7" t="str">
        <f t="shared" si="106"/>
        <v>ГОТОВ_ИЗМЕНЕН</v>
      </c>
      <c r="M1721" s="7">
        <f t="shared" si="107"/>
        <v>0</v>
      </c>
    </row>
    <row r="1722" spans="1:13" x14ac:dyDescent="0.25">
      <c r="A1722" s="1">
        <v>944950</v>
      </c>
      <c r="B1722" s="6" t="s">
        <v>1840</v>
      </c>
      <c r="F1722" s="6" t="s">
        <v>9</v>
      </c>
      <c r="G1722" s="6" t="s">
        <v>38</v>
      </c>
      <c r="H1722" s="9" t="s">
        <v>33</v>
      </c>
      <c r="I1722" s="7" t="str">
        <f t="shared" si="104"/>
        <v>61001005000</v>
      </c>
      <c r="J1722" s="7" t="str">
        <f t="shared" si="105"/>
        <v>Материал по ЕГРН</v>
      </c>
      <c r="K1722" s="7">
        <f>VLOOKUP(J1722,Лист2!A$2:B$4,2,FALSE)</f>
        <v>792</v>
      </c>
      <c r="L1722" s="7" t="str">
        <f t="shared" si="106"/>
        <v>ГОТОВ_ИЗМЕНЕН</v>
      </c>
      <c r="M1722" s="7">
        <f t="shared" si="107"/>
        <v>0</v>
      </c>
    </row>
    <row r="1723" spans="1:13" x14ac:dyDescent="0.25">
      <c r="A1723" s="1">
        <v>944962</v>
      </c>
      <c r="B1723" s="6" t="s">
        <v>1841</v>
      </c>
      <c r="F1723" s="6" t="s">
        <v>9</v>
      </c>
      <c r="G1723" s="6" t="s">
        <v>34</v>
      </c>
      <c r="H1723" s="9" t="s">
        <v>35</v>
      </c>
      <c r="I1723" s="7" t="str">
        <f t="shared" si="104"/>
        <v>61001002000</v>
      </c>
      <c r="J1723" s="7" t="str">
        <f t="shared" si="105"/>
        <v>Материал по ЕГРН</v>
      </c>
      <c r="K1723" s="7">
        <f>VLOOKUP(J1723,Лист2!A$2:B$4,2,FALSE)</f>
        <v>792</v>
      </c>
      <c r="L1723" s="7" t="str">
        <f t="shared" si="106"/>
        <v>ГОТОВ_ИЗМЕНЕН</v>
      </c>
      <c r="M1723" s="7">
        <f t="shared" si="107"/>
        <v>0</v>
      </c>
    </row>
    <row r="1724" spans="1:13" x14ac:dyDescent="0.25">
      <c r="A1724" s="1">
        <v>944974</v>
      </c>
      <c r="B1724" s="6" t="s">
        <v>1842</v>
      </c>
      <c r="F1724" s="6" t="s">
        <v>9</v>
      </c>
      <c r="G1724" s="6" t="s">
        <v>59</v>
      </c>
      <c r="H1724" s="9" t="s">
        <v>60</v>
      </c>
      <c r="I1724" s="7" t="str">
        <f t="shared" si="104"/>
        <v>61001001001</v>
      </c>
      <c r="J1724" s="7" t="str">
        <f t="shared" si="105"/>
        <v>Материал по ЕГРН</v>
      </c>
      <c r="K1724" s="7">
        <f>VLOOKUP(J1724,Лист2!A$2:B$4,2,FALSE)</f>
        <v>792</v>
      </c>
      <c r="L1724" s="7" t="str">
        <f t="shared" si="106"/>
        <v>ГОТОВ_ИЗМЕНЕН</v>
      </c>
      <c r="M1724" s="7">
        <f t="shared" si="107"/>
        <v>0</v>
      </c>
    </row>
    <row r="1725" spans="1:13" x14ac:dyDescent="0.25">
      <c r="A1725" s="1">
        <v>944986</v>
      </c>
      <c r="B1725" s="6" t="s">
        <v>1843</v>
      </c>
      <c r="F1725" s="6" t="s">
        <v>9</v>
      </c>
      <c r="G1725" s="6" t="s">
        <v>59</v>
      </c>
      <c r="H1725" s="9" t="s">
        <v>60</v>
      </c>
      <c r="I1725" s="7" t="str">
        <f t="shared" si="104"/>
        <v>61001001001</v>
      </c>
      <c r="J1725" s="7" t="str">
        <f t="shared" si="105"/>
        <v>Материал по ЕГРН</v>
      </c>
      <c r="K1725" s="7">
        <f>VLOOKUP(J1725,Лист2!A$2:B$4,2,FALSE)</f>
        <v>792</v>
      </c>
      <c r="L1725" s="7" t="str">
        <f t="shared" si="106"/>
        <v>ГОТОВ_ИЗМЕНЕН</v>
      </c>
      <c r="M1725" s="7">
        <f t="shared" si="107"/>
        <v>0</v>
      </c>
    </row>
    <row r="1726" spans="1:13" x14ac:dyDescent="0.25">
      <c r="A1726" s="1">
        <v>944998</v>
      </c>
      <c r="B1726" s="6" t="s">
        <v>1844</v>
      </c>
      <c r="F1726" s="6" t="s">
        <v>9</v>
      </c>
      <c r="G1726" s="6" t="s">
        <v>38</v>
      </c>
      <c r="H1726" s="9" t="s">
        <v>33</v>
      </c>
      <c r="I1726" s="7" t="str">
        <f t="shared" si="104"/>
        <v>61001005000</v>
      </c>
      <c r="J1726" s="7" t="str">
        <f t="shared" si="105"/>
        <v>Материал по ЕГРН</v>
      </c>
      <c r="K1726" s="7">
        <f>VLOOKUP(J1726,Лист2!A$2:B$4,2,FALSE)</f>
        <v>792</v>
      </c>
      <c r="L1726" s="7" t="str">
        <f t="shared" si="106"/>
        <v>ГОТОВ_ИЗМЕНЕН</v>
      </c>
      <c r="M1726" s="7">
        <f t="shared" si="107"/>
        <v>0</v>
      </c>
    </row>
    <row r="1727" spans="1:13" x14ac:dyDescent="0.25">
      <c r="A1727" s="1">
        <v>945010</v>
      </c>
      <c r="B1727" s="6" t="s">
        <v>1845</v>
      </c>
      <c r="F1727" s="6" t="s">
        <v>9</v>
      </c>
      <c r="G1727" s="6" t="s">
        <v>62</v>
      </c>
      <c r="H1727" s="9" t="s">
        <v>63</v>
      </c>
      <c r="I1727" s="7" t="str">
        <f t="shared" si="104"/>
        <v>61001006002</v>
      </c>
      <c r="J1727" s="7" t="str">
        <f t="shared" si="105"/>
        <v>Материал по ЕГРН</v>
      </c>
      <c r="K1727" s="7">
        <f>VLOOKUP(J1727,Лист2!A$2:B$4,2,FALSE)</f>
        <v>792</v>
      </c>
      <c r="L1727" s="7" t="str">
        <f t="shared" si="106"/>
        <v>ГОТОВ_ИЗМЕНЕН</v>
      </c>
      <c r="M1727" s="7">
        <f t="shared" si="107"/>
        <v>0</v>
      </c>
    </row>
    <row r="1728" spans="1:13" x14ac:dyDescent="0.25">
      <c r="A1728" s="1">
        <v>945022</v>
      </c>
      <c r="B1728" s="6" t="s">
        <v>1846</v>
      </c>
      <c r="F1728" s="6" t="s">
        <v>9</v>
      </c>
      <c r="G1728" s="6" t="s">
        <v>62</v>
      </c>
      <c r="H1728" s="9" t="s">
        <v>63</v>
      </c>
      <c r="I1728" s="7" t="str">
        <f t="shared" si="104"/>
        <v>61001006002</v>
      </c>
      <c r="J1728" s="7" t="str">
        <f t="shared" si="105"/>
        <v>Материал по ЕГРН</v>
      </c>
      <c r="K1728" s="7">
        <f>VLOOKUP(J1728,Лист2!A$2:B$4,2,FALSE)</f>
        <v>792</v>
      </c>
      <c r="L1728" s="7" t="str">
        <f t="shared" si="106"/>
        <v>ГОТОВ_ИЗМЕНЕН</v>
      </c>
      <c r="M1728" s="7">
        <f t="shared" si="107"/>
        <v>0</v>
      </c>
    </row>
    <row r="1729" spans="1:13" x14ac:dyDescent="0.25">
      <c r="A1729" s="1">
        <v>945034</v>
      </c>
      <c r="B1729" s="6" t="s">
        <v>1847</v>
      </c>
      <c r="F1729" s="6" t="s">
        <v>9</v>
      </c>
      <c r="G1729" s="6" t="s">
        <v>170</v>
      </c>
      <c r="H1729" s="9" t="s">
        <v>171</v>
      </c>
      <c r="I1729" s="7" t="str">
        <f t="shared" si="104"/>
        <v>61001001000</v>
      </c>
      <c r="J1729" s="7" t="str">
        <f t="shared" si="105"/>
        <v>Материал по ЕГРН</v>
      </c>
      <c r="K1729" s="7">
        <f>VLOOKUP(J1729,Лист2!A$2:B$4,2,FALSE)</f>
        <v>792</v>
      </c>
      <c r="L1729" s="7" t="str">
        <f t="shared" si="106"/>
        <v>ГОТОВ_ИЗМЕНЕН</v>
      </c>
      <c r="M1729" s="7">
        <f t="shared" si="107"/>
        <v>0</v>
      </c>
    </row>
    <row r="1730" spans="1:13" x14ac:dyDescent="0.25">
      <c r="A1730" s="1">
        <v>945046</v>
      </c>
      <c r="B1730" s="6" t="s">
        <v>1848</v>
      </c>
      <c r="F1730" s="6" t="s">
        <v>9</v>
      </c>
      <c r="G1730" s="6" t="s">
        <v>62</v>
      </c>
      <c r="H1730" s="9" t="s">
        <v>63</v>
      </c>
      <c r="I1730" s="7" t="str">
        <f t="shared" si="104"/>
        <v>61001006002</v>
      </c>
      <c r="J1730" s="7" t="str">
        <f t="shared" si="105"/>
        <v>Материал по ЕГРН</v>
      </c>
      <c r="K1730" s="7">
        <f>VLOOKUP(J1730,Лист2!A$2:B$4,2,FALSE)</f>
        <v>792</v>
      </c>
      <c r="L1730" s="7" t="str">
        <f t="shared" si="106"/>
        <v>ГОТОВ_ИЗМЕНЕН</v>
      </c>
      <c r="M1730" s="7">
        <f t="shared" si="107"/>
        <v>0</v>
      </c>
    </row>
    <row r="1731" spans="1:13" x14ac:dyDescent="0.25">
      <c r="A1731" s="1">
        <v>945058</v>
      </c>
      <c r="B1731" s="6" t="s">
        <v>1849</v>
      </c>
      <c r="F1731" s="6" t="s">
        <v>9</v>
      </c>
      <c r="G1731" s="6" t="s">
        <v>38</v>
      </c>
      <c r="H1731" s="9" t="s">
        <v>33</v>
      </c>
      <c r="I1731" s="7" t="str">
        <f t="shared" si="104"/>
        <v>61001005000</v>
      </c>
      <c r="J1731" s="7" t="str">
        <f t="shared" si="105"/>
        <v>Материал по ЕГРН</v>
      </c>
      <c r="K1731" s="7">
        <f>VLOOKUP(J1731,Лист2!A$2:B$4,2,FALSE)</f>
        <v>792</v>
      </c>
      <c r="L1731" s="7" t="str">
        <f t="shared" si="106"/>
        <v>ГОТОВ_ИЗМЕНЕН</v>
      </c>
      <c r="M1731" s="7">
        <f t="shared" si="107"/>
        <v>0</v>
      </c>
    </row>
    <row r="1732" spans="1:13" x14ac:dyDescent="0.25">
      <c r="A1732" s="1">
        <v>945070</v>
      </c>
      <c r="B1732" s="6" t="s">
        <v>1850</v>
      </c>
      <c r="F1732" s="6" t="s">
        <v>9</v>
      </c>
      <c r="G1732" s="6" t="s">
        <v>170</v>
      </c>
      <c r="H1732" s="9" t="s">
        <v>171</v>
      </c>
      <c r="I1732" s="7" t="str">
        <f t="shared" si="104"/>
        <v>61001001000</v>
      </c>
      <c r="J1732" s="7" t="str">
        <f t="shared" si="105"/>
        <v>Материал по ЕГРН</v>
      </c>
      <c r="K1732" s="7">
        <f>VLOOKUP(J1732,Лист2!A$2:B$4,2,FALSE)</f>
        <v>792</v>
      </c>
      <c r="L1732" s="7" t="str">
        <f t="shared" si="106"/>
        <v>ГОТОВ_ИЗМЕНЕН</v>
      </c>
      <c r="M1732" s="7">
        <f t="shared" si="107"/>
        <v>0</v>
      </c>
    </row>
    <row r="1733" spans="1:13" x14ac:dyDescent="0.25">
      <c r="A1733" s="1">
        <v>945082</v>
      </c>
      <c r="B1733" s="6" t="s">
        <v>1851</v>
      </c>
      <c r="F1733" s="6" t="s">
        <v>9</v>
      </c>
      <c r="G1733" s="6" t="s">
        <v>90</v>
      </c>
      <c r="H1733" s="9" t="s">
        <v>12</v>
      </c>
      <c r="I1733" s="7" t="str">
        <f t="shared" ref="I1733:I1796" si="108">IF(LEN(H1733)=11,H1733,IF(LEN(H1733)=0,"61001005000","61001003000"))</f>
        <v>61001008000</v>
      </c>
      <c r="J1733" s="7" t="str">
        <f t="shared" ref="J1733:J1796" si="109">IF(LEN(H1733)=11,"Материал по ЕГРН",IF(LEN(H1733)=0,"Прочие по допущению","Смешанные по допущению"))</f>
        <v>Материал по ЕГРН</v>
      </c>
      <c r="K1733" s="7">
        <f>VLOOKUP(J1733,Лист2!A$2:B$4,2,FALSE)</f>
        <v>792</v>
      </c>
      <c r="L1733" s="7" t="str">
        <f t="shared" ref="L1733:L1796" si="110">IF(I1733=C1733,"ГОТОВ","ГОТОВ_ИЗМЕНЕН")</f>
        <v>ГОТОВ_ИЗМЕНЕН</v>
      </c>
      <c r="M1733" s="7">
        <f t="shared" ref="M1733:M1796" si="111">C1733</f>
        <v>0</v>
      </c>
    </row>
    <row r="1734" spans="1:13" x14ac:dyDescent="0.25">
      <c r="A1734" s="1">
        <v>945094</v>
      </c>
      <c r="B1734" s="6" t="s">
        <v>1852</v>
      </c>
      <c r="F1734" s="6" t="s">
        <v>9</v>
      </c>
      <c r="G1734" s="6" t="s">
        <v>34</v>
      </c>
      <c r="H1734" s="9" t="s">
        <v>35</v>
      </c>
      <c r="I1734" s="7" t="str">
        <f t="shared" si="108"/>
        <v>61001002000</v>
      </c>
      <c r="J1734" s="7" t="str">
        <f t="shared" si="109"/>
        <v>Материал по ЕГРН</v>
      </c>
      <c r="K1734" s="7">
        <f>VLOOKUP(J1734,Лист2!A$2:B$4,2,FALSE)</f>
        <v>792</v>
      </c>
      <c r="L1734" s="7" t="str">
        <f t="shared" si="110"/>
        <v>ГОТОВ_ИЗМЕНЕН</v>
      </c>
      <c r="M1734" s="7">
        <f t="shared" si="111"/>
        <v>0</v>
      </c>
    </row>
    <row r="1735" spans="1:13" x14ac:dyDescent="0.25">
      <c r="A1735" s="1">
        <v>945106</v>
      </c>
      <c r="B1735" s="6" t="s">
        <v>1853</v>
      </c>
      <c r="F1735" s="6" t="s">
        <v>9</v>
      </c>
      <c r="G1735" s="6" t="s">
        <v>38</v>
      </c>
      <c r="H1735" s="9" t="s">
        <v>33</v>
      </c>
      <c r="I1735" s="7" t="str">
        <f t="shared" si="108"/>
        <v>61001005000</v>
      </c>
      <c r="J1735" s="7" t="str">
        <f t="shared" si="109"/>
        <v>Материал по ЕГРН</v>
      </c>
      <c r="K1735" s="7">
        <f>VLOOKUP(J1735,Лист2!A$2:B$4,2,FALSE)</f>
        <v>792</v>
      </c>
      <c r="L1735" s="7" t="str">
        <f t="shared" si="110"/>
        <v>ГОТОВ_ИЗМЕНЕН</v>
      </c>
      <c r="M1735" s="7">
        <f t="shared" si="111"/>
        <v>0</v>
      </c>
    </row>
    <row r="1736" spans="1:13" x14ac:dyDescent="0.25">
      <c r="A1736" s="1">
        <v>945118</v>
      </c>
      <c r="B1736" s="6" t="s">
        <v>1854</v>
      </c>
      <c r="F1736" s="6" t="s">
        <v>9</v>
      </c>
      <c r="G1736" s="6" t="s">
        <v>34</v>
      </c>
      <c r="H1736" s="9" t="s">
        <v>35</v>
      </c>
      <c r="I1736" s="7" t="str">
        <f t="shared" si="108"/>
        <v>61001002000</v>
      </c>
      <c r="J1736" s="7" t="str">
        <f t="shared" si="109"/>
        <v>Материал по ЕГРН</v>
      </c>
      <c r="K1736" s="7">
        <f>VLOOKUP(J1736,Лист2!A$2:B$4,2,FALSE)</f>
        <v>792</v>
      </c>
      <c r="L1736" s="7" t="str">
        <f t="shared" si="110"/>
        <v>ГОТОВ_ИЗМЕНЕН</v>
      </c>
      <c r="M1736" s="7">
        <f t="shared" si="111"/>
        <v>0</v>
      </c>
    </row>
    <row r="1737" spans="1:13" x14ac:dyDescent="0.25">
      <c r="A1737" s="1">
        <v>945130</v>
      </c>
      <c r="B1737" s="6" t="s">
        <v>1855</v>
      </c>
      <c r="F1737" s="6" t="s">
        <v>9</v>
      </c>
      <c r="G1737" s="6" t="s">
        <v>38</v>
      </c>
      <c r="H1737" s="9" t="s">
        <v>33</v>
      </c>
      <c r="I1737" s="7" t="str">
        <f t="shared" si="108"/>
        <v>61001005000</v>
      </c>
      <c r="J1737" s="7" t="str">
        <f t="shared" si="109"/>
        <v>Материал по ЕГРН</v>
      </c>
      <c r="K1737" s="7">
        <f>VLOOKUP(J1737,Лист2!A$2:B$4,2,FALSE)</f>
        <v>792</v>
      </c>
      <c r="L1737" s="7" t="str">
        <f t="shared" si="110"/>
        <v>ГОТОВ_ИЗМЕНЕН</v>
      </c>
      <c r="M1737" s="7">
        <f t="shared" si="111"/>
        <v>0</v>
      </c>
    </row>
    <row r="1738" spans="1:13" x14ac:dyDescent="0.25">
      <c r="A1738" s="1">
        <v>945142</v>
      </c>
      <c r="B1738" s="6" t="s">
        <v>1856</v>
      </c>
      <c r="F1738" s="6" t="s">
        <v>9</v>
      </c>
      <c r="G1738" s="6" t="s">
        <v>62</v>
      </c>
      <c r="H1738" s="9" t="s">
        <v>63</v>
      </c>
      <c r="I1738" s="7" t="str">
        <f t="shared" si="108"/>
        <v>61001006002</v>
      </c>
      <c r="J1738" s="7" t="str">
        <f t="shared" si="109"/>
        <v>Материал по ЕГРН</v>
      </c>
      <c r="K1738" s="7">
        <f>VLOOKUP(J1738,Лист2!A$2:B$4,2,FALSE)</f>
        <v>792</v>
      </c>
      <c r="L1738" s="7" t="str">
        <f t="shared" si="110"/>
        <v>ГОТОВ_ИЗМЕНЕН</v>
      </c>
      <c r="M1738" s="7">
        <f t="shared" si="111"/>
        <v>0</v>
      </c>
    </row>
    <row r="1739" spans="1:13" x14ac:dyDescent="0.25">
      <c r="A1739" s="1">
        <v>945154</v>
      </c>
      <c r="B1739" s="6" t="s">
        <v>1857</v>
      </c>
      <c r="F1739" s="6" t="s">
        <v>9</v>
      </c>
      <c r="G1739" s="6" t="s">
        <v>34</v>
      </c>
      <c r="H1739" s="9" t="s">
        <v>35</v>
      </c>
      <c r="I1739" s="7" t="str">
        <f t="shared" si="108"/>
        <v>61001002000</v>
      </c>
      <c r="J1739" s="7" t="str">
        <f t="shared" si="109"/>
        <v>Материал по ЕГРН</v>
      </c>
      <c r="K1739" s="7">
        <f>VLOOKUP(J1739,Лист2!A$2:B$4,2,FALSE)</f>
        <v>792</v>
      </c>
      <c r="L1739" s="7" t="str">
        <f t="shared" si="110"/>
        <v>ГОТОВ_ИЗМЕНЕН</v>
      </c>
      <c r="M1739" s="7">
        <f t="shared" si="111"/>
        <v>0</v>
      </c>
    </row>
    <row r="1740" spans="1:13" x14ac:dyDescent="0.25">
      <c r="A1740" s="1">
        <v>945166</v>
      </c>
      <c r="B1740" s="6" t="s">
        <v>1858</v>
      </c>
      <c r="F1740" s="6" t="s">
        <v>9</v>
      </c>
      <c r="G1740" s="6" t="s">
        <v>38</v>
      </c>
      <c r="H1740" s="9" t="s">
        <v>33</v>
      </c>
      <c r="I1740" s="7" t="str">
        <f t="shared" si="108"/>
        <v>61001005000</v>
      </c>
      <c r="J1740" s="7" t="str">
        <f t="shared" si="109"/>
        <v>Материал по ЕГРН</v>
      </c>
      <c r="K1740" s="7">
        <f>VLOOKUP(J1740,Лист2!A$2:B$4,2,FALSE)</f>
        <v>792</v>
      </c>
      <c r="L1740" s="7" t="str">
        <f t="shared" si="110"/>
        <v>ГОТОВ_ИЗМЕНЕН</v>
      </c>
      <c r="M1740" s="7">
        <f t="shared" si="111"/>
        <v>0</v>
      </c>
    </row>
    <row r="1741" spans="1:13" x14ac:dyDescent="0.25">
      <c r="A1741" s="1">
        <v>945178</v>
      </c>
      <c r="B1741" s="6" t="s">
        <v>1859</v>
      </c>
      <c r="F1741" s="6" t="s">
        <v>9</v>
      </c>
      <c r="G1741" s="6" t="s">
        <v>59</v>
      </c>
      <c r="H1741" s="9" t="s">
        <v>60</v>
      </c>
      <c r="I1741" s="7" t="str">
        <f t="shared" si="108"/>
        <v>61001001001</v>
      </c>
      <c r="J1741" s="7" t="str">
        <f t="shared" si="109"/>
        <v>Материал по ЕГРН</v>
      </c>
      <c r="K1741" s="7">
        <f>VLOOKUP(J1741,Лист2!A$2:B$4,2,FALSE)</f>
        <v>792</v>
      </c>
      <c r="L1741" s="7" t="str">
        <f t="shared" si="110"/>
        <v>ГОТОВ_ИЗМЕНЕН</v>
      </c>
      <c r="M1741" s="7">
        <f t="shared" si="111"/>
        <v>0</v>
      </c>
    </row>
    <row r="1742" spans="1:13" x14ac:dyDescent="0.25">
      <c r="A1742" s="1">
        <v>945190</v>
      </c>
      <c r="B1742" s="6" t="s">
        <v>1860</v>
      </c>
      <c r="F1742" s="6" t="s">
        <v>9</v>
      </c>
      <c r="G1742" s="6" t="s">
        <v>38</v>
      </c>
      <c r="H1742" s="9" t="s">
        <v>33</v>
      </c>
      <c r="I1742" s="7" t="str">
        <f t="shared" si="108"/>
        <v>61001005000</v>
      </c>
      <c r="J1742" s="7" t="str">
        <f t="shared" si="109"/>
        <v>Материал по ЕГРН</v>
      </c>
      <c r="K1742" s="7">
        <f>VLOOKUP(J1742,Лист2!A$2:B$4,2,FALSE)</f>
        <v>792</v>
      </c>
      <c r="L1742" s="7" t="str">
        <f t="shared" si="110"/>
        <v>ГОТОВ_ИЗМЕНЕН</v>
      </c>
      <c r="M1742" s="7">
        <f t="shared" si="111"/>
        <v>0</v>
      </c>
    </row>
    <row r="1743" spans="1:13" x14ac:dyDescent="0.25">
      <c r="A1743" s="1">
        <v>318000</v>
      </c>
      <c r="B1743" s="6" t="s">
        <v>1861</v>
      </c>
      <c r="C1743" s="9" t="s">
        <v>33</v>
      </c>
      <c r="D1743" s="6" t="s">
        <v>20</v>
      </c>
      <c r="E1743" s="6" t="s">
        <v>37</v>
      </c>
      <c r="F1743" s="6" t="s">
        <v>9</v>
      </c>
      <c r="G1743" s="6" t="s">
        <v>38</v>
      </c>
      <c r="H1743" s="9" t="s">
        <v>33</v>
      </c>
      <c r="I1743" s="7" t="str">
        <f t="shared" si="108"/>
        <v>61001005000</v>
      </c>
      <c r="J1743" s="7" t="str">
        <f t="shared" si="109"/>
        <v>Материал по ЕГРН</v>
      </c>
      <c r="K1743" s="7">
        <f>VLOOKUP(J1743,Лист2!A$2:B$4,2,FALSE)</f>
        <v>792</v>
      </c>
      <c r="L1743" s="7" t="str">
        <f t="shared" si="110"/>
        <v>ГОТОВ</v>
      </c>
      <c r="M1743" s="7" t="str">
        <f t="shared" si="111"/>
        <v>61001005000</v>
      </c>
    </row>
    <row r="1744" spans="1:13" x14ac:dyDescent="0.25">
      <c r="A1744" s="1">
        <v>517518</v>
      </c>
      <c r="B1744" s="6" t="s">
        <v>1862</v>
      </c>
      <c r="C1744" s="9" t="s">
        <v>33</v>
      </c>
      <c r="D1744" s="6" t="s">
        <v>20</v>
      </c>
      <c r="E1744" s="6" t="s">
        <v>37</v>
      </c>
      <c r="F1744" s="6" t="s">
        <v>9</v>
      </c>
      <c r="G1744" s="6" t="s">
        <v>38</v>
      </c>
      <c r="H1744" s="9" t="s">
        <v>33</v>
      </c>
      <c r="I1744" s="7" t="str">
        <f t="shared" si="108"/>
        <v>61001005000</v>
      </c>
      <c r="J1744" s="7" t="str">
        <f t="shared" si="109"/>
        <v>Материал по ЕГРН</v>
      </c>
      <c r="K1744" s="7">
        <f>VLOOKUP(J1744,Лист2!A$2:B$4,2,FALSE)</f>
        <v>792</v>
      </c>
      <c r="L1744" s="7" t="str">
        <f t="shared" si="110"/>
        <v>ГОТОВ</v>
      </c>
      <c r="M1744" s="7" t="str">
        <f t="shared" si="111"/>
        <v>61001005000</v>
      </c>
    </row>
    <row r="1745" spans="1:13" x14ac:dyDescent="0.25">
      <c r="A1745" s="1">
        <v>815702</v>
      </c>
      <c r="B1745" s="6" t="s">
        <v>1863</v>
      </c>
      <c r="C1745" s="9" t="s">
        <v>33</v>
      </c>
      <c r="D1745" s="6" t="s">
        <v>20</v>
      </c>
      <c r="E1745" s="6" t="s">
        <v>37</v>
      </c>
      <c r="F1745" s="6" t="s">
        <v>9</v>
      </c>
      <c r="G1745" s="6" t="s">
        <v>38</v>
      </c>
      <c r="H1745" s="9" t="s">
        <v>33</v>
      </c>
      <c r="I1745" s="7" t="str">
        <f t="shared" si="108"/>
        <v>61001005000</v>
      </c>
      <c r="J1745" s="7" t="str">
        <f t="shared" si="109"/>
        <v>Материал по ЕГРН</v>
      </c>
      <c r="K1745" s="7">
        <f>VLOOKUP(J1745,Лист2!A$2:B$4,2,FALSE)</f>
        <v>792</v>
      </c>
      <c r="L1745" s="7" t="str">
        <f t="shared" si="110"/>
        <v>ГОТОВ</v>
      </c>
      <c r="M1745" s="7" t="str">
        <f t="shared" si="111"/>
        <v>61001005000</v>
      </c>
    </row>
    <row r="1746" spans="1:13" x14ac:dyDescent="0.25">
      <c r="A1746" s="1">
        <v>945205</v>
      </c>
      <c r="B1746" s="6" t="s">
        <v>1864</v>
      </c>
      <c r="F1746" s="6" t="s">
        <v>9</v>
      </c>
      <c r="G1746" s="6" t="s">
        <v>73</v>
      </c>
      <c r="H1746" s="9" t="s">
        <v>74</v>
      </c>
      <c r="I1746" s="7" t="str">
        <f t="shared" si="108"/>
        <v>61001006000</v>
      </c>
      <c r="J1746" s="7" t="str">
        <f t="shared" si="109"/>
        <v>Материал по ЕГРН</v>
      </c>
      <c r="K1746" s="7">
        <f>VLOOKUP(J1746,Лист2!A$2:B$4,2,FALSE)</f>
        <v>792</v>
      </c>
      <c r="L1746" s="7" t="str">
        <f t="shared" si="110"/>
        <v>ГОТОВ_ИЗМЕНЕН</v>
      </c>
      <c r="M1746" s="7">
        <f t="shared" si="111"/>
        <v>0</v>
      </c>
    </row>
    <row r="1747" spans="1:13" x14ac:dyDescent="0.25">
      <c r="A1747" s="1">
        <v>945217</v>
      </c>
      <c r="B1747" s="6" t="s">
        <v>1865</v>
      </c>
      <c r="F1747" s="6" t="s">
        <v>9</v>
      </c>
      <c r="G1747" s="6" t="s">
        <v>10</v>
      </c>
      <c r="H1747" s="9" t="s">
        <v>11</v>
      </c>
      <c r="I1747" s="7" t="str">
        <f t="shared" si="108"/>
        <v>61001003000</v>
      </c>
      <c r="J1747" s="7" t="str">
        <f t="shared" si="109"/>
        <v>Материал по ЕГРН</v>
      </c>
      <c r="K1747" s="7">
        <f>VLOOKUP(J1747,Лист2!A$2:B$4,2,FALSE)</f>
        <v>792</v>
      </c>
      <c r="L1747" s="7" t="str">
        <f t="shared" si="110"/>
        <v>ГОТОВ_ИЗМЕНЕН</v>
      </c>
      <c r="M1747" s="7">
        <f t="shared" si="111"/>
        <v>0</v>
      </c>
    </row>
    <row r="1748" spans="1:13" x14ac:dyDescent="0.25">
      <c r="A1748" s="1">
        <v>945229</v>
      </c>
      <c r="B1748" s="6" t="s">
        <v>1866</v>
      </c>
      <c r="F1748" s="6" t="s">
        <v>9</v>
      </c>
      <c r="G1748" s="6" t="s">
        <v>170</v>
      </c>
      <c r="H1748" s="9" t="s">
        <v>171</v>
      </c>
      <c r="I1748" s="7" t="str">
        <f t="shared" si="108"/>
        <v>61001001000</v>
      </c>
      <c r="J1748" s="7" t="str">
        <f t="shared" si="109"/>
        <v>Материал по ЕГРН</v>
      </c>
      <c r="K1748" s="7">
        <f>VLOOKUP(J1748,Лист2!A$2:B$4,2,FALSE)</f>
        <v>792</v>
      </c>
      <c r="L1748" s="7" t="str">
        <f t="shared" si="110"/>
        <v>ГОТОВ_ИЗМЕНЕН</v>
      </c>
      <c r="M1748" s="7">
        <f t="shared" si="111"/>
        <v>0</v>
      </c>
    </row>
    <row r="1749" spans="1:13" x14ac:dyDescent="0.25">
      <c r="A1749" s="1">
        <v>945241</v>
      </c>
      <c r="B1749" s="6" t="s">
        <v>1867</v>
      </c>
      <c r="F1749" s="6" t="s">
        <v>9</v>
      </c>
      <c r="G1749" s="6" t="s">
        <v>10</v>
      </c>
      <c r="H1749" s="9" t="s">
        <v>11</v>
      </c>
      <c r="I1749" s="7" t="str">
        <f t="shared" si="108"/>
        <v>61001003000</v>
      </c>
      <c r="J1749" s="7" t="str">
        <f t="shared" si="109"/>
        <v>Материал по ЕГРН</v>
      </c>
      <c r="K1749" s="7">
        <f>VLOOKUP(J1749,Лист2!A$2:B$4,2,FALSE)</f>
        <v>792</v>
      </c>
      <c r="L1749" s="7" t="str">
        <f t="shared" si="110"/>
        <v>ГОТОВ_ИЗМЕНЕН</v>
      </c>
      <c r="M1749" s="7">
        <f t="shared" si="111"/>
        <v>0</v>
      </c>
    </row>
    <row r="1750" spans="1:13" x14ac:dyDescent="0.25">
      <c r="A1750" s="1">
        <v>945253</v>
      </c>
      <c r="B1750" s="6" t="s">
        <v>1868</v>
      </c>
      <c r="F1750" s="6" t="s">
        <v>9</v>
      </c>
      <c r="G1750" s="6" t="s">
        <v>59</v>
      </c>
      <c r="H1750" s="9" t="s">
        <v>60</v>
      </c>
      <c r="I1750" s="7" t="str">
        <f t="shared" si="108"/>
        <v>61001001001</v>
      </c>
      <c r="J1750" s="7" t="str">
        <f t="shared" si="109"/>
        <v>Материал по ЕГРН</v>
      </c>
      <c r="K1750" s="7">
        <f>VLOOKUP(J1750,Лист2!A$2:B$4,2,FALSE)</f>
        <v>792</v>
      </c>
      <c r="L1750" s="7" t="str">
        <f t="shared" si="110"/>
        <v>ГОТОВ_ИЗМЕНЕН</v>
      </c>
      <c r="M1750" s="7">
        <f t="shared" si="111"/>
        <v>0</v>
      </c>
    </row>
    <row r="1751" spans="1:13" x14ac:dyDescent="0.25">
      <c r="A1751" s="1">
        <v>945265</v>
      </c>
      <c r="B1751" s="6" t="s">
        <v>1869</v>
      </c>
      <c r="F1751" s="6" t="s">
        <v>9</v>
      </c>
      <c r="G1751" s="6" t="s">
        <v>38</v>
      </c>
      <c r="H1751" s="9" t="s">
        <v>33</v>
      </c>
      <c r="I1751" s="7" t="str">
        <f t="shared" si="108"/>
        <v>61001005000</v>
      </c>
      <c r="J1751" s="7" t="str">
        <f t="shared" si="109"/>
        <v>Материал по ЕГРН</v>
      </c>
      <c r="K1751" s="7">
        <f>VLOOKUP(J1751,Лист2!A$2:B$4,2,FALSE)</f>
        <v>792</v>
      </c>
      <c r="L1751" s="7" t="str">
        <f t="shared" si="110"/>
        <v>ГОТОВ_ИЗМЕНЕН</v>
      </c>
      <c r="M1751" s="7">
        <f t="shared" si="111"/>
        <v>0</v>
      </c>
    </row>
    <row r="1752" spans="1:13" x14ac:dyDescent="0.25">
      <c r="A1752" s="1">
        <v>945277</v>
      </c>
      <c r="B1752" s="6" t="s">
        <v>1870</v>
      </c>
      <c r="F1752" s="6" t="s">
        <v>9</v>
      </c>
      <c r="G1752" s="6" t="s">
        <v>38</v>
      </c>
      <c r="H1752" s="9" t="s">
        <v>33</v>
      </c>
      <c r="I1752" s="7" t="str">
        <f t="shared" si="108"/>
        <v>61001005000</v>
      </c>
      <c r="J1752" s="7" t="str">
        <f t="shared" si="109"/>
        <v>Материал по ЕГРН</v>
      </c>
      <c r="K1752" s="7">
        <f>VLOOKUP(J1752,Лист2!A$2:B$4,2,FALSE)</f>
        <v>792</v>
      </c>
      <c r="L1752" s="7" t="str">
        <f t="shared" si="110"/>
        <v>ГОТОВ_ИЗМЕНЕН</v>
      </c>
      <c r="M1752" s="7">
        <f t="shared" si="111"/>
        <v>0</v>
      </c>
    </row>
    <row r="1753" spans="1:13" x14ac:dyDescent="0.25">
      <c r="A1753" s="1">
        <v>945289</v>
      </c>
      <c r="B1753" s="6" t="s">
        <v>1871</v>
      </c>
      <c r="F1753" s="6" t="s">
        <v>9</v>
      </c>
      <c r="G1753" s="6" t="s">
        <v>90</v>
      </c>
      <c r="H1753" s="9" t="s">
        <v>12</v>
      </c>
      <c r="I1753" s="7" t="str">
        <f t="shared" si="108"/>
        <v>61001008000</v>
      </c>
      <c r="J1753" s="7" t="str">
        <f t="shared" si="109"/>
        <v>Материал по ЕГРН</v>
      </c>
      <c r="K1753" s="7">
        <f>VLOOKUP(J1753,Лист2!A$2:B$4,2,FALSE)</f>
        <v>792</v>
      </c>
      <c r="L1753" s="7" t="str">
        <f t="shared" si="110"/>
        <v>ГОТОВ_ИЗМЕНЕН</v>
      </c>
      <c r="M1753" s="7">
        <f t="shared" si="111"/>
        <v>0</v>
      </c>
    </row>
    <row r="1754" spans="1:13" x14ac:dyDescent="0.25">
      <c r="A1754" s="1">
        <v>945301</v>
      </c>
      <c r="B1754" s="6" t="s">
        <v>1872</v>
      </c>
      <c r="F1754" s="6" t="s">
        <v>9</v>
      </c>
      <c r="G1754" s="6" t="s">
        <v>59</v>
      </c>
      <c r="H1754" s="9" t="s">
        <v>60</v>
      </c>
      <c r="I1754" s="7" t="str">
        <f t="shared" si="108"/>
        <v>61001001001</v>
      </c>
      <c r="J1754" s="7" t="str">
        <f t="shared" si="109"/>
        <v>Материал по ЕГРН</v>
      </c>
      <c r="K1754" s="7">
        <f>VLOOKUP(J1754,Лист2!A$2:B$4,2,FALSE)</f>
        <v>792</v>
      </c>
      <c r="L1754" s="7" t="str">
        <f t="shared" si="110"/>
        <v>ГОТОВ_ИЗМЕНЕН</v>
      </c>
      <c r="M1754" s="7">
        <f t="shared" si="111"/>
        <v>0</v>
      </c>
    </row>
    <row r="1755" spans="1:13" x14ac:dyDescent="0.25">
      <c r="A1755" s="1">
        <v>945313</v>
      </c>
      <c r="B1755" s="6" t="s">
        <v>1873</v>
      </c>
      <c r="F1755" s="6" t="s">
        <v>9</v>
      </c>
      <c r="G1755" s="6" t="s">
        <v>34</v>
      </c>
      <c r="H1755" s="9" t="s">
        <v>35</v>
      </c>
      <c r="I1755" s="7" t="str">
        <f t="shared" si="108"/>
        <v>61001002000</v>
      </c>
      <c r="J1755" s="7" t="str">
        <f t="shared" si="109"/>
        <v>Материал по ЕГРН</v>
      </c>
      <c r="K1755" s="7">
        <f>VLOOKUP(J1755,Лист2!A$2:B$4,2,FALSE)</f>
        <v>792</v>
      </c>
      <c r="L1755" s="7" t="str">
        <f t="shared" si="110"/>
        <v>ГОТОВ_ИЗМЕНЕН</v>
      </c>
      <c r="M1755" s="7">
        <f t="shared" si="111"/>
        <v>0</v>
      </c>
    </row>
    <row r="1756" spans="1:13" x14ac:dyDescent="0.25">
      <c r="A1756" s="1">
        <v>945325</v>
      </c>
      <c r="B1756" s="6" t="s">
        <v>1874</v>
      </c>
      <c r="F1756" s="6" t="s">
        <v>9</v>
      </c>
      <c r="G1756" s="6" t="s">
        <v>59</v>
      </c>
      <c r="H1756" s="9" t="s">
        <v>60</v>
      </c>
      <c r="I1756" s="7" t="str">
        <f t="shared" si="108"/>
        <v>61001001001</v>
      </c>
      <c r="J1756" s="7" t="str">
        <f t="shared" si="109"/>
        <v>Материал по ЕГРН</v>
      </c>
      <c r="K1756" s="7">
        <f>VLOOKUP(J1756,Лист2!A$2:B$4,2,FALSE)</f>
        <v>792</v>
      </c>
      <c r="L1756" s="7" t="str">
        <f t="shared" si="110"/>
        <v>ГОТОВ_ИЗМЕНЕН</v>
      </c>
      <c r="M1756" s="7">
        <f t="shared" si="111"/>
        <v>0</v>
      </c>
    </row>
    <row r="1757" spans="1:13" x14ac:dyDescent="0.25">
      <c r="A1757" s="1">
        <v>945337</v>
      </c>
      <c r="B1757" s="6" t="s">
        <v>1875</v>
      </c>
      <c r="F1757" s="6" t="s">
        <v>9</v>
      </c>
      <c r="G1757" s="6" t="s">
        <v>170</v>
      </c>
      <c r="H1757" s="9" t="s">
        <v>171</v>
      </c>
      <c r="I1757" s="7" t="str">
        <f t="shared" si="108"/>
        <v>61001001000</v>
      </c>
      <c r="J1757" s="7" t="str">
        <f t="shared" si="109"/>
        <v>Материал по ЕГРН</v>
      </c>
      <c r="K1757" s="7">
        <f>VLOOKUP(J1757,Лист2!A$2:B$4,2,FALSE)</f>
        <v>792</v>
      </c>
      <c r="L1757" s="7" t="str">
        <f t="shared" si="110"/>
        <v>ГОТОВ_ИЗМЕНЕН</v>
      </c>
      <c r="M1757" s="7">
        <f t="shared" si="111"/>
        <v>0</v>
      </c>
    </row>
    <row r="1758" spans="1:13" x14ac:dyDescent="0.25">
      <c r="A1758" s="1">
        <v>945349</v>
      </c>
      <c r="B1758" s="6" t="s">
        <v>1876</v>
      </c>
      <c r="F1758" s="6" t="s">
        <v>9</v>
      </c>
      <c r="G1758" s="6" t="s">
        <v>38</v>
      </c>
      <c r="H1758" s="9" t="s">
        <v>33</v>
      </c>
      <c r="I1758" s="7" t="str">
        <f t="shared" si="108"/>
        <v>61001005000</v>
      </c>
      <c r="J1758" s="7" t="str">
        <f t="shared" si="109"/>
        <v>Материал по ЕГРН</v>
      </c>
      <c r="K1758" s="7">
        <f>VLOOKUP(J1758,Лист2!A$2:B$4,2,FALSE)</f>
        <v>792</v>
      </c>
      <c r="L1758" s="7" t="str">
        <f t="shared" si="110"/>
        <v>ГОТОВ_ИЗМЕНЕН</v>
      </c>
      <c r="M1758" s="7">
        <f t="shared" si="111"/>
        <v>0</v>
      </c>
    </row>
    <row r="1759" spans="1:13" x14ac:dyDescent="0.25">
      <c r="A1759" s="1">
        <v>945361</v>
      </c>
      <c r="B1759" s="6" t="s">
        <v>1877</v>
      </c>
      <c r="F1759" s="6" t="s">
        <v>9</v>
      </c>
      <c r="G1759" s="6" t="s">
        <v>90</v>
      </c>
      <c r="H1759" s="9" t="s">
        <v>12</v>
      </c>
      <c r="I1759" s="7" t="str">
        <f t="shared" si="108"/>
        <v>61001008000</v>
      </c>
      <c r="J1759" s="7" t="str">
        <f t="shared" si="109"/>
        <v>Материал по ЕГРН</v>
      </c>
      <c r="K1759" s="7">
        <f>VLOOKUP(J1759,Лист2!A$2:B$4,2,FALSE)</f>
        <v>792</v>
      </c>
      <c r="L1759" s="7" t="str">
        <f t="shared" si="110"/>
        <v>ГОТОВ_ИЗМЕНЕН</v>
      </c>
      <c r="M1759" s="7">
        <f t="shared" si="111"/>
        <v>0</v>
      </c>
    </row>
    <row r="1760" spans="1:13" x14ac:dyDescent="0.25">
      <c r="A1760" s="1">
        <v>945373</v>
      </c>
      <c r="B1760" s="6" t="s">
        <v>1878</v>
      </c>
      <c r="F1760" s="6" t="s">
        <v>9</v>
      </c>
      <c r="G1760" s="6" t="s">
        <v>38</v>
      </c>
      <c r="H1760" s="9" t="s">
        <v>33</v>
      </c>
      <c r="I1760" s="7" t="str">
        <f t="shared" si="108"/>
        <v>61001005000</v>
      </c>
      <c r="J1760" s="7" t="str">
        <f t="shared" si="109"/>
        <v>Материал по ЕГРН</v>
      </c>
      <c r="K1760" s="7">
        <f>VLOOKUP(J1760,Лист2!A$2:B$4,2,FALSE)</f>
        <v>792</v>
      </c>
      <c r="L1760" s="7" t="str">
        <f t="shared" si="110"/>
        <v>ГОТОВ_ИЗМЕНЕН</v>
      </c>
      <c r="M1760" s="7">
        <f t="shared" si="111"/>
        <v>0</v>
      </c>
    </row>
    <row r="1761" spans="1:13" x14ac:dyDescent="0.25">
      <c r="A1761" s="1">
        <v>945385</v>
      </c>
      <c r="B1761" s="6" t="s">
        <v>1879</v>
      </c>
      <c r="F1761" s="6" t="s">
        <v>9</v>
      </c>
      <c r="G1761" s="6" t="s">
        <v>62</v>
      </c>
      <c r="H1761" s="9" t="s">
        <v>63</v>
      </c>
      <c r="I1761" s="7" t="str">
        <f t="shared" si="108"/>
        <v>61001006002</v>
      </c>
      <c r="J1761" s="7" t="str">
        <f t="shared" si="109"/>
        <v>Материал по ЕГРН</v>
      </c>
      <c r="K1761" s="7">
        <f>VLOOKUP(J1761,Лист2!A$2:B$4,2,FALSE)</f>
        <v>792</v>
      </c>
      <c r="L1761" s="7" t="str">
        <f t="shared" si="110"/>
        <v>ГОТОВ_ИЗМЕНЕН</v>
      </c>
      <c r="M1761" s="7">
        <f t="shared" si="111"/>
        <v>0</v>
      </c>
    </row>
    <row r="1762" spans="1:13" x14ac:dyDescent="0.25">
      <c r="A1762" s="1">
        <v>945397</v>
      </c>
      <c r="B1762" s="6" t="s">
        <v>1880</v>
      </c>
      <c r="F1762" s="6" t="s">
        <v>9</v>
      </c>
      <c r="G1762" s="6" t="s">
        <v>38</v>
      </c>
      <c r="H1762" s="9" t="s">
        <v>33</v>
      </c>
      <c r="I1762" s="7" t="str">
        <f t="shared" si="108"/>
        <v>61001005000</v>
      </c>
      <c r="J1762" s="7" t="str">
        <f t="shared" si="109"/>
        <v>Материал по ЕГРН</v>
      </c>
      <c r="K1762" s="7">
        <f>VLOOKUP(J1762,Лист2!A$2:B$4,2,FALSE)</f>
        <v>792</v>
      </c>
      <c r="L1762" s="7" t="str">
        <f t="shared" si="110"/>
        <v>ГОТОВ_ИЗМЕНЕН</v>
      </c>
      <c r="M1762" s="7">
        <f t="shared" si="111"/>
        <v>0</v>
      </c>
    </row>
    <row r="1763" spans="1:13" x14ac:dyDescent="0.25">
      <c r="A1763" s="1">
        <v>945409</v>
      </c>
      <c r="B1763" s="6" t="s">
        <v>1881</v>
      </c>
      <c r="F1763" s="6" t="s">
        <v>9</v>
      </c>
      <c r="G1763" s="6" t="s">
        <v>90</v>
      </c>
      <c r="H1763" s="9" t="s">
        <v>12</v>
      </c>
      <c r="I1763" s="7" t="str">
        <f t="shared" si="108"/>
        <v>61001008000</v>
      </c>
      <c r="J1763" s="7" t="str">
        <f t="shared" si="109"/>
        <v>Материал по ЕГРН</v>
      </c>
      <c r="K1763" s="7">
        <f>VLOOKUP(J1763,Лист2!A$2:B$4,2,FALSE)</f>
        <v>792</v>
      </c>
      <c r="L1763" s="7" t="str">
        <f t="shared" si="110"/>
        <v>ГОТОВ_ИЗМЕНЕН</v>
      </c>
      <c r="M1763" s="7">
        <f t="shared" si="111"/>
        <v>0</v>
      </c>
    </row>
    <row r="1764" spans="1:13" x14ac:dyDescent="0.25">
      <c r="A1764" s="1">
        <v>945421</v>
      </c>
      <c r="B1764" s="6" t="s">
        <v>1882</v>
      </c>
      <c r="F1764" s="6" t="s">
        <v>9</v>
      </c>
      <c r="G1764" s="6" t="s">
        <v>38</v>
      </c>
      <c r="H1764" s="9" t="s">
        <v>33</v>
      </c>
      <c r="I1764" s="7" t="str">
        <f t="shared" si="108"/>
        <v>61001005000</v>
      </c>
      <c r="J1764" s="7" t="str">
        <f t="shared" si="109"/>
        <v>Материал по ЕГРН</v>
      </c>
      <c r="K1764" s="7">
        <f>VLOOKUP(J1764,Лист2!A$2:B$4,2,FALSE)</f>
        <v>792</v>
      </c>
      <c r="L1764" s="7" t="str">
        <f t="shared" si="110"/>
        <v>ГОТОВ_ИЗМЕНЕН</v>
      </c>
      <c r="M1764" s="7">
        <f t="shared" si="111"/>
        <v>0</v>
      </c>
    </row>
    <row r="1765" spans="1:13" x14ac:dyDescent="0.25">
      <c r="A1765" s="1">
        <v>945433</v>
      </c>
      <c r="B1765" s="6" t="s">
        <v>1883</v>
      </c>
      <c r="F1765" s="6" t="s">
        <v>9</v>
      </c>
      <c r="G1765" s="6" t="s">
        <v>34</v>
      </c>
      <c r="H1765" s="9" t="s">
        <v>35</v>
      </c>
      <c r="I1765" s="7" t="str">
        <f t="shared" si="108"/>
        <v>61001002000</v>
      </c>
      <c r="J1765" s="7" t="str">
        <f t="shared" si="109"/>
        <v>Материал по ЕГРН</v>
      </c>
      <c r="K1765" s="7">
        <f>VLOOKUP(J1765,Лист2!A$2:B$4,2,FALSE)</f>
        <v>792</v>
      </c>
      <c r="L1765" s="7" t="str">
        <f t="shared" si="110"/>
        <v>ГОТОВ_ИЗМЕНЕН</v>
      </c>
      <c r="M1765" s="7">
        <f t="shared" si="111"/>
        <v>0</v>
      </c>
    </row>
    <row r="1766" spans="1:13" x14ac:dyDescent="0.25">
      <c r="A1766" s="1">
        <v>945445</v>
      </c>
      <c r="B1766" s="6" t="s">
        <v>1884</v>
      </c>
      <c r="F1766" s="6" t="s">
        <v>9</v>
      </c>
      <c r="G1766" s="6" t="s">
        <v>59</v>
      </c>
      <c r="H1766" s="9" t="s">
        <v>60</v>
      </c>
      <c r="I1766" s="7" t="str">
        <f t="shared" si="108"/>
        <v>61001001001</v>
      </c>
      <c r="J1766" s="7" t="str">
        <f t="shared" si="109"/>
        <v>Материал по ЕГРН</v>
      </c>
      <c r="K1766" s="7">
        <f>VLOOKUP(J1766,Лист2!A$2:B$4,2,FALSE)</f>
        <v>792</v>
      </c>
      <c r="L1766" s="7" t="str">
        <f t="shared" si="110"/>
        <v>ГОТОВ_ИЗМЕНЕН</v>
      </c>
      <c r="M1766" s="7">
        <f t="shared" si="111"/>
        <v>0</v>
      </c>
    </row>
    <row r="1767" spans="1:13" x14ac:dyDescent="0.25">
      <c r="A1767" s="1">
        <v>945457</v>
      </c>
      <c r="B1767" s="6" t="s">
        <v>1885</v>
      </c>
      <c r="F1767" s="6" t="s">
        <v>9</v>
      </c>
      <c r="G1767" s="6" t="s">
        <v>38</v>
      </c>
      <c r="H1767" s="9" t="s">
        <v>33</v>
      </c>
      <c r="I1767" s="7" t="str">
        <f t="shared" si="108"/>
        <v>61001005000</v>
      </c>
      <c r="J1767" s="7" t="str">
        <f t="shared" si="109"/>
        <v>Материал по ЕГРН</v>
      </c>
      <c r="K1767" s="7">
        <f>VLOOKUP(J1767,Лист2!A$2:B$4,2,FALSE)</f>
        <v>792</v>
      </c>
      <c r="L1767" s="7" t="str">
        <f t="shared" si="110"/>
        <v>ГОТОВ_ИЗМЕНЕН</v>
      </c>
      <c r="M1767" s="7">
        <f t="shared" si="111"/>
        <v>0</v>
      </c>
    </row>
    <row r="1768" spans="1:13" x14ac:dyDescent="0.25">
      <c r="A1768" s="1">
        <v>945469</v>
      </c>
      <c r="B1768" s="6" t="s">
        <v>1886</v>
      </c>
      <c r="F1768" s="6" t="s">
        <v>9</v>
      </c>
      <c r="G1768" s="6" t="s">
        <v>34</v>
      </c>
      <c r="H1768" s="9" t="s">
        <v>35</v>
      </c>
      <c r="I1768" s="7" t="str">
        <f t="shared" si="108"/>
        <v>61001002000</v>
      </c>
      <c r="J1768" s="7" t="str">
        <f t="shared" si="109"/>
        <v>Материал по ЕГРН</v>
      </c>
      <c r="K1768" s="7">
        <f>VLOOKUP(J1768,Лист2!A$2:B$4,2,FALSE)</f>
        <v>792</v>
      </c>
      <c r="L1768" s="7" t="str">
        <f t="shared" si="110"/>
        <v>ГОТОВ_ИЗМЕНЕН</v>
      </c>
      <c r="M1768" s="7">
        <f t="shared" si="111"/>
        <v>0</v>
      </c>
    </row>
    <row r="1769" spans="1:13" x14ac:dyDescent="0.25">
      <c r="A1769" s="1">
        <v>945481</v>
      </c>
      <c r="B1769" s="6" t="s">
        <v>1887</v>
      </c>
      <c r="F1769" s="6" t="s">
        <v>9</v>
      </c>
      <c r="G1769" s="6" t="s">
        <v>43</v>
      </c>
      <c r="H1769" s="9" t="s">
        <v>42</v>
      </c>
      <c r="I1769" s="7" t="str">
        <f t="shared" si="108"/>
        <v>61001002001</v>
      </c>
      <c r="J1769" s="7" t="str">
        <f t="shared" si="109"/>
        <v>Материал по ЕГРН</v>
      </c>
      <c r="K1769" s="7">
        <f>VLOOKUP(J1769,Лист2!A$2:B$4,2,FALSE)</f>
        <v>792</v>
      </c>
      <c r="L1769" s="7" t="str">
        <f t="shared" si="110"/>
        <v>ГОТОВ_ИЗМЕНЕН</v>
      </c>
      <c r="M1769" s="7">
        <f t="shared" si="111"/>
        <v>0</v>
      </c>
    </row>
    <row r="1770" spans="1:13" x14ac:dyDescent="0.25">
      <c r="A1770" s="1">
        <v>220977</v>
      </c>
      <c r="B1770" s="6" t="s">
        <v>1888</v>
      </c>
      <c r="C1770" s="9" t="s">
        <v>33</v>
      </c>
      <c r="D1770" s="6" t="s">
        <v>20</v>
      </c>
      <c r="E1770" s="6" t="s">
        <v>37</v>
      </c>
      <c r="F1770" s="6" t="s">
        <v>9</v>
      </c>
      <c r="G1770" s="6" t="s">
        <v>38</v>
      </c>
      <c r="H1770" s="9" t="s">
        <v>33</v>
      </c>
      <c r="I1770" s="7" t="str">
        <f t="shared" si="108"/>
        <v>61001005000</v>
      </c>
      <c r="J1770" s="7" t="str">
        <f t="shared" si="109"/>
        <v>Материал по ЕГРН</v>
      </c>
      <c r="K1770" s="7">
        <f>VLOOKUP(J1770,Лист2!A$2:B$4,2,FALSE)</f>
        <v>792</v>
      </c>
      <c r="L1770" s="7" t="str">
        <f t="shared" si="110"/>
        <v>ГОТОВ</v>
      </c>
      <c r="M1770" s="7" t="str">
        <f t="shared" si="111"/>
        <v>61001005000</v>
      </c>
    </row>
    <row r="1771" spans="1:13" x14ac:dyDescent="0.25">
      <c r="A1771" s="1">
        <v>526001</v>
      </c>
      <c r="B1771" s="6" t="s">
        <v>1889</v>
      </c>
      <c r="C1771" s="9" t="s">
        <v>33</v>
      </c>
      <c r="D1771" s="6" t="s">
        <v>20</v>
      </c>
      <c r="E1771" s="6" t="s">
        <v>37</v>
      </c>
      <c r="F1771" s="6" t="s">
        <v>9</v>
      </c>
      <c r="G1771" s="6" t="s">
        <v>38</v>
      </c>
      <c r="H1771" s="9" t="s">
        <v>33</v>
      </c>
      <c r="I1771" s="7" t="str">
        <f t="shared" si="108"/>
        <v>61001005000</v>
      </c>
      <c r="J1771" s="7" t="str">
        <f t="shared" si="109"/>
        <v>Материал по ЕГРН</v>
      </c>
      <c r="K1771" s="7">
        <f>VLOOKUP(J1771,Лист2!A$2:B$4,2,FALSE)</f>
        <v>792</v>
      </c>
      <c r="L1771" s="7" t="str">
        <f t="shared" si="110"/>
        <v>ГОТОВ</v>
      </c>
      <c r="M1771" s="7" t="str">
        <f t="shared" si="111"/>
        <v>61001005000</v>
      </c>
    </row>
    <row r="1772" spans="1:13" x14ac:dyDescent="0.25">
      <c r="A1772" s="1">
        <v>787842</v>
      </c>
      <c r="B1772" s="6" t="s">
        <v>1890</v>
      </c>
      <c r="C1772" s="9" t="s">
        <v>33</v>
      </c>
      <c r="D1772" s="6" t="s">
        <v>20</v>
      </c>
      <c r="E1772" s="6" t="s">
        <v>37</v>
      </c>
      <c r="F1772" s="6" t="s">
        <v>9</v>
      </c>
      <c r="G1772" s="6" t="s">
        <v>38</v>
      </c>
      <c r="H1772" s="9" t="s">
        <v>33</v>
      </c>
      <c r="I1772" s="7" t="str">
        <f t="shared" si="108"/>
        <v>61001005000</v>
      </c>
      <c r="J1772" s="7" t="str">
        <f t="shared" si="109"/>
        <v>Материал по ЕГРН</v>
      </c>
      <c r="K1772" s="7">
        <f>VLOOKUP(J1772,Лист2!A$2:B$4,2,FALSE)</f>
        <v>792</v>
      </c>
      <c r="L1772" s="7" t="str">
        <f t="shared" si="110"/>
        <v>ГОТОВ</v>
      </c>
      <c r="M1772" s="7" t="str">
        <f t="shared" si="111"/>
        <v>61001005000</v>
      </c>
    </row>
    <row r="1773" spans="1:13" x14ac:dyDescent="0.25">
      <c r="A1773" s="1">
        <v>943626</v>
      </c>
      <c r="B1773" s="6" t="s">
        <v>1891</v>
      </c>
      <c r="F1773" s="6" t="s">
        <v>9</v>
      </c>
      <c r="G1773" s="6" t="s">
        <v>38</v>
      </c>
      <c r="H1773" s="9" t="s">
        <v>33</v>
      </c>
      <c r="I1773" s="7" t="str">
        <f t="shared" si="108"/>
        <v>61001005000</v>
      </c>
      <c r="J1773" s="7" t="str">
        <f t="shared" si="109"/>
        <v>Материал по ЕГРН</v>
      </c>
      <c r="K1773" s="7">
        <f>VLOOKUP(J1773,Лист2!A$2:B$4,2,FALSE)</f>
        <v>792</v>
      </c>
      <c r="L1773" s="7" t="str">
        <f t="shared" si="110"/>
        <v>ГОТОВ_ИЗМЕНЕН</v>
      </c>
      <c r="M1773" s="7">
        <f t="shared" si="111"/>
        <v>0</v>
      </c>
    </row>
    <row r="1774" spans="1:13" x14ac:dyDescent="0.25">
      <c r="A1774" s="1">
        <v>943638</v>
      </c>
      <c r="B1774" s="6" t="s">
        <v>1892</v>
      </c>
      <c r="F1774" s="6" t="s">
        <v>9</v>
      </c>
      <c r="G1774" s="6" t="s">
        <v>34</v>
      </c>
      <c r="H1774" s="9" t="s">
        <v>35</v>
      </c>
      <c r="I1774" s="7" t="str">
        <f t="shared" si="108"/>
        <v>61001002000</v>
      </c>
      <c r="J1774" s="7" t="str">
        <f t="shared" si="109"/>
        <v>Материал по ЕГРН</v>
      </c>
      <c r="K1774" s="7">
        <f>VLOOKUP(J1774,Лист2!A$2:B$4,2,FALSE)</f>
        <v>792</v>
      </c>
      <c r="L1774" s="7" t="str">
        <f t="shared" si="110"/>
        <v>ГОТОВ_ИЗМЕНЕН</v>
      </c>
      <c r="M1774" s="7">
        <f t="shared" si="111"/>
        <v>0</v>
      </c>
    </row>
    <row r="1775" spans="1:13" x14ac:dyDescent="0.25">
      <c r="A1775" s="1">
        <v>943650</v>
      </c>
      <c r="B1775" s="6" t="s">
        <v>1893</v>
      </c>
      <c r="F1775" s="6" t="s">
        <v>9</v>
      </c>
      <c r="G1775" s="6" t="s">
        <v>34</v>
      </c>
      <c r="H1775" s="9" t="s">
        <v>35</v>
      </c>
      <c r="I1775" s="7" t="str">
        <f t="shared" si="108"/>
        <v>61001002000</v>
      </c>
      <c r="J1775" s="7" t="str">
        <f t="shared" si="109"/>
        <v>Материал по ЕГРН</v>
      </c>
      <c r="K1775" s="7">
        <f>VLOOKUP(J1775,Лист2!A$2:B$4,2,FALSE)</f>
        <v>792</v>
      </c>
      <c r="L1775" s="7" t="str">
        <f t="shared" si="110"/>
        <v>ГОТОВ_ИЗМЕНЕН</v>
      </c>
      <c r="M1775" s="7">
        <f t="shared" si="111"/>
        <v>0</v>
      </c>
    </row>
    <row r="1776" spans="1:13" x14ac:dyDescent="0.25">
      <c r="A1776" s="1">
        <v>943662</v>
      </c>
      <c r="B1776" s="6" t="s">
        <v>1894</v>
      </c>
      <c r="F1776" s="6" t="s">
        <v>9</v>
      </c>
      <c r="G1776" s="6" t="s">
        <v>34</v>
      </c>
      <c r="H1776" s="9" t="s">
        <v>35</v>
      </c>
      <c r="I1776" s="7" t="str">
        <f t="shared" si="108"/>
        <v>61001002000</v>
      </c>
      <c r="J1776" s="7" t="str">
        <f t="shared" si="109"/>
        <v>Материал по ЕГРН</v>
      </c>
      <c r="K1776" s="7">
        <f>VLOOKUP(J1776,Лист2!A$2:B$4,2,FALSE)</f>
        <v>792</v>
      </c>
      <c r="L1776" s="7" t="str">
        <f t="shared" si="110"/>
        <v>ГОТОВ_ИЗМЕНЕН</v>
      </c>
      <c r="M1776" s="7">
        <f t="shared" si="111"/>
        <v>0</v>
      </c>
    </row>
    <row r="1777" spans="1:13" x14ac:dyDescent="0.25">
      <c r="A1777" s="1">
        <v>943674</v>
      </c>
      <c r="B1777" s="6" t="s">
        <v>1895</v>
      </c>
      <c r="F1777" s="6" t="s">
        <v>9</v>
      </c>
      <c r="G1777" s="6" t="s">
        <v>34</v>
      </c>
      <c r="H1777" s="9" t="s">
        <v>35</v>
      </c>
      <c r="I1777" s="7" t="str">
        <f t="shared" si="108"/>
        <v>61001002000</v>
      </c>
      <c r="J1777" s="7" t="str">
        <f t="shared" si="109"/>
        <v>Материал по ЕГРН</v>
      </c>
      <c r="K1777" s="7">
        <f>VLOOKUP(J1777,Лист2!A$2:B$4,2,FALSE)</f>
        <v>792</v>
      </c>
      <c r="L1777" s="7" t="str">
        <f t="shared" si="110"/>
        <v>ГОТОВ_ИЗМЕНЕН</v>
      </c>
      <c r="M1777" s="7">
        <f t="shared" si="111"/>
        <v>0</v>
      </c>
    </row>
    <row r="1778" spans="1:13" x14ac:dyDescent="0.25">
      <c r="A1778" s="1">
        <v>943686</v>
      </c>
      <c r="B1778" s="6" t="s">
        <v>1896</v>
      </c>
      <c r="F1778" s="6" t="s">
        <v>9</v>
      </c>
      <c r="G1778" s="6" t="s">
        <v>10</v>
      </c>
      <c r="H1778" s="9" t="s">
        <v>11</v>
      </c>
      <c r="I1778" s="7" t="str">
        <f t="shared" si="108"/>
        <v>61001003000</v>
      </c>
      <c r="J1778" s="7" t="str">
        <f t="shared" si="109"/>
        <v>Материал по ЕГРН</v>
      </c>
      <c r="K1778" s="7">
        <f>VLOOKUP(J1778,Лист2!A$2:B$4,2,FALSE)</f>
        <v>792</v>
      </c>
      <c r="L1778" s="7" t="str">
        <f t="shared" si="110"/>
        <v>ГОТОВ_ИЗМЕНЕН</v>
      </c>
      <c r="M1778" s="7">
        <f t="shared" si="111"/>
        <v>0</v>
      </c>
    </row>
    <row r="1779" spans="1:13" x14ac:dyDescent="0.25">
      <c r="A1779" s="1">
        <v>943698</v>
      </c>
      <c r="B1779" s="6" t="s">
        <v>1897</v>
      </c>
      <c r="F1779" s="6" t="s">
        <v>9</v>
      </c>
      <c r="G1779" s="6" t="s">
        <v>38</v>
      </c>
      <c r="H1779" s="9" t="s">
        <v>33</v>
      </c>
      <c r="I1779" s="7" t="str">
        <f t="shared" si="108"/>
        <v>61001005000</v>
      </c>
      <c r="J1779" s="7" t="str">
        <f t="shared" si="109"/>
        <v>Материал по ЕГРН</v>
      </c>
      <c r="K1779" s="7">
        <f>VLOOKUP(J1779,Лист2!A$2:B$4,2,FALSE)</f>
        <v>792</v>
      </c>
      <c r="L1779" s="7" t="str">
        <f t="shared" si="110"/>
        <v>ГОТОВ_ИЗМЕНЕН</v>
      </c>
      <c r="M1779" s="7">
        <f t="shared" si="111"/>
        <v>0</v>
      </c>
    </row>
    <row r="1780" spans="1:13" x14ac:dyDescent="0.25">
      <c r="A1780" s="1">
        <v>943710</v>
      </c>
      <c r="B1780" s="6" t="s">
        <v>1898</v>
      </c>
      <c r="F1780" s="6" t="s">
        <v>9</v>
      </c>
      <c r="G1780" s="6" t="s">
        <v>62</v>
      </c>
      <c r="H1780" s="9" t="s">
        <v>63</v>
      </c>
      <c r="I1780" s="7" t="str">
        <f t="shared" si="108"/>
        <v>61001006002</v>
      </c>
      <c r="J1780" s="7" t="str">
        <f t="shared" si="109"/>
        <v>Материал по ЕГРН</v>
      </c>
      <c r="K1780" s="7">
        <f>VLOOKUP(J1780,Лист2!A$2:B$4,2,FALSE)</f>
        <v>792</v>
      </c>
      <c r="L1780" s="7" t="str">
        <f t="shared" si="110"/>
        <v>ГОТОВ_ИЗМЕНЕН</v>
      </c>
      <c r="M1780" s="7">
        <f t="shared" si="111"/>
        <v>0</v>
      </c>
    </row>
    <row r="1781" spans="1:13" x14ac:dyDescent="0.25">
      <c r="A1781" s="1">
        <v>943722</v>
      </c>
      <c r="B1781" s="6" t="s">
        <v>1899</v>
      </c>
      <c r="F1781" s="6" t="s">
        <v>9</v>
      </c>
      <c r="G1781" s="6" t="s">
        <v>1900</v>
      </c>
      <c r="H1781" s="9" t="s">
        <v>100</v>
      </c>
      <c r="I1781" s="7" t="str">
        <f t="shared" si="108"/>
        <v>61001003000</v>
      </c>
      <c r="J1781" s="7" t="str">
        <f t="shared" si="109"/>
        <v>Смешанные по допущению</v>
      </c>
      <c r="K1781" s="7">
        <f>VLOOKUP(J1781,Лист2!A$2:B$4,2,FALSE)</f>
        <v>793</v>
      </c>
      <c r="L1781" s="7" t="str">
        <f t="shared" si="110"/>
        <v>ГОТОВ_ИЗМЕНЕН</v>
      </c>
      <c r="M1781" s="7">
        <f t="shared" si="111"/>
        <v>0</v>
      </c>
    </row>
    <row r="1782" spans="1:13" x14ac:dyDescent="0.25">
      <c r="A1782" s="1">
        <v>943734</v>
      </c>
      <c r="B1782" s="6" t="s">
        <v>1901</v>
      </c>
      <c r="F1782" s="6" t="s">
        <v>9</v>
      </c>
      <c r="G1782" s="6" t="s">
        <v>38</v>
      </c>
      <c r="H1782" s="9" t="s">
        <v>33</v>
      </c>
      <c r="I1782" s="7" t="str">
        <f t="shared" si="108"/>
        <v>61001005000</v>
      </c>
      <c r="J1782" s="7" t="str">
        <f t="shared" si="109"/>
        <v>Материал по ЕГРН</v>
      </c>
      <c r="K1782" s="7">
        <f>VLOOKUP(J1782,Лист2!A$2:B$4,2,FALSE)</f>
        <v>792</v>
      </c>
      <c r="L1782" s="7" t="str">
        <f t="shared" si="110"/>
        <v>ГОТОВ_ИЗМЕНЕН</v>
      </c>
      <c r="M1782" s="7">
        <f t="shared" si="111"/>
        <v>0</v>
      </c>
    </row>
    <row r="1783" spans="1:13" x14ac:dyDescent="0.25">
      <c r="A1783" s="1">
        <v>943746</v>
      </c>
      <c r="B1783" s="6" t="s">
        <v>1902</v>
      </c>
      <c r="F1783" s="6" t="s">
        <v>9</v>
      </c>
      <c r="G1783" s="6" t="s">
        <v>1903</v>
      </c>
      <c r="H1783" s="9" t="s">
        <v>1904</v>
      </c>
      <c r="I1783" s="7" t="str">
        <f t="shared" si="108"/>
        <v>61001003000</v>
      </c>
      <c r="J1783" s="7" t="str">
        <f t="shared" si="109"/>
        <v>Смешанные по допущению</v>
      </c>
      <c r="K1783" s="7">
        <f>VLOOKUP(J1783,Лист2!A$2:B$4,2,FALSE)</f>
        <v>793</v>
      </c>
      <c r="L1783" s="7" t="str">
        <f t="shared" si="110"/>
        <v>ГОТОВ_ИЗМЕНЕН</v>
      </c>
      <c r="M1783" s="7">
        <f t="shared" si="111"/>
        <v>0</v>
      </c>
    </row>
    <row r="1784" spans="1:13" x14ac:dyDescent="0.25">
      <c r="A1784" s="1">
        <v>943758</v>
      </c>
      <c r="B1784" s="6" t="s">
        <v>1905</v>
      </c>
      <c r="F1784" s="6" t="s">
        <v>9</v>
      </c>
      <c r="G1784" s="6" t="s">
        <v>10</v>
      </c>
      <c r="H1784" s="9" t="s">
        <v>11</v>
      </c>
      <c r="I1784" s="7" t="str">
        <f t="shared" si="108"/>
        <v>61001003000</v>
      </c>
      <c r="J1784" s="7" t="str">
        <f t="shared" si="109"/>
        <v>Материал по ЕГРН</v>
      </c>
      <c r="K1784" s="7">
        <f>VLOOKUP(J1784,Лист2!A$2:B$4,2,FALSE)</f>
        <v>792</v>
      </c>
      <c r="L1784" s="7" t="str">
        <f t="shared" si="110"/>
        <v>ГОТОВ_ИЗМЕНЕН</v>
      </c>
      <c r="M1784" s="7">
        <f t="shared" si="111"/>
        <v>0</v>
      </c>
    </row>
    <row r="1785" spans="1:13" x14ac:dyDescent="0.25">
      <c r="A1785" s="1">
        <v>943770</v>
      </c>
      <c r="B1785" s="6" t="s">
        <v>1906</v>
      </c>
      <c r="F1785" s="6" t="s">
        <v>9</v>
      </c>
      <c r="G1785" s="6" t="s">
        <v>59</v>
      </c>
      <c r="H1785" s="9" t="s">
        <v>60</v>
      </c>
      <c r="I1785" s="7" t="str">
        <f t="shared" si="108"/>
        <v>61001001001</v>
      </c>
      <c r="J1785" s="7" t="str">
        <f t="shared" si="109"/>
        <v>Материал по ЕГРН</v>
      </c>
      <c r="K1785" s="7">
        <f>VLOOKUP(J1785,Лист2!A$2:B$4,2,FALSE)</f>
        <v>792</v>
      </c>
      <c r="L1785" s="7" t="str">
        <f t="shared" si="110"/>
        <v>ГОТОВ_ИЗМЕНЕН</v>
      </c>
      <c r="M1785" s="7">
        <f t="shared" si="111"/>
        <v>0</v>
      </c>
    </row>
    <row r="1786" spans="1:13" x14ac:dyDescent="0.25">
      <c r="A1786" s="1">
        <v>943782</v>
      </c>
      <c r="B1786" s="6" t="s">
        <v>1907</v>
      </c>
      <c r="F1786" s="6" t="s">
        <v>9</v>
      </c>
      <c r="G1786" s="6" t="s">
        <v>139</v>
      </c>
      <c r="H1786" s="9" t="s">
        <v>140</v>
      </c>
      <c r="I1786" s="7" t="str">
        <f t="shared" si="108"/>
        <v>61001999000</v>
      </c>
      <c r="J1786" s="7" t="str">
        <f t="shared" si="109"/>
        <v>Материал по ЕГРН</v>
      </c>
      <c r="K1786" s="7">
        <f>VLOOKUP(J1786,Лист2!A$2:B$4,2,FALSE)</f>
        <v>792</v>
      </c>
      <c r="L1786" s="7" t="str">
        <f t="shared" si="110"/>
        <v>ГОТОВ_ИЗМЕНЕН</v>
      </c>
      <c r="M1786" s="7">
        <f t="shared" si="111"/>
        <v>0</v>
      </c>
    </row>
    <row r="1787" spans="1:13" x14ac:dyDescent="0.25">
      <c r="A1787" s="1">
        <v>943794</v>
      </c>
      <c r="B1787" s="6" t="s">
        <v>1908</v>
      </c>
      <c r="F1787" s="6" t="s">
        <v>9</v>
      </c>
      <c r="G1787" s="6" t="s">
        <v>38</v>
      </c>
      <c r="H1787" s="9" t="s">
        <v>33</v>
      </c>
      <c r="I1787" s="7" t="str">
        <f t="shared" si="108"/>
        <v>61001005000</v>
      </c>
      <c r="J1787" s="7" t="str">
        <f t="shared" si="109"/>
        <v>Материал по ЕГРН</v>
      </c>
      <c r="K1787" s="7">
        <f>VLOOKUP(J1787,Лист2!A$2:B$4,2,FALSE)</f>
        <v>792</v>
      </c>
      <c r="L1787" s="7" t="str">
        <f t="shared" si="110"/>
        <v>ГОТОВ_ИЗМЕНЕН</v>
      </c>
      <c r="M1787" s="7">
        <f t="shared" si="111"/>
        <v>0</v>
      </c>
    </row>
    <row r="1788" spans="1:13" x14ac:dyDescent="0.25">
      <c r="A1788" s="1">
        <v>943806</v>
      </c>
      <c r="B1788" s="6" t="s">
        <v>1909</v>
      </c>
      <c r="F1788" s="6" t="s">
        <v>9</v>
      </c>
      <c r="G1788" s="6" t="s">
        <v>38</v>
      </c>
      <c r="H1788" s="9" t="s">
        <v>33</v>
      </c>
      <c r="I1788" s="7" t="str">
        <f t="shared" si="108"/>
        <v>61001005000</v>
      </c>
      <c r="J1788" s="7" t="str">
        <f t="shared" si="109"/>
        <v>Материал по ЕГРН</v>
      </c>
      <c r="K1788" s="7">
        <f>VLOOKUP(J1788,Лист2!A$2:B$4,2,FALSE)</f>
        <v>792</v>
      </c>
      <c r="L1788" s="7" t="str">
        <f t="shared" si="110"/>
        <v>ГОТОВ_ИЗМЕНЕН</v>
      </c>
      <c r="M1788" s="7">
        <f t="shared" si="111"/>
        <v>0</v>
      </c>
    </row>
    <row r="1789" spans="1:13" x14ac:dyDescent="0.25">
      <c r="A1789" s="1">
        <v>943818</v>
      </c>
      <c r="B1789" s="6" t="s">
        <v>1910</v>
      </c>
      <c r="F1789" s="6" t="s">
        <v>9</v>
      </c>
      <c r="G1789" s="6" t="s">
        <v>34</v>
      </c>
      <c r="H1789" s="9" t="s">
        <v>35</v>
      </c>
      <c r="I1789" s="7" t="str">
        <f t="shared" si="108"/>
        <v>61001002000</v>
      </c>
      <c r="J1789" s="7" t="str">
        <f t="shared" si="109"/>
        <v>Материал по ЕГРН</v>
      </c>
      <c r="K1789" s="7">
        <f>VLOOKUP(J1789,Лист2!A$2:B$4,2,FALSE)</f>
        <v>792</v>
      </c>
      <c r="L1789" s="7" t="str">
        <f t="shared" si="110"/>
        <v>ГОТОВ_ИЗМЕНЕН</v>
      </c>
      <c r="M1789" s="7">
        <f t="shared" si="111"/>
        <v>0</v>
      </c>
    </row>
    <row r="1790" spans="1:13" x14ac:dyDescent="0.25">
      <c r="A1790" s="1">
        <v>943830</v>
      </c>
      <c r="B1790" s="6" t="s">
        <v>1911</v>
      </c>
      <c r="F1790" s="6" t="s">
        <v>9</v>
      </c>
      <c r="G1790" s="6" t="s">
        <v>34</v>
      </c>
      <c r="H1790" s="9" t="s">
        <v>35</v>
      </c>
      <c r="I1790" s="7" t="str">
        <f t="shared" si="108"/>
        <v>61001002000</v>
      </c>
      <c r="J1790" s="7" t="str">
        <f t="shared" si="109"/>
        <v>Материал по ЕГРН</v>
      </c>
      <c r="K1790" s="7">
        <f>VLOOKUP(J1790,Лист2!A$2:B$4,2,FALSE)</f>
        <v>792</v>
      </c>
      <c r="L1790" s="7" t="str">
        <f t="shared" si="110"/>
        <v>ГОТОВ_ИЗМЕНЕН</v>
      </c>
      <c r="M1790" s="7">
        <f t="shared" si="111"/>
        <v>0</v>
      </c>
    </row>
    <row r="1791" spans="1:13" x14ac:dyDescent="0.25">
      <c r="A1791" s="1">
        <v>943842</v>
      </c>
      <c r="B1791" s="6" t="s">
        <v>1912</v>
      </c>
      <c r="F1791" s="6" t="s">
        <v>9</v>
      </c>
      <c r="G1791" s="6" t="s">
        <v>34</v>
      </c>
      <c r="H1791" s="9" t="s">
        <v>35</v>
      </c>
      <c r="I1791" s="7" t="str">
        <f t="shared" si="108"/>
        <v>61001002000</v>
      </c>
      <c r="J1791" s="7" t="str">
        <f t="shared" si="109"/>
        <v>Материал по ЕГРН</v>
      </c>
      <c r="K1791" s="7">
        <f>VLOOKUP(J1791,Лист2!A$2:B$4,2,FALSE)</f>
        <v>792</v>
      </c>
      <c r="L1791" s="7" t="str">
        <f t="shared" si="110"/>
        <v>ГОТОВ_ИЗМЕНЕН</v>
      </c>
      <c r="M1791" s="7">
        <f t="shared" si="111"/>
        <v>0</v>
      </c>
    </row>
    <row r="1792" spans="1:13" x14ac:dyDescent="0.25">
      <c r="A1792" s="1">
        <v>943854</v>
      </c>
      <c r="B1792" s="6" t="s">
        <v>1913</v>
      </c>
      <c r="F1792" s="6" t="s">
        <v>9</v>
      </c>
      <c r="G1792" s="6" t="s">
        <v>38</v>
      </c>
      <c r="H1792" s="9" t="s">
        <v>33</v>
      </c>
      <c r="I1792" s="7" t="str">
        <f t="shared" si="108"/>
        <v>61001005000</v>
      </c>
      <c r="J1792" s="7" t="str">
        <f t="shared" si="109"/>
        <v>Материал по ЕГРН</v>
      </c>
      <c r="K1792" s="7">
        <f>VLOOKUP(J1792,Лист2!A$2:B$4,2,FALSE)</f>
        <v>792</v>
      </c>
      <c r="L1792" s="7" t="str">
        <f t="shared" si="110"/>
        <v>ГОТОВ_ИЗМЕНЕН</v>
      </c>
      <c r="M1792" s="7">
        <f t="shared" si="111"/>
        <v>0</v>
      </c>
    </row>
    <row r="1793" spans="1:13" x14ac:dyDescent="0.25">
      <c r="A1793" s="1">
        <v>943866</v>
      </c>
      <c r="B1793" s="6" t="s">
        <v>1914</v>
      </c>
      <c r="F1793" s="6" t="s">
        <v>9</v>
      </c>
      <c r="G1793" s="6" t="s">
        <v>38</v>
      </c>
      <c r="H1793" s="9" t="s">
        <v>33</v>
      </c>
      <c r="I1793" s="7" t="str">
        <f t="shared" si="108"/>
        <v>61001005000</v>
      </c>
      <c r="J1793" s="7" t="str">
        <f t="shared" si="109"/>
        <v>Материал по ЕГРН</v>
      </c>
      <c r="K1793" s="7">
        <f>VLOOKUP(J1793,Лист2!A$2:B$4,2,FALSE)</f>
        <v>792</v>
      </c>
      <c r="L1793" s="7" t="str">
        <f t="shared" si="110"/>
        <v>ГОТОВ_ИЗМЕНЕН</v>
      </c>
      <c r="M1793" s="7">
        <f t="shared" si="111"/>
        <v>0</v>
      </c>
    </row>
    <row r="1794" spans="1:13" x14ac:dyDescent="0.25">
      <c r="A1794" s="1">
        <v>943878</v>
      </c>
      <c r="B1794" s="6" t="s">
        <v>1915</v>
      </c>
      <c r="F1794" s="6" t="s">
        <v>9</v>
      </c>
      <c r="G1794" s="6" t="s">
        <v>38</v>
      </c>
      <c r="H1794" s="9" t="s">
        <v>33</v>
      </c>
      <c r="I1794" s="7" t="str">
        <f t="shared" si="108"/>
        <v>61001005000</v>
      </c>
      <c r="J1794" s="7" t="str">
        <f t="shared" si="109"/>
        <v>Материал по ЕГРН</v>
      </c>
      <c r="K1794" s="7">
        <f>VLOOKUP(J1794,Лист2!A$2:B$4,2,FALSE)</f>
        <v>792</v>
      </c>
      <c r="L1794" s="7" t="str">
        <f t="shared" si="110"/>
        <v>ГОТОВ_ИЗМЕНЕН</v>
      </c>
      <c r="M1794" s="7">
        <f t="shared" si="111"/>
        <v>0</v>
      </c>
    </row>
    <row r="1795" spans="1:13" x14ac:dyDescent="0.25">
      <c r="A1795" s="1">
        <v>943890</v>
      </c>
      <c r="B1795" s="6" t="s">
        <v>1916</v>
      </c>
      <c r="F1795" s="6" t="s">
        <v>9</v>
      </c>
      <c r="G1795" s="6" t="s">
        <v>90</v>
      </c>
      <c r="H1795" s="9" t="s">
        <v>12</v>
      </c>
      <c r="I1795" s="7" t="str">
        <f t="shared" si="108"/>
        <v>61001008000</v>
      </c>
      <c r="J1795" s="7" t="str">
        <f t="shared" si="109"/>
        <v>Материал по ЕГРН</v>
      </c>
      <c r="K1795" s="7">
        <f>VLOOKUP(J1795,Лист2!A$2:B$4,2,FALSE)</f>
        <v>792</v>
      </c>
      <c r="L1795" s="7" t="str">
        <f t="shared" si="110"/>
        <v>ГОТОВ_ИЗМЕНЕН</v>
      </c>
      <c r="M1795" s="7">
        <f t="shared" si="111"/>
        <v>0</v>
      </c>
    </row>
    <row r="1796" spans="1:13" x14ac:dyDescent="0.25">
      <c r="A1796" s="1">
        <v>943902</v>
      </c>
      <c r="B1796" s="6" t="s">
        <v>1917</v>
      </c>
      <c r="F1796" s="6" t="s">
        <v>9</v>
      </c>
      <c r="G1796" s="6" t="s">
        <v>38</v>
      </c>
      <c r="H1796" s="9" t="s">
        <v>33</v>
      </c>
      <c r="I1796" s="7" t="str">
        <f t="shared" si="108"/>
        <v>61001005000</v>
      </c>
      <c r="J1796" s="7" t="str">
        <f t="shared" si="109"/>
        <v>Материал по ЕГРН</v>
      </c>
      <c r="K1796" s="7">
        <f>VLOOKUP(J1796,Лист2!A$2:B$4,2,FALSE)</f>
        <v>792</v>
      </c>
      <c r="L1796" s="7" t="str">
        <f t="shared" si="110"/>
        <v>ГОТОВ_ИЗМЕНЕН</v>
      </c>
      <c r="M1796" s="7">
        <f t="shared" si="111"/>
        <v>0</v>
      </c>
    </row>
    <row r="1797" spans="1:13" x14ac:dyDescent="0.25">
      <c r="A1797" s="1">
        <v>943914</v>
      </c>
      <c r="B1797" s="6" t="s">
        <v>1918</v>
      </c>
      <c r="F1797" s="6" t="s">
        <v>9</v>
      </c>
      <c r="G1797" s="6" t="s">
        <v>34</v>
      </c>
      <c r="H1797" s="9" t="s">
        <v>35</v>
      </c>
      <c r="I1797" s="7" t="str">
        <f t="shared" ref="I1797:I1860" si="112">IF(LEN(H1797)=11,H1797,IF(LEN(H1797)=0,"61001005000","61001003000"))</f>
        <v>61001002000</v>
      </c>
      <c r="J1797" s="7" t="str">
        <f t="shared" ref="J1797:J1860" si="113">IF(LEN(H1797)=11,"Материал по ЕГРН",IF(LEN(H1797)=0,"Прочие по допущению","Смешанные по допущению"))</f>
        <v>Материал по ЕГРН</v>
      </c>
      <c r="K1797" s="7">
        <f>VLOOKUP(J1797,Лист2!A$2:B$4,2,FALSE)</f>
        <v>792</v>
      </c>
      <c r="L1797" s="7" t="str">
        <f t="shared" ref="L1797:L1860" si="114">IF(I1797=C1797,"ГОТОВ","ГОТОВ_ИЗМЕНЕН")</f>
        <v>ГОТОВ_ИЗМЕНЕН</v>
      </c>
      <c r="M1797" s="7">
        <f t="shared" ref="M1797:M1860" si="115">C1797</f>
        <v>0</v>
      </c>
    </row>
    <row r="1798" spans="1:13" x14ac:dyDescent="0.25">
      <c r="A1798" s="1">
        <v>943926</v>
      </c>
      <c r="B1798" s="6" t="s">
        <v>1919</v>
      </c>
      <c r="F1798" s="6" t="s">
        <v>9</v>
      </c>
      <c r="G1798" s="6" t="s">
        <v>10</v>
      </c>
      <c r="H1798" s="9" t="s">
        <v>11</v>
      </c>
      <c r="I1798" s="7" t="str">
        <f t="shared" si="112"/>
        <v>61001003000</v>
      </c>
      <c r="J1798" s="7" t="str">
        <f t="shared" si="113"/>
        <v>Материал по ЕГРН</v>
      </c>
      <c r="K1798" s="7">
        <f>VLOOKUP(J1798,Лист2!A$2:B$4,2,FALSE)</f>
        <v>792</v>
      </c>
      <c r="L1798" s="7" t="str">
        <f t="shared" si="114"/>
        <v>ГОТОВ_ИЗМЕНЕН</v>
      </c>
      <c r="M1798" s="7">
        <f t="shared" si="115"/>
        <v>0</v>
      </c>
    </row>
    <row r="1799" spans="1:13" x14ac:dyDescent="0.25">
      <c r="A1799" s="1">
        <v>943938</v>
      </c>
      <c r="B1799" s="6" t="s">
        <v>1920</v>
      </c>
      <c r="F1799" s="6" t="s">
        <v>9</v>
      </c>
      <c r="G1799" s="6" t="s">
        <v>73</v>
      </c>
      <c r="H1799" s="9" t="s">
        <v>74</v>
      </c>
      <c r="I1799" s="7" t="str">
        <f t="shared" si="112"/>
        <v>61001006000</v>
      </c>
      <c r="J1799" s="7" t="str">
        <f t="shared" si="113"/>
        <v>Материал по ЕГРН</v>
      </c>
      <c r="K1799" s="7">
        <f>VLOOKUP(J1799,Лист2!A$2:B$4,2,FALSE)</f>
        <v>792</v>
      </c>
      <c r="L1799" s="7" t="str">
        <f t="shared" si="114"/>
        <v>ГОТОВ_ИЗМЕНЕН</v>
      </c>
      <c r="M1799" s="7">
        <f t="shared" si="115"/>
        <v>0</v>
      </c>
    </row>
    <row r="1800" spans="1:13" x14ac:dyDescent="0.25">
      <c r="A1800" s="1">
        <v>355105</v>
      </c>
      <c r="B1800" s="6" t="s">
        <v>1921</v>
      </c>
      <c r="C1800" s="9" t="s">
        <v>33</v>
      </c>
      <c r="D1800" s="6" t="s">
        <v>20</v>
      </c>
      <c r="E1800" s="6" t="s">
        <v>37</v>
      </c>
      <c r="F1800" s="6" t="s">
        <v>9</v>
      </c>
      <c r="G1800" s="6" t="s">
        <v>38</v>
      </c>
      <c r="H1800" s="9" t="s">
        <v>33</v>
      </c>
      <c r="I1800" s="7" t="str">
        <f t="shared" si="112"/>
        <v>61001005000</v>
      </c>
      <c r="J1800" s="7" t="str">
        <f t="shared" si="113"/>
        <v>Материал по ЕГРН</v>
      </c>
      <c r="K1800" s="7">
        <f>VLOOKUP(J1800,Лист2!A$2:B$4,2,FALSE)</f>
        <v>792</v>
      </c>
      <c r="L1800" s="7" t="str">
        <f t="shared" si="114"/>
        <v>ГОТОВ</v>
      </c>
      <c r="M1800" s="7" t="str">
        <f t="shared" si="115"/>
        <v>61001005000</v>
      </c>
    </row>
    <row r="1801" spans="1:13" x14ac:dyDescent="0.25">
      <c r="A1801" s="1">
        <v>529419</v>
      </c>
      <c r="B1801" s="6" t="s">
        <v>1922</v>
      </c>
      <c r="C1801" s="9" t="s">
        <v>33</v>
      </c>
      <c r="D1801" s="6" t="s">
        <v>20</v>
      </c>
      <c r="E1801" s="6" t="s">
        <v>8</v>
      </c>
      <c r="F1801" s="6" t="s">
        <v>9</v>
      </c>
      <c r="G1801" s="6" t="s">
        <v>10</v>
      </c>
      <c r="H1801" s="9" t="s">
        <v>11</v>
      </c>
      <c r="I1801" s="7" t="str">
        <f t="shared" si="112"/>
        <v>61001003000</v>
      </c>
      <c r="J1801" s="7" t="str">
        <f t="shared" si="113"/>
        <v>Материал по ЕГРН</v>
      </c>
      <c r="K1801" s="7">
        <f>VLOOKUP(J1801,Лист2!A$2:B$4,2,FALSE)</f>
        <v>792</v>
      </c>
      <c r="L1801" s="7" t="str">
        <f t="shared" si="114"/>
        <v>ГОТОВ_ИЗМЕНЕН</v>
      </c>
      <c r="M1801" s="7" t="str">
        <f t="shared" si="115"/>
        <v>61001005000</v>
      </c>
    </row>
    <row r="1802" spans="1:13" x14ac:dyDescent="0.25">
      <c r="A1802" s="1">
        <v>532655</v>
      </c>
      <c r="B1802" s="6" t="s">
        <v>1923</v>
      </c>
      <c r="C1802" s="9" t="s">
        <v>33</v>
      </c>
      <c r="D1802" s="6" t="s">
        <v>20</v>
      </c>
      <c r="E1802" s="6" t="s">
        <v>37</v>
      </c>
      <c r="F1802" s="6" t="s">
        <v>9</v>
      </c>
      <c r="G1802" s="6" t="s">
        <v>38</v>
      </c>
      <c r="H1802" s="9" t="s">
        <v>33</v>
      </c>
      <c r="I1802" s="7" t="str">
        <f t="shared" si="112"/>
        <v>61001005000</v>
      </c>
      <c r="J1802" s="7" t="str">
        <f t="shared" si="113"/>
        <v>Материал по ЕГРН</v>
      </c>
      <c r="K1802" s="7">
        <f>VLOOKUP(J1802,Лист2!A$2:B$4,2,FALSE)</f>
        <v>792</v>
      </c>
      <c r="L1802" s="7" t="str">
        <f t="shared" si="114"/>
        <v>ГОТОВ</v>
      </c>
      <c r="M1802" s="7" t="str">
        <f t="shared" si="115"/>
        <v>61001005000</v>
      </c>
    </row>
    <row r="1803" spans="1:13" x14ac:dyDescent="0.25">
      <c r="A1803" s="1">
        <v>943950</v>
      </c>
      <c r="B1803" s="6" t="s">
        <v>1924</v>
      </c>
      <c r="F1803" s="6" t="s">
        <v>9</v>
      </c>
      <c r="G1803" s="6" t="s">
        <v>34</v>
      </c>
      <c r="H1803" s="9" t="s">
        <v>35</v>
      </c>
      <c r="I1803" s="7" t="str">
        <f t="shared" si="112"/>
        <v>61001002000</v>
      </c>
      <c r="J1803" s="7" t="str">
        <f t="shared" si="113"/>
        <v>Материал по ЕГРН</v>
      </c>
      <c r="K1803" s="7">
        <f>VLOOKUP(J1803,Лист2!A$2:B$4,2,FALSE)</f>
        <v>792</v>
      </c>
      <c r="L1803" s="7" t="str">
        <f t="shared" si="114"/>
        <v>ГОТОВ_ИЗМЕНЕН</v>
      </c>
      <c r="M1803" s="7">
        <f t="shared" si="115"/>
        <v>0</v>
      </c>
    </row>
    <row r="1804" spans="1:13" x14ac:dyDescent="0.25">
      <c r="A1804" s="1">
        <v>943962</v>
      </c>
      <c r="B1804" s="6" t="s">
        <v>1925</v>
      </c>
      <c r="F1804" s="6" t="s">
        <v>9</v>
      </c>
      <c r="G1804" s="6" t="s">
        <v>38</v>
      </c>
      <c r="H1804" s="9" t="s">
        <v>33</v>
      </c>
      <c r="I1804" s="7" t="str">
        <f t="shared" si="112"/>
        <v>61001005000</v>
      </c>
      <c r="J1804" s="7" t="str">
        <f t="shared" si="113"/>
        <v>Материал по ЕГРН</v>
      </c>
      <c r="K1804" s="7">
        <f>VLOOKUP(J1804,Лист2!A$2:B$4,2,FALSE)</f>
        <v>792</v>
      </c>
      <c r="L1804" s="7" t="str">
        <f t="shared" si="114"/>
        <v>ГОТОВ_ИЗМЕНЕН</v>
      </c>
      <c r="M1804" s="7">
        <f t="shared" si="115"/>
        <v>0</v>
      </c>
    </row>
    <row r="1805" spans="1:13" x14ac:dyDescent="0.25">
      <c r="A1805" s="1">
        <v>943974</v>
      </c>
      <c r="B1805" s="6" t="s">
        <v>1926</v>
      </c>
      <c r="F1805" s="6" t="s">
        <v>9</v>
      </c>
      <c r="G1805" s="6" t="s">
        <v>34</v>
      </c>
      <c r="H1805" s="9" t="s">
        <v>35</v>
      </c>
      <c r="I1805" s="7" t="str">
        <f t="shared" si="112"/>
        <v>61001002000</v>
      </c>
      <c r="J1805" s="7" t="str">
        <f t="shared" si="113"/>
        <v>Материал по ЕГРН</v>
      </c>
      <c r="K1805" s="7">
        <f>VLOOKUP(J1805,Лист2!A$2:B$4,2,FALSE)</f>
        <v>792</v>
      </c>
      <c r="L1805" s="7" t="str">
        <f t="shared" si="114"/>
        <v>ГОТОВ_ИЗМЕНЕН</v>
      </c>
      <c r="M1805" s="7">
        <f t="shared" si="115"/>
        <v>0</v>
      </c>
    </row>
    <row r="1806" spans="1:13" x14ac:dyDescent="0.25">
      <c r="A1806" s="1">
        <v>943986</v>
      </c>
      <c r="B1806" s="6" t="s">
        <v>1927</v>
      </c>
      <c r="F1806" s="6" t="s">
        <v>9</v>
      </c>
      <c r="G1806" s="6" t="s">
        <v>59</v>
      </c>
      <c r="H1806" s="9" t="s">
        <v>60</v>
      </c>
      <c r="I1806" s="7" t="str">
        <f t="shared" si="112"/>
        <v>61001001001</v>
      </c>
      <c r="J1806" s="7" t="str">
        <f t="shared" si="113"/>
        <v>Материал по ЕГРН</v>
      </c>
      <c r="K1806" s="7">
        <f>VLOOKUP(J1806,Лист2!A$2:B$4,2,FALSE)</f>
        <v>792</v>
      </c>
      <c r="L1806" s="7" t="str">
        <f t="shared" si="114"/>
        <v>ГОТОВ_ИЗМЕНЕН</v>
      </c>
      <c r="M1806" s="7">
        <f t="shared" si="115"/>
        <v>0</v>
      </c>
    </row>
    <row r="1807" spans="1:13" x14ac:dyDescent="0.25">
      <c r="A1807" s="1">
        <v>943998</v>
      </c>
      <c r="B1807" s="6" t="s">
        <v>1928</v>
      </c>
      <c r="F1807" s="6" t="s">
        <v>9</v>
      </c>
      <c r="G1807" s="6" t="s">
        <v>34</v>
      </c>
      <c r="H1807" s="9" t="s">
        <v>35</v>
      </c>
      <c r="I1807" s="7" t="str">
        <f t="shared" si="112"/>
        <v>61001002000</v>
      </c>
      <c r="J1807" s="7" t="str">
        <f t="shared" si="113"/>
        <v>Материал по ЕГРН</v>
      </c>
      <c r="K1807" s="7">
        <f>VLOOKUP(J1807,Лист2!A$2:B$4,2,FALSE)</f>
        <v>792</v>
      </c>
      <c r="L1807" s="7" t="str">
        <f t="shared" si="114"/>
        <v>ГОТОВ_ИЗМЕНЕН</v>
      </c>
      <c r="M1807" s="7">
        <f t="shared" si="115"/>
        <v>0</v>
      </c>
    </row>
    <row r="1808" spans="1:13" x14ac:dyDescent="0.25">
      <c r="A1808" s="1">
        <v>944010</v>
      </c>
      <c r="B1808" s="6" t="s">
        <v>1929</v>
      </c>
      <c r="F1808" s="6" t="s">
        <v>9</v>
      </c>
      <c r="G1808" s="6" t="s">
        <v>10</v>
      </c>
      <c r="H1808" s="9" t="s">
        <v>11</v>
      </c>
      <c r="I1808" s="7" t="str">
        <f t="shared" si="112"/>
        <v>61001003000</v>
      </c>
      <c r="J1808" s="7" t="str">
        <f t="shared" si="113"/>
        <v>Материал по ЕГРН</v>
      </c>
      <c r="K1808" s="7">
        <f>VLOOKUP(J1808,Лист2!A$2:B$4,2,FALSE)</f>
        <v>792</v>
      </c>
      <c r="L1808" s="7" t="str">
        <f t="shared" si="114"/>
        <v>ГОТОВ_ИЗМЕНЕН</v>
      </c>
      <c r="M1808" s="7">
        <f t="shared" si="115"/>
        <v>0</v>
      </c>
    </row>
    <row r="1809" spans="1:13" x14ac:dyDescent="0.25">
      <c r="A1809" s="1">
        <v>944022</v>
      </c>
      <c r="B1809" s="6" t="s">
        <v>1930</v>
      </c>
      <c r="F1809" s="6" t="s">
        <v>9</v>
      </c>
      <c r="G1809" s="6" t="s">
        <v>10</v>
      </c>
      <c r="H1809" s="9" t="s">
        <v>11</v>
      </c>
      <c r="I1809" s="7" t="str">
        <f t="shared" si="112"/>
        <v>61001003000</v>
      </c>
      <c r="J1809" s="7" t="str">
        <f t="shared" si="113"/>
        <v>Материал по ЕГРН</v>
      </c>
      <c r="K1809" s="7">
        <f>VLOOKUP(J1809,Лист2!A$2:B$4,2,FALSE)</f>
        <v>792</v>
      </c>
      <c r="L1809" s="7" t="str">
        <f t="shared" si="114"/>
        <v>ГОТОВ_ИЗМЕНЕН</v>
      </c>
      <c r="M1809" s="7">
        <f t="shared" si="115"/>
        <v>0</v>
      </c>
    </row>
    <row r="1810" spans="1:13" x14ac:dyDescent="0.25">
      <c r="A1810" s="1">
        <v>944034</v>
      </c>
      <c r="B1810" s="6" t="s">
        <v>1931</v>
      </c>
      <c r="F1810" s="6" t="s">
        <v>9</v>
      </c>
      <c r="G1810" s="6" t="s">
        <v>38</v>
      </c>
      <c r="H1810" s="9" t="s">
        <v>33</v>
      </c>
      <c r="I1810" s="7" t="str">
        <f t="shared" si="112"/>
        <v>61001005000</v>
      </c>
      <c r="J1810" s="7" t="str">
        <f t="shared" si="113"/>
        <v>Материал по ЕГРН</v>
      </c>
      <c r="K1810" s="7">
        <f>VLOOKUP(J1810,Лист2!A$2:B$4,2,FALSE)</f>
        <v>792</v>
      </c>
      <c r="L1810" s="7" t="str">
        <f t="shared" si="114"/>
        <v>ГОТОВ_ИЗМЕНЕН</v>
      </c>
      <c r="M1810" s="7">
        <f t="shared" si="115"/>
        <v>0</v>
      </c>
    </row>
    <row r="1811" spans="1:13" x14ac:dyDescent="0.25">
      <c r="A1811" s="1">
        <v>944046</v>
      </c>
      <c r="B1811" s="6" t="s">
        <v>1932</v>
      </c>
      <c r="F1811" s="6" t="s">
        <v>9</v>
      </c>
      <c r="G1811" s="6" t="s">
        <v>149</v>
      </c>
      <c r="H1811" s="9" t="s">
        <v>150</v>
      </c>
      <c r="I1811" s="7" t="str">
        <f t="shared" si="112"/>
        <v>61001007000</v>
      </c>
      <c r="J1811" s="7" t="str">
        <f t="shared" si="113"/>
        <v>Материал по ЕГРН</v>
      </c>
      <c r="K1811" s="7">
        <f>VLOOKUP(J1811,Лист2!A$2:B$4,2,FALSE)</f>
        <v>792</v>
      </c>
      <c r="L1811" s="7" t="str">
        <f t="shared" si="114"/>
        <v>ГОТОВ_ИЗМЕНЕН</v>
      </c>
      <c r="M1811" s="7">
        <f t="shared" si="115"/>
        <v>0</v>
      </c>
    </row>
    <row r="1812" spans="1:13" x14ac:dyDescent="0.25">
      <c r="A1812" s="1">
        <v>944058</v>
      </c>
      <c r="B1812" s="6" t="s">
        <v>1933</v>
      </c>
      <c r="F1812" s="6" t="s">
        <v>9</v>
      </c>
      <c r="G1812" s="6" t="s">
        <v>38</v>
      </c>
      <c r="H1812" s="9" t="s">
        <v>33</v>
      </c>
      <c r="I1812" s="7" t="str">
        <f t="shared" si="112"/>
        <v>61001005000</v>
      </c>
      <c r="J1812" s="7" t="str">
        <f t="shared" si="113"/>
        <v>Материал по ЕГРН</v>
      </c>
      <c r="K1812" s="7">
        <f>VLOOKUP(J1812,Лист2!A$2:B$4,2,FALSE)</f>
        <v>792</v>
      </c>
      <c r="L1812" s="7" t="str">
        <f t="shared" si="114"/>
        <v>ГОТОВ_ИЗМЕНЕН</v>
      </c>
      <c r="M1812" s="7">
        <f t="shared" si="115"/>
        <v>0</v>
      </c>
    </row>
    <row r="1813" spans="1:13" x14ac:dyDescent="0.25">
      <c r="A1813" s="1">
        <v>944070</v>
      </c>
      <c r="B1813" s="6" t="s">
        <v>1934</v>
      </c>
      <c r="F1813" s="6" t="s">
        <v>9</v>
      </c>
      <c r="G1813" s="6" t="s">
        <v>90</v>
      </c>
      <c r="H1813" s="9" t="s">
        <v>12</v>
      </c>
      <c r="I1813" s="7" t="str">
        <f t="shared" si="112"/>
        <v>61001008000</v>
      </c>
      <c r="J1813" s="7" t="str">
        <f t="shared" si="113"/>
        <v>Материал по ЕГРН</v>
      </c>
      <c r="K1813" s="7">
        <f>VLOOKUP(J1813,Лист2!A$2:B$4,2,FALSE)</f>
        <v>792</v>
      </c>
      <c r="L1813" s="7" t="str">
        <f t="shared" si="114"/>
        <v>ГОТОВ_ИЗМЕНЕН</v>
      </c>
      <c r="M1813" s="7">
        <f t="shared" si="115"/>
        <v>0</v>
      </c>
    </row>
    <row r="1814" spans="1:13" x14ac:dyDescent="0.25">
      <c r="A1814" s="1">
        <v>944082</v>
      </c>
      <c r="B1814" s="6" t="s">
        <v>1935</v>
      </c>
      <c r="F1814" s="6" t="s">
        <v>9</v>
      </c>
      <c r="G1814" s="6" t="s">
        <v>38</v>
      </c>
      <c r="H1814" s="9" t="s">
        <v>33</v>
      </c>
      <c r="I1814" s="7" t="str">
        <f t="shared" si="112"/>
        <v>61001005000</v>
      </c>
      <c r="J1814" s="7" t="str">
        <f t="shared" si="113"/>
        <v>Материал по ЕГРН</v>
      </c>
      <c r="K1814" s="7">
        <f>VLOOKUP(J1814,Лист2!A$2:B$4,2,FALSE)</f>
        <v>792</v>
      </c>
      <c r="L1814" s="7" t="str">
        <f t="shared" si="114"/>
        <v>ГОТОВ_ИЗМЕНЕН</v>
      </c>
      <c r="M1814" s="7">
        <f t="shared" si="115"/>
        <v>0</v>
      </c>
    </row>
    <row r="1815" spans="1:13" x14ac:dyDescent="0.25">
      <c r="A1815" s="1">
        <v>944094</v>
      </c>
      <c r="B1815" s="6" t="s">
        <v>1936</v>
      </c>
      <c r="F1815" s="6" t="s">
        <v>9</v>
      </c>
      <c r="G1815" s="6" t="s">
        <v>750</v>
      </c>
      <c r="H1815" s="9" t="s">
        <v>751</v>
      </c>
      <c r="I1815" s="7" t="str">
        <f t="shared" si="112"/>
        <v>61001004000</v>
      </c>
      <c r="J1815" s="7" t="str">
        <f t="shared" si="113"/>
        <v>Материал по ЕГРН</v>
      </c>
      <c r="K1815" s="7">
        <f>VLOOKUP(J1815,Лист2!A$2:B$4,2,FALSE)</f>
        <v>792</v>
      </c>
      <c r="L1815" s="7" t="str">
        <f t="shared" si="114"/>
        <v>ГОТОВ_ИЗМЕНЕН</v>
      </c>
      <c r="M1815" s="7">
        <f t="shared" si="115"/>
        <v>0</v>
      </c>
    </row>
    <row r="1816" spans="1:13" x14ac:dyDescent="0.25">
      <c r="A1816" s="1">
        <v>944106</v>
      </c>
      <c r="B1816" s="6" t="s">
        <v>1937</v>
      </c>
      <c r="F1816" s="6" t="s">
        <v>9</v>
      </c>
      <c r="G1816" s="6" t="s">
        <v>59</v>
      </c>
      <c r="H1816" s="9" t="s">
        <v>60</v>
      </c>
      <c r="I1816" s="7" t="str">
        <f t="shared" si="112"/>
        <v>61001001001</v>
      </c>
      <c r="J1816" s="7" t="str">
        <f t="shared" si="113"/>
        <v>Материал по ЕГРН</v>
      </c>
      <c r="K1816" s="7">
        <f>VLOOKUP(J1816,Лист2!A$2:B$4,2,FALSE)</f>
        <v>792</v>
      </c>
      <c r="L1816" s="7" t="str">
        <f t="shared" si="114"/>
        <v>ГОТОВ_ИЗМЕНЕН</v>
      </c>
      <c r="M1816" s="7">
        <f t="shared" si="115"/>
        <v>0</v>
      </c>
    </row>
    <row r="1817" spans="1:13" x14ac:dyDescent="0.25">
      <c r="A1817" s="1">
        <v>944118</v>
      </c>
      <c r="B1817" s="6" t="s">
        <v>1938</v>
      </c>
      <c r="F1817" s="6" t="s">
        <v>9</v>
      </c>
      <c r="G1817" s="6" t="s">
        <v>38</v>
      </c>
      <c r="H1817" s="9" t="s">
        <v>33</v>
      </c>
      <c r="I1817" s="7" t="str">
        <f t="shared" si="112"/>
        <v>61001005000</v>
      </c>
      <c r="J1817" s="7" t="str">
        <f t="shared" si="113"/>
        <v>Материал по ЕГРН</v>
      </c>
      <c r="K1817" s="7">
        <f>VLOOKUP(J1817,Лист2!A$2:B$4,2,FALSE)</f>
        <v>792</v>
      </c>
      <c r="L1817" s="7" t="str">
        <f t="shared" si="114"/>
        <v>ГОТОВ_ИЗМЕНЕН</v>
      </c>
      <c r="M1817" s="7">
        <f t="shared" si="115"/>
        <v>0</v>
      </c>
    </row>
    <row r="1818" spans="1:13" x14ac:dyDescent="0.25">
      <c r="A1818" s="1">
        <v>944130</v>
      </c>
      <c r="B1818" s="6" t="s">
        <v>1939</v>
      </c>
      <c r="F1818" s="6" t="s">
        <v>9</v>
      </c>
      <c r="G1818" s="6" t="s">
        <v>38</v>
      </c>
      <c r="H1818" s="9" t="s">
        <v>33</v>
      </c>
      <c r="I1818" s="7" t="str">
        <f t="shared" si="112"/>
        <v>61001005000</v>
      </c>
      <c r="J1818" s="7" t="str">
        <f t="shared" si="113"/>
        <v>Материал по ЕГРН</v>
      </c>
      <c r="K1818" s="7">
        <f>VLOOKUP(J1818,Лист2!A$2:B$4,2,FALSE)</f>
        <v>792</v>
      </c>
      <c r="L1818" s="7" t="str">
        <f t="shared" si="114"/>
        <v>ГОТОВ_ИЗМЕНЕН</v>
      </c>
      <c r="M1818" s="7">
        <f t="shared" si="115"/>
        <v>0</v>
      </c>
    </row>
    <row r="1819" spans="1:13" x14ac:dyDescent="0.25">
      <c r="A1819" s="1">
        <v>944142</v>
      </c>
      <c r="B1819" s="6" t="s">
        <v>1940</v>
      </c>
      <c r="F1819" s="6" t="s">
        <v>9</v>
      </c>
      <c r="G1819" s="6" t="s">
        <v>59</v>
      </c>
      <c r="H1819" s="9" t="s">
        <v>60</v>
      </c>
      <c r="I1819" s="7" t="str">
        <f t="shared" si="112"/>
        <v>61001001001</v>
      </c>
      <c r="J1819" s="7" t="str">
        <f t="shared" si="113"/>
        <v>Материал по ЕГРН</v>
      </c>
      <c r="K1819" s="7">
        <f>VLOOKUP(J1819,Лист2!A$2:B$4,2,FALSE)</f>
        <v>792</v>
      </c>
      <c r="L1819" s="7" t="str">
        <f t="shared" si="114"/>
        <v>ГОТОВ_ИЗМЕНЕН</v>
      </c>
      <c r="M1819" s="7">
        <f t="shared" si="115"/>
        <v>0</v>
      </c>
    </row>
    <row r="1820" spans="1:13" x14ac:dyDescent="0.25">
      <c r="A1820" s="1">
        <v>944154</v>
      </c>
      <c r="B1820" s="6" t="s">
        <v>1941</v>
      </c>
      <c r="F1820" s="6" t="s">
        <v>9</v>
      </c>
      <c r="G1820" s="6" t="s">
        <v>133</v>
      </c>
      <c r="H1820" s="9" t="s">
        <v>134</v>
      </c>
      <c r="I1820" s="7" t="str">
        <f t="shared" si="112"/>
        <v>61001006003</v>
      </c>
      <c r="J1820" s="7" t="str">
        <f t="shared" si="113"/>
        <v>Материал по ЕГРН</v>
      </c>
      <c r="K1820" s="7">
        <f>VLOOKUP(J1820,Лист2!A$2:B$4,2,FALSE)</f>
        <v>792</v>
      </c>
      <c r="L1820" s="7" t="str">
        <f t="shared" si="114"/>
        <v>ГОТОВ_ИЗМЕНЕН</v>
      </c>
      <c r="M1820" s="7">
        <f t="shared" si="115"/>
        <v>0</v>
      </c>
    </row>
    <row r="1821" spans="1:13" x14ac:dyDescent="0.25">
      <c r="A1821" s="1">
        <v>944166</v>
      </c>
      <c r="B1821" s="6" t="s">
        <v>1942</v>
      </c>
      <c r="F1821" s="6" t="s">
        <v>9</v>
      </c>
      <c r="G1821" s="6" t="s">
        <v>34</v>
      </c>
      <c r="H1821" s="9" t="s">
        <v>35</v>
      </c>
      <c r="I1821" s="7" t="str">
        <f t="shared" si="112"/>
        <v>61001002000</v>
      </c>
      <c r="J1821" s="7" t="str">
        <f t="shared" si="113"/>
        <v>Материал по ЕГРН</v>
      </c>
      <c r="K1821" s="7">
        <f>VLOOKUP(J1821,Лист2!A$2:B$4,2,FALSE)</f>
        <v>792</v>
      </c>
      <c r="L1821" s="7" t="str">
        <f t="shared" si="114"/>
        <v>ГОТОВ_ИЗМЕНЕН</v>
      </c>
      <c r="M1821" s="7">
        <f t="shared" si="115"/>
        <v>0</v>
      </c>
    </row>
    <row r="1822" spans="1:13" x14ac:dyDescent="0.25">
      <c r="A1822" s="1">
        <v>944178</v>
      </c>
      <c r="B1822" s="6" t="s">
        <v>1943</v>
      </c>
      <c r="F1822" s="6" t="s">
        <v>9</v>
      </c>
      <c r="G1822" s="6" t="s">
        <v>34</v>
      </c>
      <c r="H1822" s="9" t="s">
        <v>35</v>
      </c>
      <c r="I1822" s="7" t="str">
        <f t="shared" si="112"/>
        <v>61001002000</v>
      </c>
      <c r="J1822" s="7" t="str">
        <f t="shared" si="113"/>
        <v>Материал по ЕГРН</v>
      </c>
      <c r="K1822" s="7">
        <f>VLOOKUP(J1822,Лист2!A$2:B$4,2,FALSE)</f>
        <v>792</v>
      </c>
      <c r="L1822" s="7" t="str">
        <f t="shared" si="114"/>
        <v>ГОТОВ_ИЗМЕНЕН</v>
      </c>
      <c r="M1822" s="7">
        <f t="shared" si="115"/>
        <v>0</v>
      </c>
    </row>
    <row r="1823" spans="1:13" x14ac:dyDescent="0.25">
      <c r="A1823" s="1">
        <v>944190</v>
      </c>
      <c r="B1823" s="6" t="s">
        <v>1944</v>
      </c>
      <c r="F1823" s="6" t="s">
        <v>9</v>
      </c>
      <c r="G1823" s="6" t="s">
        <v>34</v>
      </c>
      <c r="H1823" s="9" t="s">
        <v>35</v>
      </c>
      <c r="I1823" s="7" t="str">
        <f t="shared" si="112"/>
        <v>61001002000</v>
      </c>
      <c r="J1823" s="7" t="str">
        <f t="shared" si="113"/>
        <v>Материал по ЕГРН</v>
      </c>
      <c r="K1823" s="7">
        <f>VLOOKUP(J1823,Лист2!A$2:B$4,2,FALSE)</f>
        <v>792</v>
      </c>
      <c r="L1823" s="7" t="str">
        <f t="shared" si="114"/>
        <v>ГОТОВ_ИЗМЕНЕН</v>
      </c>
      <c r="M1823" s="7">
        <f t="shared" si="115"/>
        <v>0</v>
      </c>
    </row>
    <row r="1824" spans="1:13" x14ac:dyDescent="0.25">
      <c r="A1824" s="1">
        <v>944202</v>
      </c>
      <c r="B1824" s="6" t="s">
        <v>1945</v>
      </c>
      <c r="F1824" s="6" t="s">
        <v>9</v>
      </c>
      <c r="G1824" s="6" t="s">
        <v>62</v>
      </c>
      <c r="H1824" s="9" t="s">
        <v>63</v>
      </c>
      <c r="I1824" s="7" t="str">
        <f t="shared" si="112"/>
        <v>61001006002</v>
      </c>
      <c r="J1824" s="7" t="str">
        <f t="shared" si="113"/>
        <v>Материал по ЕГРН</v>
      </c>
      <c r="K1824" s="7">
        <f>VLOOKUP(J1824,Лист2!A$2:B$4,2,FALSE)</f>
        <v>792</v>
      </c>
      <c r="L1824" s="7" t="str">
        <f t="shared" si="114"/>
        <v>ГОТОВ_ИЗМЕНЕН</v>
      </c>
      <c r="M1824" s="7">
        <f t="shared" si="115"/>
        <v>0</v>
      </c>
    </row>
    <row r="1825" spans="1:13" x14ac:dyDescent="0.25">
      <c r="A1825" s="1">
        <v>944214</v>
      </c>
      <c r="B1825" s="6" t="s">
        <v>1946</v>
      </c>
      <c r="F1825" s="6" t="s">
        <v>9</v>
      </c>
      <c r="G1825" s="6" t="s">
        <v>38</v>
      </c>
      <c r="H1825" s="9" t="s">
        <v>33</v>
      </c>
      <c r="I1825" s="7" t="str">
        <f t="shared" si="112"/>
        <v>61001005000</v>
      </c>
      <c r="J1825" s="7" t="str">
        <f t="shared" si="113"/>
        <v>Материал по ЕГРН</v>
      </c>
      <c r="K1825" s="7">
        <f>VLOOKUP(J1825,Лист2!A$2:B$4,2,FALSE)</f>
        <v>792</v>
      </c>
      <c r="L1825" s="7" t="str">
        <f t="shared" si="114"/>
        <v>ГОТОВ_ИЗМЕНЕН</v>
      </c>
      <c r="M1825" s="7">
        <f t="shared" si="115"/>
        <v>0</v>
      </c>
    </row>
    <row r="1826" spans="1:13" x14ac:dyDescent="0.25">
      <c r="A1826" s="1">
        <v>944226</v>
      </c>
      <c r="B1826" s="6" t="s">
        <v>1947</v>
      </c>
      <c r="F1826" s="6" t="s">
        <v>9</v>
      </c>
      <c r="G1826" s="6" t="s">
        <v>62</v>
      </c>
      <c r="H1826" s="9" t="s">
        <v>63</v>
      </c>
      <c r="I1826" s="7" t="str">
        <f t="shared" si="112"/>
        <v>61001006002</v>
      </c>
      <c r="J1826" s="7" t="str">
        <f t="shared" si="113"/>
        <v>Материал по ЕГРН</v>
      </c>
      <c r="K1826" s="7">
        <f>VLOOKUP(J1826,Лист2!A$2:B$4,2,FALSE)</f>
        <v>792</v>
      </c>
      <c r="L1826" s="7" t="str">
        <f t="shared" si="114"/>
        <v>ГОТОВ_ИЗМЕНЕН</v>
      </c>
      <c r="M1826" s="7">
        <f t="shared" si="115"/>
        <v>0</v>
      </c>
    </row>
    <row r="1827" spans="1:13" x14ac:dyDescent="0.25">
      <c r="A1827" s="1">
        <v>944238</v>
      </c>
      <c r="B1827" s="6" t="s">
        <v>1948</v>
      </c>
      <c r="F1827" s="6" t="s">
        <v>9</v>
      </c>
      <c r="G1827" s="6" t="s">
        <v>38</v>
      </c>
      <c r="H1827" s="9" t="s">
        <v>33</v>
      </c>
      <c r="I1827" s="7" t="str">
        <f t="shared" si="112"/>
        <v>61001005000</v>
      </c>
      <c r="J1827" s="7" t="str">
        <f t="shared" si="113"/>
        <v>Материал по ЕГРН</v>
      </c>
      <c r="K1827" s="7">
        <f>VLOOKUP(J1827,Лист2!A$2:B$4,2,FALSE)</f>
        <v>792</v>
      </c>
      <c r="L1827" s="7" t="str">
        <f t="shared" si="114"/>
        <v>ГОТОВ_ИЗМЕНЕН</v>
      </c>
      <c r="M1827" s="7">
        <f t="shared" si="115"/>
        <v>0</v>
      </c>
    </row>
    <row r="1828" spans="1:13" x14ac:dyDescent="0.25">
      <c r="A1828" s="1">
        <v>944250</v>
      </c>
      <c r="B1828" s="6" t="s">
        <v>1949</v>
      </c>
      <c r="F1828" s="6" t="s">
        <v>9</v>
      </c>
      <c r="G1828" s="6" t="s">
        <v>10</v>
      </c>
      <c r="H1828" s="9" t="s">
        <v>11</v>
      </c>
      <c r="I1828" s="7" t="str">
        <f t="shared" si="112"/>
        <v>61001003000</v>
      </c>
      <c r="J1828" s="7" t="str">
        <f t="shared" si="113"/>
        <v>Материал по ЕГРН</v>
      </c>
      <c r="K1828" s="7">
        <f>VLOOKUP(J1828,Лист2!A$2:B$4,2,FALSE)</f>
        <v>792</v>
      </c>
      <c r="L1828" s="7" t="str">
        <f t="shared" si="114"/>
        <v>ГОТОВ_ИЗМЕНЕН</v>
      </c>
      <c r="M1828" s="7">
        <f t="shared" si="115"/>
        <v>0</v>
      </c>
    </row>
    <row r="1829" spans="1:13" x14ac:dyDescent="0.25">
      <c r="A1829" s="1">
        <v>944262</v>
      </c>
      <c r="B1829" s="6" t="s">
        <v>1950</v>
      </c>
      <c r="F1829" s="6" t="s">
        <v>9</v>
      </c>
      <c r="G1829" s="6" t="s">
        <v>43</v>
      </c>
      <c r="H1829" s="9" t="s">
        <v>42</v>
      </c>
      <c r="I1829" s="7" t="str">
        <f t="shared" si="112"/>
        <v>61001002001</v>
      </c>
      <c r="J1829" s="7" t="str">
        <f t="shared" si="113"/>
        <v>Материал по ЕГРН</v>
      </c>
      <c r="K1829" s="7">
        <f>VLOOKUP(J1829,Лист2!A$2:B$4,2,FALSE)</f>
        <v>792</v>
      </c>
      <c r="L1829" s="7" t="str">
        <f t="shared" si="114"/>
        <v>ГОТОВ_ИЗМЕНЕН</v>
      </c>
      <c r="M1829" s="7">
        <f t="shared" si="115"/>
        <v>0</v>
      </c>
    </row>
    <row r="1830" spans="1:13" x14ac:dyDescent="0.25">
      <c r="A1830" s="1">
        <v>944274</v>
      </c>
      <c r="B1830" s="6" t="s">
        <v>1951</v>
      </c>
      <c r="F1830" s="6" t="s">
        <v>9</v>
      </c>
      <c r="G1830" s="6" t="s">
        <v>43</v>
      </c>
      <c r="H1830" s="9" t="s">
        <v>42</v>
      </c>
      <c r="I1830" s="7" t="str">
        <f t="shared" si="112"/>
        <v>61001002001</v>
      </c>
      <c r="J1830" s="7" t="str">
        <f t="shared" si="113"/>
        <v>Материал по ЕГРН</v>
      </c>
      <c r="K1830" s="7">
        <f>VLOOKUP(J1830,Лист2!A$2:B$4,2,FALSE)</f>
        <v>792</v>
      </c>
      <c r="L1830" s="7" t="str">
        <f t="shared" si="114"/>
        <v>ГОТОВ_ИЗМЕНЕН</v>
      </c>
      <c r="M1830" s="7">
        <f t="shared" si="115"/>
        <v>0</v>
      </c>
    </row>
    <row r="1831" spans="1:13" x14ac:dyDescent="0.25">
      <c r="A1831" s="1">
        <v>123993</v>
      </c>
      <c r="B1831" s="6" t="s">
        <v>1952</v>
      </c>
      <c r="C1831" s="9" t="s">
        <v>33</v>
      </c>
      <c r="D1831" s="6" t="s">
        <v>20</v>
      </c>
      <c r="E1831" s="6" t="s">
        <v>37</v>
      </c>
      <c r="F1831" s="6" t="s">
        <v>9</v>
      </c>
      <c r="G1831" s="6" t="s">
        <v>38</v>
      </c>
      <c r="H1831" s="9" t="s">
        <v>33</v>
      </c>
      <c r="I1831" s="7" t="str">
        <f t="shared" si="112"/>
        <v>61001005000</v>
      </c>
      <c r="J1831" s="7" t="str">
        <f t="shared" si="113"/>
        <v>Материал по ЕГРН</v>
      </c>
      <c r="K1831" s="7">
        <f>VLOOKUP(J1831,Лист2!A$2:B$4,2,FALSE)</f>
        <v>792</v>
      </c>
      <c r="L1831" s="7" t="str">
        <f t="shared" si="114"/>
        <v>ГОТОВ</v>
      </c>
      <c r="M1831" s="7" t="str">
        <f t="shared" si="115"/>
        <v>61001005000</v>
      </c>
    </row>
    <row r="1832" spans="1:13" x14ac:dyDescent="0.25">
      <c r="A1832" s="1">
        <v>378705</v>
      </c>
      <c r="B1832" s="6" t="s">
        <v>1953</v>
      </c>
      <c r="C1832" s="9" t="s">
        <v>60</v>
      </c>
      <c r="D1832" s="6" t="s">
        <v>20</v>
      </c>
      <c r="E1832" s="6" t="s">
        <v>37</v>
      </c>
      <c r="F1832" s="6" t="s">
        <v>9</v>
      </c>
      <c r="G1832" s="6" t="s">
        <v>59</v>
      </c>
      <c r="H1832" s="9" t="s">
        <v>60</v>
      </c>
      <c r="I1832" s="7" t="str">
        <f t="shared" si="112"/>
        <v>61001001001</v>
      </c>
      <c r="J1832" s="7" t="str">
        <f t="shared" si="113"/>
        <v>Материал по ЕГРН</v>
      </c>
      <c r="K1832" s="7">
        <f>VLOOKUP(J1832,Лист2!A$2:B$4,2,FALSE)</f>
        <v>792</v>
      </c>
      <c r="L1832" s="7" t="str">
        <f t="shared" si="114"/>
        <v>ГОТОВ</v>
      </c>
      <c r="M1832" s="7" t="str">
        <f t="shared" si="115"/>
        <v>61001001001</v>
      </c>
    </row>
    <row r="1833" spans="1:13" x14ac:dyDescent="0.25">
      <c r="A1833" s="1">
        <v>787980</v>
      </c>
      <c r="B1833" s="6" t="s">
        <v>1954</v>
      </c>
      <c r="C1833" s="9" t="s">
        <v>33</v>
      </c>
      <c r="D1833" s="6" t="s">
        <v>20</v>
      </c>
      <c r="E1833" s="6" t="s">
        <v>37</v>
      </c>
      <c r="F1833" s="6" t="s">
        <v>9</v>
      </c>
      <c r="G1833" s="6" t="s">
        <v>38</v>
      </c>
      <c r="H1833" s="9" t="s">
        <v>33</v>
      </c>
      <c r="I1833" s="7" t="str">
        <f t="shared" si="112"/>
        <v>61001005000</v>
      </c>
      <c r="J1833" s="7" t="str">
        <f t="shared" si="113"/>
        <v>Материал по ЕГРН</v>
      </c>
      <c r="K1833" s="7">
        <f>VLOOKUP(J1833,Лист2!A$2:B$4,2,FALSE)</f>
        <v>792</v>
      </c>
      <c r="L1833" s="7" t="str">
        <f t="shared" si="114"/>
        <v>ГОТОВ</v>
      </c>
      <c r="M1833" s="7" t="str">
        <f t="shared" si="115"/>
        <v>61001005000</v>
      </c>
    </row>
    <row r="1834" spans="1:13" x14ac:dyDescent="0.25">
      <c r="A1834" s="1">
        <v>862712</v>
      </c>
      <c r="B1834" s="6" t="s">
        <v>1955</v>
      </c>
      <c r="C1834" s="9" t="s">
        <v>42</v>
      </c>
      <c r="D1834" s="6" t="s">
        <v>20</v>
      </c>
      <c r="E1834" s="6" t="s">
        <v>37</v>
      </c>
      <c r="F1834" s="6" t="s">
        <v>9</v>
      </c>
      <c r="G1834" s="6" t="s">
        <v>43</v>
      </c>
      <c r="H1834" s="9" t="s">
        <v>42</v>
      </c>
      <c r="I1834" s="7" t="str">
        <f t="shared" si="112"/>
        <v>61001002001</v>
      </c>
      <c r="J1834" s="7" t="str">
        <f t="shared" si="113"/>
        <v>Материал по ЕГРН</v>
      </c>
      <c r="K1834" s="7">
        <f>VLOOKUP(J1834,Лист2!A$2:B$4,2,FALSE)</f>
        <v>792</v>
      </c>
      <c r="L1834" s="7" t="str">
        <f t="shared" si="114"/>
        <v>ГОТОВ</v>
      </c>
      <c r="M1834" s="7" t="str">
        <f t="shared" si="115"/>
        <v>61001002001</v>
      </c>
    </row>
    <row r="1835" spans="1:13" x14ac:dyDescent="0.25">
      <c r="A1835" s="1">
        <v>945791</v>
      </c>
      <c r="B1835" s="6" t="s">
        <v>1956</v>
      </c>
      <c r="F1835" s="6" t="s">
        <v>9</v>
      </c>
      <c r="G1835" s="6" t="s">
        <v>38</v>
      </c>
      <c r="H1835" s="9" t="s">
        <v>33</v>
      </c>
      <c r="I1835" s="7" t="str">
        <f t="shared" si="112"/>
        <v>61001005000</v>
      </c>
      <c r="J1835" s="7" t="str">
        <f t="shared" si="113"/>
        <v>Материал по ЕГРН</v>
      </c>
      <c r="K1835" s="7">
        <f>VLOOKUP(J1835,Лист2!A$2:B$4,2,FALSE)</f>
        <v>792</v>
      </c>
      <c r="L1835" s="7" t="str">
        <f t="shared" si="114"/>
        <v>ГОТОВ_ИЗМЕНЕН</v>
      </c>
      <c r="M1835" s="7">
        <f t="shared" si="115"/>
        <v>0</v>
      </c>
    </row>
    <row r="1836" spans="1:13" x14ac:dyDescent="0.25">
      <c r="A1836" s="1">
        <v>945803</v>
      </c>
      <c r="B1836" s="6" t="s">
        <v>1957</v>
      </c>
      <c r="F1836" s="6" t="s">
        <v>9</v>
      </c>
      <c r="G1836" s="6" t="s">
        <v>62</v>
      </c>
      <c r="H1836" s="9" t="s">
        <v>63</v>
      </c>
      <c r="I1836" s="7" t="str">
        <f t="shared" si="112"/>
        <v>61001006002</v>
      </c>
      <c r="J1836" s="7" t="str">
        <f t="shared" si="113"/>
        <v>Материал по ЕГРН</v>
      </c>
      <c r="K1836" s="7">
        <f>VLOOKUP(J1836,Лист2!A$2:B$4,2,FALSE)</f>
        <v>792</v>
      </c>
      <c r="L1836" s="7" t="str">
        <f t="shared" si="114"/>
        <v>ГОТОВ_ИЗМЕНЕН</v>
      </c>
      <c r="M1836" s="7">
        <f t="shared" si="115"/>
        <v>0</v>
      </c>
    </row>
    <row r="1837" spans="1:13" x14ac:dyDescent="0.25">
      <c r="A1837" s="1">
        <v>945815</v>
      </c>
      <c r="B1837" s="6" t="s">
        <v>1958</v>
      </c>
      <c r="F1837" s="6" t="s">
        <v>9</v>
      </c>
      <c r="G1837" s="6" t="s">
        <v>38</v>
      </c>
      <c r="H1837" s="9" t="s">
        <v>33</v>
      </c>
      <c r="I1837" s="7" t="str">
        <f t="shared" si="112"/>
        <v>61001005000</v>
      </c>
      <c r="J1837" s="7" t="str">
        <f t="shared" si="113"/>
        <v>Материал по ЕГРН</v>
      </c>
      <c r="K1837" s="7">
        <f>VLOOKUP(J1837,Лист2!A$2:B$4,2,FALSE)</f>
        <v>792</v>
      </c>
      <c r="L1837" s="7" t="str">
        <f t="shared" si="114"/>
        <v>ГОТОВ_ИЗМЕНЕН</v>
      </c>
      <c r="M1837" s="7">
        <f t="shared" si="115"/>
        <v>0</v>
      </c>
    </row>
    <row r="1838" spans="1:13" x14ac:dyDescent="0.25">
      <c r="A1838" s="1">
        <v>945827</v>
      </c>
      <c r="B1838" s="6" t="s">
        <v>1959</v>
      </c>
      <c r="F1838" s="6" t="s">
        <v>9</v>
      </c>
      <c r="G1838" s="6" t="s">
        <v>34</v>
      </c>
      <c r="H1838" s="9" t="s">
        <v>35</v>
      </c>
      <c r="I1838" s="7" t="str">
        <f t="shared" si="112"/>
        <v>61001002000</v>
      </c>
      <c r="J1838" s="7" t="str">
        <f t="shared" si="113"/>
        <v>Материал по ЕГРН</v>
      </c>
      <c r="K1838" s="7">
        <f>VLOOKUP(J1838,Лист2!A$2:B$4,2,FALSE)</f>
        <v>792</v>
      </c>
      <c r="L1838" s="7" t="str">
        <f t="shared" si="114"/>
        <v>ГОТОВ_ИЗМЕНЕН</v>
      </c>
      <c r="M1838" s="7">
        <f t="shared" si="115"/>
        <v>0</v>
      </c>
    </row>
    <row r="1839" spans="1:13" x14ac:dyDescent="0.25">
      <c r="A1839" s="1">
        <v>945839</v>
      </c>
      <c r="B1839" s="6" t="s">
        <v>1960</v>
      </c>
      <c r="F1839" s="6" t="s">
        <v>9</v>
      </c>
      <c r="G1839" s="6" t="s">
        <v>34</v>
      </c>
      <c r="H1839" s="9" t="s">
        <v>35</v>
      </c>
      <c r="I1839" s="7" t="str">
        <f t="shared" si="112"/>
        <v>61001002000</v>
      </c>
      <c r="J1839" s="7" t="str">
        <f t="shared" si="113"/>
        <v>Материал по ЕГРН</v>
      </c>
      <c r="K1839" s="7">
        <f>VLOOKUP(J1839,Лист2!A$2:B$4,2,FALSE)</f>
        <v>792</v>
      </c>
      <c r="L1839" s="7" t="str">
        <f t="shared" si="114"/>
        <v>ГОТОВ_ИЗМЕНЕН</v>
      </c>
      <c r="M1839" s="7">
        <f t="shared" si="115"/>
        <v>0</v>
      </c>
    </row>
    <row r="1840" spans="1:13" x14ac:dyDescent="0.25">
      <c r="A1840" s="1">
        <v>366715</v>
      </c>
      <c r="B1840" s="6" t="s">
        <v>1961</v>
      </c>
      <c r="C1840" s="9" t="s">
        <v>33</v>
      </c>
      <c r="D1840" s="6" t="s">
        <v>20</v>
      </c>
      <c r="E1840" s="6" t="s">
        <v>37</v>
      </c>
      <c r="F1840" s="6" t="s">
        <v>9</v>
      </c>
      <c r="G1840" s="6" t="s">
        <v>38</v>
      </c>
      <c r="H1840" s="9" t="s">
        <v>33</v>
      </c>
      <c r="I1840" s="7" t="str">
        <f t="shared" si="112"/>
        <v>61001005000</v>
      </c>
      <c r="J1840" s="7" t="str">
        <f t="shared" si="113"/>
        <v>Материал по ЕГРН</v>
      </c>
      <c r="K1840" s="7">
        <f>VLOOKUP(J1840,Лист2!A$2:B$4,2,FALSE)</f>
        <v>792</v>
      </c>
      <c r="L1840" s="7" t="str">
        <f t="shared" si="114"/>
        <v>ГОТОВ</v>
      </c>
      <c r="M1840" s="7" t="str">
        <f t="shared" si="115"/>
        <v>61001005000</v>
      </c>
    </row>
    <row r="1841" spans="1:13" x14ac:dyDescent="0.25">
      <c r="A1841" s="1">
        <v>515717</v>
      </c>
      <c r="B1841" s="6" t="s">
        <v>1962</v>
      </c>
      <c r="C1841" s="9" t="s">
        <v>33</v>
      </c>
      <c r="D1841" s="6" t="s">
        <v>20</v>
      </c>
      <c r="E1841" s="6" t="s">
        <v>37</v>
      </c>
      <c r="F1841" s="6" t="s">
        <v>9</v>
      </c>
      <c r="G1841" s="6" t="s">
        <v>38</v>
      </c>
      <c r="H1841" s="9" t="s">
        <v>33</v>
      </c>
      <c r="I1841" s="7" t="str">
        <f t="shared" si="112"/>
        <v>61001005000</v>
      </c>
      <c r="J1841" s="7" t="str">
        <f t="shared" si="113"/>
        <v>Материал по ЕГРН</v>
      </c>
      <c r="K1841" s="7">
        <f>VLOOKUP(J1841,Лист2!A$2:B$4,2,FALSE)</f>
        <v>792</v>
      </c>
      <c r="L1841" s="7" t="str">
        <f t="shared" si="114"/>
        <v>ГОТОВ</v>
      </c>
      <c r="M1841" s="7" t="str">
        <f t="shared" si="115"/>
        <v>61001005000</v>
      </c>
    </row>
    <row r="1842" spans="1:13" x14ac:dyDescent="0.25">
      <c r="A1842" s="1">
        <v>524367</v>
      </c>
      <c r="B1842" s="6" t="s">
        <v>1963</v>
      </c>
      <c r="C1842" s="9" t="s">
        <v>33</v>
      </c>
      <c r="D1842" s="6" t="s">
        <v>20</v>
      </c>
      <c r="E1842" s="6" t="s">
        <v>37</v>
      </c>
      <c r="F1842" s="6" t="s">
        <v>9</v>
      </c>
      <c r="G1842" s="6" t="s">
        <v>38</v>
      </c>
      <c r="H1842" s="9" t="s">
        <v>33</v>
      </c>
      <c r="I1842" s="7" t="str">
        <f t="shared" si="112"/>
        <v>61001005000</v>
      </c>
      <c r="J1842" s="7" t="str">
        <f t="shared" si="113"/>
        <v>Материал по ЕГРН</v>
      </c>
      <c r="K1842" s="7">
        <f>VLOOKUP(J1842,Лист2!A$2:B$4,2,FALSE)</f>
        <v>792</v>
      </c>
      <c r="L1842" s="7" t="str">
        <f t="shared" si="114"/>
        <v>ГОТОВ</v>
      </c>
      <c r="M1842" s="7" t="str">
        <f t="shared" si="115"/>
        <v>61001005000</v>
      </c>
    </row>
    <row r="1843" spans="1:13" x14ac:dyDescent="0.25">
      <c r="A1843" s="1">
        <v>531053</v>
      </c>
      <c r="B1843" s="6" t="s">
        <v>1964</v>
      </c>
      <c r="C1843" s="9" t="s">
        <v>33</v>
      </c>
      <c r="D1843" s="6" t="s">
        <v>20</v>
      </c>
      <c r="E1843" s="6" t="s">
        <v>37</v>
      </c>
      <c r="F1843" s="6" t="s">
        <v>9</v>
      </c>
      <c r="G1843" s="6" t="s">
        <v>38</v>
      </c>
      <c r="H1843" s="9" t="s">
        <v>33</v>
      </c>
      <c r="I1843" s="7" t="str">
        <f t="shared" si="112"/>
        <v>61001005000</v>
      </c>
      <c r="J1843" s="7" t="str">
        <f t="shared" si="113"/>
        <v>Материал по ЕГРН</v>
      </c>
      <c r="K1843" s="7">
        <f>VLOOKUP(J1843,Лист2!A$2:B$4,2,FALSE)</f>
        <v>792</v>
      </c>
      <c r="L1843" s="7" t="str">
        <f t="shared" si="114"/>
        <v>ГОТОВ</v>
      </c>
      <c r="M1843" s="7" t="str">
        <f t="shared" si="115"/>
        <v>61001005000</v>
      </c>
    </row>
    <row r="1844" spans="1:13" x14ac:dyDescent="0.25">
      <c r="A1844" s="1">
        <v>759743</v>
      </c>
      <c r="B1844" s="6" t="s">
        <v>1965</v>
      </c>
      <c r="C1844" s="9" t="s">
        <v>33</v>
      </c>
      <c r="D1844" s="6" t="s">
        <v>20</v>
      </c>
      <c r="E1844" s="6" t="s">
        <v>8</v>
      </c>
      <c r="F1844" s="6" t="s">
        <v>9</v>
      </c>
      <c r="G1844" s="6" t="s">
        <v>34</v>
      </c>
      <c r="H1844" s="9" t="s">
        <v>35</v>
      </c>
      <c r="I1844" s="7" t="str">
        <f t="shared" si="112"/>
        <v>61001002000</v>
      </c>
      <c r="J1844" s="7" t="str">
        <f t="shared" si="113"/>
        <v>Материал по ЕГРН</v>
      </c>
      <c r="K1844" s="7">
        <f>VLOOKUP(J1844,Лист2!A$2:B$4,2,FALSE)</f>
        <v>792</v>
      </c>
      <c r="L1844" s="7" t="str">
        <f t="shared" si="114"/>
        <v>ГОТОВ_ИЗМЕНЕН</v>
      </c>
      <c r="M1844" s="7" t="str">
        <f t="shared" si="115"/>
        <v>61001005000</v>
      </c>
    </row>
    <row r="1845" spans="1:13" x14ac:dyDescent="0.25">
      <c r="A1845" s="1">
        <v>238540</v>
      </c>
      <c r="B1845" s="6" t="s">
        <v>1966</v>
      </c>
      <c r="C1845" s="9" t="s">
        <v>35</v>
      </c>
      <c r="D1845" s="6" t="s">
        <v>20</v>
      </c>
      <c r="E1845" s="6" t="s">
        <v>37</v>
      </c>
      <c r="F1845" s="6" t="s">
        <v>9</v>
      </c>
      <c r="G1845" s="6" t="s">
        <v>34</v>
      </c>
      <c r="H1845" s="9" t="s">
        <v>35</v>
      </c>
      <c r="I1845" s="7" t="str">
        <f t="shared" si="112"/>
        <v>61001002000</v>
      </c>
      <c r="J1845" s="7" t="str">
        <f t="shared" si="113"/>
        <v>Материал по ЕГРН</v>
      </c>
      <c r="K1845" s="7">
        <f>VLOOKUP(J1845,Лист2!A$2:B$4,2,FALSE)</f>
        <v>792</v>
      </c>
      <c r="L1845" s="7" t="str">
        <f t="shared" si="114"/>
        <v>ГОТОВ</v>
      </c>
      <c r="M1845" s="7" t="str">
        <f t="shared" si="115"/>
        <v>61001002000</v>
      </c>
    </row>
    <row r="1846" spans="1:13" x14ac:dyDescent="0.25">
      <c r="A1846" s="1">
        <v>320158</v>
      </c>
      <c r="B1846" s="6" t="s">
        <v>1967</v>
      </c>
      <c r="C1846" s="9" t="s">
        <v>779</v>
      </c>
      <c r="D1846" s="6" t="s">
        <v>20</v>
      </c>
      <c r="E1846" s="6" t="s">
        <v>37</v>
      </c>
      <c r="F1846" s="6" t="s">
        <v>9</v>
      </c>
      <c r="G1846" s="6" t="s">
        <v>778</v>
      </c>
      <c r="H1846" s="9" t="s">
        <v>779</v>
      </c>
      <c r="I1846" s="7" t="str">
        <f t="shared" si="112"/>
        <v>61001003002</v>
      </c>
      <c r="J1846" s="7" t="str">
        <f t="shared" si="113"/>
        <v>Материал по ЕГРН</v>
      </c>
      <c r="K1846" s="7">
        <f>VLOOKUP(J1846,Лист2!A$2:B$4,2,FALSE)</f>
        <v>792</v>
      </c>
      <c r="L1846" s="7" t="str">
        <f t="shared" si="114"/>
        <v>ГОТОВ</v>
      </c>
      <c r="M1846" s="7" t="str">
        <f t="shared" si="115"/>
        <v>61001003002</v>
      </c>
    </row>
    <row r="1847" spans="1:13" x14ac:dyDescent="0.25">
      <c r="A1847" s="1">
        <v>580625</v>
      </c>
      <c r="B1847" s="6" t="s">
        <v>1968</v>
      </c>
      <c r="C1847" s="9" t="s">
        <v>33</v>
      </c>
      <c r="D1847" s="6" t="s">
        <v>20</v>
      </c>
      <c r="E1847" s="6" t="s">
        <v>37</v>
      </c>
      <c r="F1847" s="6" t="s">
        <v>9</v>
      </c>
      <c r="G1847" s="6" t="s">
        <v>38</v>
      </c>
      <c r="H1847" s="9" t="s">
        <v>33</v>
      </c>
      <c r="I1847" s="7" t="str">
        <f t="shared" si="112"/>
        <v>61001005000</v>
      </c>
      <c r="J1847" s="7" t="str">
        <f t="shared" si="113"/>
        <v>Материал по ЕГРН</v>
      </c>
      <c r="K1847" s="7">
        <f>VLOOKUP(J1847,Лист2!A$2:B$4,2,FALSE)</f>
        <v>792</v>
      </c>
      <c r="L1847" s="7" t="str">
        <f t="shared" si="114"/>
        <v>ГОТОВ</v>
      </c>
      <c r="M1847" s="7" t="str">
        <f t="shared" si="115"/>
        <v>61001005000</v>
      </c>
    </row>
    <row r="1848" spans="1:13" x14ac:dyDescent="0.25">
      <c r="A1848" s="1">
        <v>120124</v>
      </c>
      <c r="B1848" s="6" t="s">
        <v>1969</v>
      </c>
      <c r="C1848" s="9" t="s">
        <v>42</v>
      </c>
      <c r="D1848" s="6" t="s">
        <v>20</v>
      </c>
      <c r="E1848" s="6" t="s">
        <v>37</v>
      </c>
      <c r="F1848" s="6" t="s">
        <v>9</v>
      </c>
      <c r="G1848" s="6" t="s">
        <v>43</v>
      </c>
      <c r="H1848" s="9" t="s">
        <v>42</v>
      </c>
      <c r="I1848" s="7" t="str">
        <f t="shared" si="112"/>
        <v>61001002001</v>
      </c>
      <c r="J1848" s="7" t="str">
        <f t="shared" si="113"/>
        <v>Материал по ЕГРН</v>
      </c>
      <c r="K1848" s="7">
        <f>VLOOKUP(J1848,Лист2!A$2:B$4,2,FALSE)</f>
        <v>792</v>
      </c>
      <c r="L1848" s="7" t="str">
        <f t="shared" si="114"/>
        <v>ГОТОВ</v>
      </c>
      <c r="M1848" s="7" t="str">
        <f t="shared" si="115"/>
        <v>61001002001</v>
      </c>
    </row>
    <row r="1849" spans="1:13" x14ac:dyDescent="0.25">
      <c r="A1849" s="1">
        <v>307774</v>
      </c>
      <c r="B1849" s="6" t="s">
        <v>1970</v>
      </c>
      <c r="C1849" s="9" t="s">
        <v>35</v>
      </c>
      <c r="D1849" s="6" t="s">
        <v>20</v>
      </c>
      <c r="E1849" s="6" t="s">
        <v>37</v>
      </c>
      <c r="F1849" s="6" t="s">
        <v>9</v>
      </c>
      <c r="G1849" s="6" t="s">
        <v>34</v>
      </c>
      <c r="H1849" s="9" t="s">
        <v>35</v>
      </c>
      <c r="I1849" s="7" t="str">
        <f t="shared" si="112"/>
        <v>61001002000</v>
      </c>
      <c r="J1849" s="7" t="str">
        <f t="shared" si="113"/>
        <v>Материал по ЕГРН</v>
      </c>
      <c r="K1849" s="7">
        <f>VLOOKUP(J1849,Лист2!A$2:B$4,2,FALSE)</f>
        <v>792</v>
      </c>
      <c r="L1849" s="7" t="str">
        <f t="shared" si="114"/>
        <v>ГОТОВ</v>
      </c>
      <c r="M1849" s="7" t="str">
        <f t="shared" si="115"/>
        <v>61001002000</v>
      </c>
    </row>
    <row r="1850" spans="1:13" x14ac:dyDescent="0.25">
      <c r="A1850" s="1">
        <v>775901</v>
      </c>
      <c r="B1850" s="6" t="s">
        <v>1971</v>
      </c>
      <c r="C1850" s="9" t="s">
        <v>42</v>
      </c>
      <c r="D1850" s="6" t="s">
        <v>20</v>
      </c>
      <c r="E1850" s="6" t="s">
        <v>37</v>
      </c>
      <c r="F1850" s="6" t="s">
        <v>9</v>
      </c>
      <c r="G1850" s="6" t="s">
        <v>43</v>
      </c>
      <c r="H1850" s="9" t="s">
        <v>42</v>
      </c>
      <c r="I1850" s="7" t="str">
        <f t="shared" si="112"/>
        <v>61001002001</v>
      </c>
      <c r="J1850" s="7" t="str">
        <f t="shared" si="113"/>
        <v>Материал по ЕГРН</v>
      </c>
      <c r="K1850" s="7">
        <f>VLOOKUP(J1850,Лист2!A$2:B$4,2,FALSE)</f>
        <v>792</v>
      </c>
      <c r="L1850" s="7" t="str">
        <f t="shared" si="114"/>
        <v>ГОТОВ</v>
      </c>
      <c r="M1850" s="7" t="str">
        <f t="shared" si="115"/>
        <v>61001002001</v>
      </c>
    </row>
    <row r="1851" spans="1:13" x14ac:dyDescent="0.25">
      <c r="A1851" s="1">
        <v>787665</v>
      </c>
      <c r="B1851" s="6" t="s">
        <v>1972</v>
      </c>
      <c r="C1851" s="9" t="s">
        <v>33</v>
      </c>
      <c r="D1851" s="6" t="s">
        <v>20</v>
      </c>
      <c r="E1851" s="6" t="s">
        <v>37</v>
      </c>
      <c r="F1851" s="6" t="s">
        <v>9</v>
      </c>
      <c r="G1851" s="6" t="s">
        <v>38</v>
      </c>
      <c r="H1851" s="9" t="s">
        <v>33</v>
      </c>
      <c r="I1851" s="7" t="str">
        <f t="shared" si="112"/>
        <v>61001005000</v>
      </c>
      <c r="J1851" s="7" t="str">
        <f t="shared" si="113"/>
        <v>Материал по ЕГРН</v>
      </c>
      <c r="K1851" s="7">
        <f>VLOOKUP(J1851,Лист2!A$2:B$4,2,FALSE)</f>
        <v>792</v>
      </c>
      <c r="L1851" s="7" t="str">
        <f t="shared" si="114"/>
        <v>ГОТОВ</v>
      </c>
      <c r="M1851" s="7" t="str">
        <f t="shared" si="115"/>
        <v>61001005000</v>
      </c>
    </row>
    <row r="1852" spans="1:13" x14ac:dyDescent="0.25">
      <c r="A1852" s="1">
        <v>943419</v>
      </c>
      <c r="B1852" s="6" t="s">
        <v>1973</v>
      </c>
      <c r="F1852" s="6" t="s">
        <v>9</v>
      </c>
      <c r="G1852" s="6" t="s">
        <v>10</v>
      </c>
      <c r="H1852" s="9" t="s">
        <v>11</v>
      </c>
      <c r="I1852" s="7" t="str">
        <f t="shared" si="112"/>
        <v>61001003000</v>
      </c>
      <c r="J1852" s="7" t="str">
        <f t="shared" si="113"/>
        <v>Материал по ЕГРН</v>
      </c>
      <c r="K1852" s="7">
        <f>VLOOKUP(J1852,Лист2!A$2:B$4,2,FALSE)</f>
        <v>792</v>
      </c>
      <c r="L1852" s="7" t="str">
        <f t="shared" si="114"/>
        <v>ГОТОВ_ИЗМЕНЕН</v>
      </c>
      <c r="M1852" s="7">
        <f t="shared" si="115"/>
        <v>0</v>
      </c>
    </row>
    <row r="1853" spans="1:13" x14ac:dyDescent="0.25">
      <c r="A1853" s="1">
        <v>943431</v>
      </c>
      <c r="B1853" s="6" t="s">
        <v>1974</v>
      </c>
      <c r="F1853" s="6" t="s">
        <v>9</v>
      </c>
      <c r="G1853" s="6" t="s">
        <v>10</v>
      </c>
      <c r="H1853" s="9" t="s">
        <v>11</v>
      </c>
      <c r="I1853" s="7" t="str">
        <f t="shared" si="112"/>
        <v>61001003000</v>
      </c>
      <c r="J1853" s="7" t="str">
        <f t="shared" si="113"/>
        <v>Материал по ЕГРН</v>
      </c>
      <c r="K1853" s="7">
        <f>VLOOKUP(J1853,Лист2!A$2:B$4,2,FALSE)</f>
        <v>792</v>
      </c>
      <c r="L1853" s="7" t="str">
        <f t="shared" si="114"/>
        <v>ГОТОВ_ИЗМЕНЕН</v>
      </c>
      <c r="M1853" s="7">
        <f t="shared" si="115"/>
        <v>0</v>
      </c>
    </row>
    <row r="1854" spans="1:13" x14ac:dyDescent="0.25">
      <c r="A1854" s="1">
        <v>943443</v>
      </c>
      <c r="B1854" s="6" t="s">
        <v>1975</v>
      </c>
      <c r="F1854" s="6" t="s">
        <v>9</v>
      </c>
      <c r="G1854" s="6" t="s">
        <v>34</v>
      </c>
      <c r="H1854" s="9" t="s">
        <v>35</v>
      </c>
      <c r="I1854" s="7" t="str">
        <f t="shared" si="112"/>
        <v>61001002000</v>
      </c>
      <c r="J1854" s="7" t="str">
        <f t="shared" si="113"/>
        <v>Материал по ЕГРН</v>
      </c>
      <c r="K1854" s="7">
        <f>VLOOKUP(J1854,Лист2!A$2:B$4,2,FALSE)</f>
        <v>792</v>
      </c>
      <c r="L1854" s="7" t="str">
        <f t="shared" si="114"/>
        <v>ГОТОВ_ИЗМЕНЕН</v>
      </c>
      <c r="M1854" s="7">
        <f t="shared" si="115"/>
        <v>0</v>
      </c>
    </row>
    <row r="1855" spans="1:13" x14ac:dyDescent="0.25">
      <c r="A1855" s="1">
        <v>943455</v>
      </c>
      <c r="B1855" s="6" t="s">
        <v>1976</v>
      </c>
      <c r="F1855" s="6" t="s">
        <v>9</v>
      </c>
      <c r="G1855" s="6" t="s">
        <v>38</v>
      </c>
      <c r="H1855" s="9" t="s">
        <v>33</v>
      </c>
      <c r="I1855" s="7" t="str">
        <f t="shared" si="112"/>
        <v>61001005000</v>
      </c>
      <c r="J1855" s="7" t="str">
        <f t="shared" si="113"/>
        <v>Материал по ЕГРН</v>
      </c>
      <c r="K1855" s="7">
        <f>VLOOKUP(J1855,Лист2!A$2:B$4,2,FALSE)</f>
        <v>792</v>
      </c>
      <c r="L1855" s="7" t="str">
        <f t="shared" si="114"/>
        <v>ГОТОВ_ИЗМЕНЕН</v>
      </c>
      <c r="M1855" s="7">
        <f t="shared" si="115"/>
        <v>0</v>
      </c>
    </row>
    <row r="1856" spans="1:13" x14ac:dyDescent="0.25">
      <c r="A1856" s="1">
        <v>943467</v>
      </c>
      <c r="B1856" s="6" t="s">
        <v>1977</v>
      </c>
      <c r="F1856" s="6" t="s">
        <v>9</v>
      </c>
      <c r="G1856" s="6" t="s">
        <v>10</v>
      </c>
      <c r="H1856" s="9" t="s">
        <v>11</v>
      </c>
      <c r="I1856" s="7" t="str">
        <f t="shared" si="112"/>
        <v>61001003000</v>
      </c>
      <c r="J1856" s="7" t="str">
        <f t="shared" si="113"/>
        <v>Материал по ЕГРН</v>
      </c>
      <c r="K1856" s="7">
        <f>VLOOKUP(J1856,Лист2!A$2:B$4,2,FALSE)</f>
        <v>792</v>
      </c>
      <c r="L1856" s="7" t="str">
        <f t="shared" si="114"/>
        <v>ГОТОВ_ИЗМЕНЕН</v>
      </c>
      <c r="M1856" s="7">
        <f t="shared" si="115"/>
        <v>0</v>
      </c>
    </row>
    <row r="1857" spans="1:13" x14ac:dyDescent="0.25">
      <c r="A1857" s="1">
        <v>943479</v>
      </c>
      <c r="B1857" s="6" t="s">
        <v>1978</v>
      </c>
      <c r="F1857" s="6" t="s">
        <v>9</v>
      </c>
      <c r="G1857" s="6" t="s">
        <v>62</v>
      </c>
      <c r="H1857" s="9" t="s">
        <v>63</v>
      </c>
      <c r="I1857" s="7" t="str">
        <f t="shared" si="112"/>
        <v>61001006002</v>
      </c>
      <c r="J1857" s="7" t="str">
        <f t="shared" si="113"/>
        <v>Материал по ЕГРН</v>
      </c>
      <c r="K1857" s="7">
        <f>VLOOKUP(J1857,Лист2!A$2:B$4,2,FALSE)</f>
        <v>792</v>
      </c>
      <c r="L1857" s="7" t="str">
        <f t="shared" si="114"/>
        <v>ГОТОВ_ИЗМЕНЕН</v>
      </c>
      <c r="M1857" s="7">
        <f t="shared" si="115"/>
        <v>0</v>
      </c>
    </row>
    <row r="1858" spans="1:13" x14ac:dyDescent="0.25">
      <c r="A1858" s="1">
        <v>943491</v>
      </c>
      <c r="B1858" s="6" t="s">
        <v>1979</v>
      </c>
      <c r="F1858" s="6" t="s">
        <v>9</v>
      </c>
      <c r="G1858" s="6" t="s">
        <v>38</v>
      </c>
      <c r="H1858" s="9" t="s">
        <v>33</v>
      </c>
      <c r="I1858" s="7" t="str">
        <f t="shared" si="112"/>
        <v>61001005000</v>
      </c>
      <c r="J1858" s="7" t="str">
        <f t="shared" si="113"/>
        <v>Материал по ЕГРН</v>
      </c>
      <c r="K1858" s="7">
        <f>VLOOKUP(J1858,Лист2!A$2:B$4,2,FALSE)</f>
        <v>792</v>
      </c>
      <c r="L1858" s="7" t="str">
        <f t="shared" si="114"/>
        <v>ГОТОВ_ИЗМЕНЕН</v>
      </c>
      <c r="M1858" s="7">
        <f t="shared" si="115"/>
        <v>0</v>
      </c>
    </row>
    <row r="1859" spans="1:13" x14ac:dyDescent="0.25">
      <c r="A1859" s="1">
        <v>943503</v>
      </c>
      <c r="B1859" s="6" t="s">
        <v>1980</v>
      </c>
      <c r="F1859" s="6" t="s">
        <v>9</v>
      </c>
      <c r="G1859" s="6" t="s">
        <v>62</v>
      </c>
      <c r="H1859" s="9" t="s">
        <v>63</v>
      </c>
      <c r="I1859" s="7" t="str">
        <f t="shared" si="112"/>
        <v>61001006002</v>
      </c>
      <c r="J1859" s="7" t="str">
        <f t="shared" si="113"/>
        <v>Материал по ЕГРН</v>
      </c>
      <c r="K1859" s="7">
        <f>VLOOKUP(J1859,Лист2!A$2:B$4,2,FALSE)</f>
        <v>792</v>
      </c>
      <c r="L1859" s="7" t="str">
        <f t="shared" si="114"/>
        <v>ГОТОВ_ИЗМЕНЕН</v>
      </c>
      <c r="M1859" s="7">
        <f t="shared" si="115"/>
        <v>0</v>
      </c>
    </row>
    <row r="1860" spans="1:13" x14ac:dyDescent="0.25">
      <c r="A1860" s="1">
        <v>943515</v>
      </c>
      <c r="B1860" s="6" t="s">
        <v>1981</v>
      </c>
      <c r="F1860" s="6" t="s">
        <v>9</v>
      </c>
      <c r="G1860" s="6" t="s">
        <v>90</v>
      </c>
      <c r="H1860" s="9" t="s">
        <v>12</v>
      </c>
      <c r="I1860" s="7" t="str">
        <f t="shared" si="112"/>
        <v>61001008000</v>
      </c>
      <c r="J1860" s="7" t="str">
        <f t="shared" si="113"/>
        <v>Материал по ЕГРН</v>
      </c>
      <c r="K1860" s="7">
        <f>VLOOKUP(J1860,Лист2!A$2:B$4,2,FALSE)</f>
        <v>792</v>
      </c>
      <c r="L1860" s="7" t="str">
        <f t="shared" si="114"/>
        <v>ГОТОВ_ИЗМЕНЕН</v>
      </c>
      <c r="M1860" s="7">
        <f t="shared" si="115"/>
        <v>0</v>
      </c>
    </row>
    <row r="1861" spans="1:13" x14ac:dyDescent="0.25">
      <c r="A1861" s="1">
        <v>943527</v>
      </c>
      <c r="B1861" s="6" t="s">
        <v>1982</v>
      </c>
      <c r="F1861" s="6" t="s">
        <v>9</v>
      </c>
      <c r="G1861" s="6" t="s">
        <v>34</v>
      </c>
      <c r="H1861" s="9" t="s">
        <v>35</v>
      </c>
      <c r="I1861" s="7" t="str">
        <f t="shared" ref="I1861:I1924" si="116">IF(LEN(H1861)=11,H1861,IF(LEN(H1861)=0,"61001005000","61001003000"))</f>
        <v>61001002000</v>
      </c>
      <c r="J1861" s="7" t="str">
        <f t="shared" ref="J1861:J1924" si="117">IF(LEN(H1861)=11,"Материал по ЕГРН",IF(LEN(H1861)=0,"Прочие по допущению","Смешанные по допущению"))</f>
        <v>Материал по ЕГРН</v>
      </c>
      <c r="K1861" s="7">
        <f>VLOOKUP(J1861,Лист2!A$2:B$4,2,FALSE)</f>
        <v>792</v>
      </c>
      <c r="L1861" s="7" t="str">
        <f t="shared" ref="L1861:L1924" si="118">IF(I1861=C1861,"ГОТОВ","ГОТОВ_ИЗМЕНЕН")</f>
        <v>ГОТОВ_ИЗМЕНЕН</v>
      </c>
      <c r="M1861" s="7">
        <f t="shared" ref="M1861:M1924" si="119">C1861</f>
        <v>0</v>
      </c>
    </row>
    <row r="1862" spans="1:13" x14ac:dyDescent="0.25">
      <c r="A1862" s="1">
        <v>943539</v>
      </c>
      <c r="B1862" s="6" t="s">
        <v>1983</v>
      </c>
      <c r="F1862" s="6" t="s">
        <v>9</v>
      </c>
      <c r="G1862" s="6" t="s">
        <v>73</v>
      </c>
      <c r="H1862" s="9" t="s">
        <v>74</v>
      </c>
      <c r="I1862" s="7" t="str">
        <f t="shared" si="116"/>
        <v>61001006000</v>
      </c>
      <c r="J1862" s="7" t="str">
        <f t="shared" si="117"/>
        <v>Материал по ЕГРН</v>
      </c>
      <c r="K1862" s="7">
        <f>VLOOKUP(J1862,Лист2!A$2:B$4,2,FALSE)</f>
        <v>792</v>
      </c>
      <c r="L1862" s="7" t="str">
        <f t="shared" si="118"/>
        <v>ГОТОВ_ИЗМЕНЕН</v>
      </c>
      <c r="M1862" s="7">
        <f t="shared" si="119"/>
        <v>0</v>
      </c>
    </row>
    <row r="1863" spans="1:13" x14ac:dyDescent="0.25">
      <c r="A1863" s="1">
        <v>943551</v>
      </c>
      <c r="B1863" s="6" t="s">
        <v>1984</v>
      </c>
      <c r="F1863" s="6" t="s">
        <v>9</v>
      </c>
      <c r="G1863" s="6" t="s">
        <v>59</v>
      </c>
      <c r="H1863" s="9" t="s">
        <v>60</v>
      </c>
      <c r="I1863" s="7" t="str">
        <f t="shared" si="116"/>
        <v>61001001001</v>
      </c>
      <c r="J1863" s="7" t="str">
        <f t="shared" si="117"/>
        <v>Материал по ЕГРН</v>
      </c>
      <c r="K1863" s="7">
        <f>VLOOKUP(J1863,Лист2!A$2:B$4,2,FALSE)</f>
        <v>792</v>
      </c>
      <c r="L1863" s="7" t="str">
        <f t="shared" si="118"/>
        <v>ГОТОВ_ИЗМЕНЕН</v>
      </c>
      <c r="M1863" s="7">
        <f t="shared" si="119"/>
        <v>0</v>
      </c>
    </row>
    <row r="1864" spans="1:13" x14ac:dyDescent="0.25">
      <c r="A1864" s="1">
        <v>943563</v>
      </c>
      <c r="B1864" s="6" t="s">
        <v>1985</v>
      </c>
      <c r="F1864" s="6" t="s">
        <v>9</v>
      </c>
      <c r="G1864" s="6" t="s">
        <v>38</v>
      </c>
      <c r="H1864" s="9" t="s">
        <v>33</v>
      </c>
      <c r="I1864" s="7" t="str">
        <f t="shared" si="116"/>
        <v>61001005000</v>
      </c>
      <c r="J1864" s="7" t="str">
        <f t="shared" si="117"/>
        <v>Материал по ЕГРН</v>
      </c>
      <c r="K1864" s="7">
        <f>VLOOKUP(J1864,Лист2!A$2:B$4,2,FALSE)</f>
        <v>792</v>
      </c>
      <c r="L1864" s="7" t="str">
        <f t="shared" si="118"/>
        <v>ГОТОВ_ИЗМЕНЕН</v>
      </c>
      <c r="M1864" s="7">
        <f t="shared" si="119"/>
        <v>0</v>
      </c>
    </row>
    <row r="1865" spans="1:13" x14ac:dyDescent="0.25">
      <c r="A1865" s="1">
        <v>943575</v>
      </c>
      <c r="B1865" s="6" t="s">
        <v>1986</v>
      </c>
      <c r="F1865" s="6" t="s">
        <v>9</v>
      </c>
      <c r="G1865" s="6" t="s">
        <v>170</v>
      </c>
      <c r="H1865" s="9" t="s">
        <v>171</v>
      </c>
      <c r="I1865" s="7" t="str">
        <f t="shared" si="116"/>
        <v>61001001000</v>
      </c>
      <c r="J1865" s="7" t="str">
        <f t="shared" si="117"/>
        <v>Материал по ЕГРН</v>
      </c>
      <c r="K1865" s="7">
        <f>VLOOKUP(J1865,Лист2!A$2:B$4,2,FALSE)</f>
        <v>792</v>
      </c>
      <c r="L1865" s="7" t="str">
        <f t="shared" si="118"/>
        <v>ГОТОВ_ИЗМЕНЕН</v>
      </c>
      <c r="M1865" s="7">
        <f t="shared" si="119"/>
        <v>0</v>
      </c>
    </row>
    <row r="1866" spans="1:13" x14ac:dyDescent="0.25">
      <c r="A1866" s="1">
        <v>943587</v>
      </c>
      <c r="B1866" s="6" t="s">
        <v>1987</v>
      </c>
      <c r="F1866" s="6" t="s">
        <v>9</v>
      </c>
      <c r="G1866" s="6" t="s">
        <v>38</v>
      </c>
      <c r="H1866" s="9" t="s">
        <v>33</v>
      </c>
      <c r="I1866" s="7" t="str">
        <f t="shared" si="116"/>
        <v>61001005000</v>
      </c>
      <c r="J1866" s="7" t="str">
        <f t="shared" si="117"/>
        <v>Материал по ЕГРН</v>
      </c>
      <c r="K1866" s="7">
        <f>VLOOKUP(J1866,Лист2!A$2:B$4,2,FALSE)</f>
        <v>792</v>
      </c>
      <c r="L1866" s="7" t="str">
        <f t="shared" si="118"/>
        <v>ГОТОВ_ИЗМЕНЕН</v>
      </c>
      <c r="M1866" s="7">
        <f t="shared" si="119"/>
        <v>0</v>
      </c>
    </row>
    <row r="1867" spans="1:13" x14ac:dyDescent="0.25">
      <c r="A1867" s="1">
        <v>943599</v>
      </c>
      <c r="B1867" s="6" t="s">
        <v>1988</v>
      </c>
      <c r="F1867" s="6" t="s">
        <v>9</v>
      </c>
      <c r="G1867" s="6" t="s">
        <v>38</v>
      </c>
      <c r="H1867" s="9" t="s">
        <v>33</v>
      </c>
      <c r="I1867" s="7" t="str">
        <f t="shared" si="116"/>
        <v>61001005000</v>
      </c>
      <c r="J1867" s="7" t="str">
        <f t="shared" si="117"/>
        <v>Материал по ЕГРН</v>
      </c>
      <c r="K1867" s="7">
        <f>VLOOKUP(J1867,Лист2!A$2:B$4,2,FALSE)</f>
        <v>792</v>
      </c>
      <c r="L1867" s="7" t="str">
        <f t="shared" si="118"/>
        <v>ГОТОВ_ИЗМЕНЕН</v>
      </c>
      <c r="M1867" s="7">
        <f t="shared" si="119"/>
        <v>0</v>
      </c>
    </row>
    <row r="1868" spans="1:13" x14ac:dyDescent="0.25">
      <c r="A1868" s="1">
        <v>943611</v>
      </c>
      <c r="B1868" s="6" t="s">
        <v>1989</v>
      </c>
      <c r="F1868" s="6" t="s">
        <v>9</v>
      </c>
      <c r="G1868" s="6" t="s">
        <v>86</v>
      </c>
      <c r="H1868" s="9" t="s">
        <v>87</v>
      </c>
      <c r="I1868" s="7" t="str">
        <f t="shared" si="116"/>
        <v>61001003000</v>
      </c>
      <c r="J1868" s="7" t="str">
        <f t="shared" si="117"/>
        <v>Смешанные по допущению</v>
      </c>
      <c r="K1868" s="7">
        <f>VLOOKUP(J1868,Лист2!A$2:B$4,2,FALSE)</f>
        <v>793</v>
      </c>
      <c r="L1868" s="7" t="str">
        <f t="shared" si="118"/>
        <v>ГОТОВ_ИЗМЕНЕН</v>
      </c>
      <c r="M1868" s="7">
        <f t="shared" si="119"/>
        <v>0</v>
      </c>
    </row>
    <row r="1869" spans="1:13" x14ac:dyDescent="0.25">
      <c r="A1869" s="1">
        <v>208415</v>
      </c>
      <c r="B1869" s="6" t="s">
        <v>1990</v>
      </c>
      <c r="C1869" s="9" t="s">
        <v>33</v>
      </c>
      <c r="D1869" s="6" t="s">
        <v>20</v>
      </c>
      <c r="E1869" s="6" t="s">
        <v>37</v>
      </c>
      <c r="F1869" s="6" t="s">
        <v>9</v>
      </c>
      <c r="G1869" s="6" t="s">
        <v>38</v>
      </c>
      <c r="H1869" s="9" t="s">
        <v>33</v>
      </c>
      <c r="I1869" s="7" t="str">
        <f t="shared" si="116"/>
        <v>61001005000</v>
      </c>
      <c r="J1869" s="7" t="str">
        <f t="shared" si="117"/>
        <v>Материал по ЕГРН</v>
      </c>
      <c r="K1869" s="7">
        <f>VLOOKUP(J1869,Лист2!A$2:B$4,2,FALSE)</f>
        <v>792</v>
      </c>
      <c r="L1869" s="7" t="str">
        <f t="shared" si="118"/>
        <v>ГОТОВ</v>
      </c>
      <c r="M1869" s="7" t="str">
        <f t="shared" si="119"/>
        <v>61001005000</v>
      </c>
    </row>
    <row r="1870" spans="1:13" x14ac:dyDescent="0.25">
      <c r="A1870" s="1">
        <v>371921</v>
      </c>
      <c r="B1870" s="6" t="s">
        <v>1991</v>
      </c>
      <c r="C1870" s="9" t="s">
        <v>42</v>
      </c>
      <c r="D1870" s="6" t="s">
        <v>20</v>
      </c>
      <c r="E1870" s="6" t="s">
        <v>37</v>
      </c>
      <c r="F1870" s="6" t="s">
        <v>9</v>
      </c>
      <c r="G1870" s="6" t="s">
        <v>43</v>
      </c>
      <c r="H1870" s="9" t="s">
        <v>42</v>
      </c>
      <c r="I1870" s="7" t="str">
        <f t="shared" si="116"/>
        <v>61001002001</v>
      </c>
      <c r="J1870" s="7" t="str">
        <f t="shared" si="117"/>
        <v>Материал по ЕГРН</v>
      </c>
      <c r="K1870" s="7">
        <f>VLOOKUP(J1870,Лист2!A$2:B$4,2,FALSE)</f>
        <v>792</v>
      </c>
      <c r="L1870" s="7" t="str">
        <f t="shared" si="118"/>
        <v>ГОТОВ</v>
      </c>
      <c r="M1870" s="7" t="str">
        <f t="shared" si="119"/>
        <v>61001002001</v>
      </c>
    </row>
    <row r="1871" spans="1:13" x14ac:dyDescent="0.25">
      <c r="A1871" s="1">
        <v>520887</v>
      </c>
      <c r="B1871" s="6" t="s">
        <v>1992</v>
      </c>
      <c r="C1871" s="9" t="s">
        <v>33</v>
      </c>
      <c r="D1871" s="6" t="s">
        <v>20</v>
      </c>
      <c r="E1871" s="6" t="s">
        <v>37</v>
      </c>
      <c r="F1871" s="6" t="s">
        <v>9</v>
      </c>
      <c r="G1871" s="6" t="s">
        <v>38</v>
      </c>
      <c r="H1871" s="9" t="s">
        <v>33</v>
      </c>
      <c r="I1871" s="7" t="str">
        <f t="shared" si="116"/>
        <v>61001005000</v>
      </c>
      <c r="J1871" s="7" t="str">
        <f t="shared" si="117"/>
        <v>Материал по ЕГРН</v>
      </c>
      <c r="K1871" s="7">
        <f>VLOOKUP(J1871,Лист2!A$2:B$4,2,FALSE)</f>
        <v>792</v>
      </c>
      <c r="L1871" s="7" t="str">
        <f t="shared" si="118"/>
        <v>ГОТОВ</v>
      </c>
      <c r="M1871" s="7" t="str">
        <f t="shared" si="119"/>
        <v>61001005000</v>
      </c>
    </row>
    <row r="1872" spans="1:13" x14ac:dyDescent="0.25">
      <c r="A1872" s="1">
        <v>527698</v>
      </c>
      <c r="B1872" s="6" t="s">
        <v>1993</v>
      </c>
      <c r="C1872" s="9" t="s">
        <v>33</v>
      </c>
      <c r="D1872" s="6" t="s">
        <v>20</v>
      </c>
      <c r="E1872" s="6" t="s">
        <v>37</v>
      </c>
      <c r="F1872" s="6" t="s">
        <v>9</v>
      </c>
      <c r="G1872" s="6" t="s">
        <v>38</v>
      </c>
      <c r="H1872" s="9" t="s">
        <v>33</v>
      </c>
      <c r="I1872" s="7" t="str">
        <f t="shared" si="116"/>
        <v>61001005000</v>
      </c>
      <c r="J1872" s="7" t="str">
        <f t="shared" si="117"/>
        <v>Материал по ЕГРН</v>
      </c>
      <c r="K1872" s="7">
        <f>VLOOKUP(J1872,Лист2!A$2:B$4,2,FALSE)</f>
        <v>792</v>
      </c>
      <c r="L1872" s="7" t="str">
        <f t="shared" si="118"/>
        <v>ГОТОВ</v>
      </c>
      <c r="M1872" s="7" t="str">
        <f t="shared" si="119"/>
        <v>61001005000</v>
      </c>
    </row>
    <row r="1873" spans="1:13" x14ac:dyDescent="0.25">
      <c r="A1873" s="1">
        <v>899539</v>
      </c>
      <c r="B1873" s="6" t="s">
        <v>1994</v>
      </c>
      <c r="C1873" s="9" t="s">
        <v>35</v>
      </c>
      <c r="D1873" s="6" t="s">
        <v>14</v>
      </c>
      <c r="E1873" s="6" t="s">
        <v>37</v>
      </c>
      <c r="F1873" s="6" t="s">
        <v>9</v>
      </c>
      <c r="G1873" s="6" t="s">
        <v>34</v>
      </c>
      <c r="H1873" s="9" t="s">
        <v>35</v>
      </c>
      <c r="I1873" s="7" t="str">
        <f t="shared" si="116"/>
        <v>61001002000</v>
      </c>
      <c r="J1873" s="7" t="str">
        <f t="shared" si="117"/>
        <v>Материал по ЕГРН</v>
      </c>
      <c r="K1873" s="7">
        <f>VLOOKUP(J1873,Лист2!A$2:B$4,2,FALSE)</f>
        <v>792</v>
      </c>
      <c r="L1873" s="7" t="str">
        <f t="shared" si="118"/>
        <v>ГОТОВ</v>
      </c>
      <c r="M1873" s="7" t="str">
        <f t="shared" si="119"/>
        <v>61001002000</v>
      </c>
    </row>
    <row r="1874" spans="1:13" x14ac:dyDescent="0.25">
      <c r="A1874" s="1">
        <v>944648</v>
      </c>
      <c r="B1874" s="6" t="s">
        <v>1995</v>
      </c>
      <c r="F1874" s="6" t="s">
        <v>9</v>
      </c>
      <c r="G1874" s="6" t="s">
        <v>34</v>
      </c>
      <c r="H1874" s="9" t="s">
        <v>35</v>
      </c>
      <c r="I1874" s="7" t="str">
        <f t="shared" si="116"/>
        <v>61001002000</v>
      </c>
      <c r="J1874" s="7" t="str">
        <f t="shared" si="117"/>
        <v>Материал по ЕГРН</v>
      </c>
      <c r="K1874" s="7">
        <f>VLOOKUP(J1874,Лист2!A$2:B$4,2,FALSE)</f>
        <v>792</v>
      </c>
      <c r="L1874" s="7" t="str">
        <f t="shared" si="118"/>
        <v>ГОТОВ_ИЗМЕНЕН</v>
      </c>
      <c r="M1874" s="7">
        <f t="shared" si="119"/>
        <v>0</v>
      </c>
    </row>
    <row r="1875" spans="1:13" x14ac:dyDescent="0.25">
      <c r="A1875" s="1">
        <v>944660</v>
      </c>
      <c r="B1875" s="6" t="s">
        <v>1996</v>
      </c>
      <c r="F1875" s="6" t="s">
        <v>9</v>
      </c>
      <c r="G1875" s="6" t="s">
        <v>34</v>
      </c>
      <c r="H1875" s="9" t="s">
        <v>35</v>
      </c>
      <c r="I1875" s="7" t="str">
        <f t="shared" si="116"/>
        <v>61001002000</v>
      </c>
      <c r="J1875" s="7" t="str">
        <f t="shared" si="117"/>
        <v>Материал по ЕГРН</v>
      </c>
      <c r="K1875" s="7">
        <f>VLOOKUP(J1875,Лист2!A$2:B$4,2,FALSE)</f>
        <v>792</v>
      </c>
      <c r="L1875" s="7" t="str">
        <f t="shared" si="118"/>
        <v>ГОТОВ_ИЗМЕНЕН</v>
      </c>
      <c r="M1875" s="7">
        <f t="shared" si="119"/>
        <v>0</v>
      </c>
    </row>
    <row r="1876" spans="1:13" x14ac:dyDescent="0.25">
      <c r="A1876" s="1">
        <v>944672</v>
      </c>
      <c r="B1876" s="6" t="s">
        <v>1997</v>
      </c>
      <c r="F1876" s="6" t="s">
        <v>9</v>
      </c>
      <c r="G1876" s="6" t="s">
        <v>38</v>
      </c>
      <c r="H1876" s="9" t="s">
        <v>33</v>
      </c>
      <c r="I1876" s="7" t="str">
        <f t="shared" si="116"/>
        <v>61001005000</v>
      </c>
      <c r="J1876" s="7" t="str">
        <f t="shared" si="117"/>
        <v>Материал по ЕГРН</v>
      </c>
      <c r="K1876" s="7">
        <f>VLOOKUP(J1876,Лист2!A$2:B$4,2,FALSE)</f>
        <v>792</v>
      </c>
      <c r="L1876" s="7" t="str">
        <f t="shared" si="118"/>
        <v>ГОТОВ_ИЗМЕНЕН</v>
      </c>
      <c r="M1876" s="7">
        <f t="shared" si="119"/>
        <v>0</v>
      </c>
    </row>
    <row r="1877" spans="1:13" x14ac:dyDescent="0.25">
      <c r="A1877" s="1">
        <v>944684</v>
      </c>
      <c r="B1877" s="6" t="s">
        <v>1998</v>
      </c>
      <c r="F1877" s="6" t="s">
        <v>9</v>
      </c>
      <c r="G1877" s="6" t="s">
        <v>38</v>
      </c>
      <c r="H1877" s="9" t="s">
        <v>33</v>
      </c>
      <c r="I1877" s="7" t="str">
        <f t="shared" si="116"/>
        <v>61001005000</v>
      </c>
      <c r="J1877" s="7" t="str">
        <f t="shared" si="117"/>
        <v>Материал по ЕГРН</v>
      </c>
      <c r="K1877" s="7">
        <f>VLOOKUP(J1877,Лист2!A$2:B$4,2,FALSE)</f>
        <v>792</v>
      </c>
      <c r="L1877" s="7" t="str">
        <f t="shared" si="118"/>
        <v>ГОТОВ_ИЗМЕНЕН</v>
      </c>
      <c r="M1877" s="7">
        <f t="shared" si="119"/>
        <v>0</v>
      </c>
    </row>
    <row r="1878" spans="1:13" x14ac:dyDescent="0.25">
      <c r="A1878" s="1">
        <v>944696</v>
      </c>
      <c r="B1878" s="6" t="s">
        <v>1999</v>
      </c>
      <c r="F1878" s="6" t="s">
        <v>9</v>
      </c>
      <c r="G1878" s="6" t="s">
        <v>38</v>
      </c>
      <c r="H1878" s="9" t="s">
        <v>33</v>
      </c>
      <c r="I1878" s="7" t="str">
        <f t="shared" si="116"/>
        <v>61001005000</v>
      </c>
      <c r="J1878" s="7" t="str">
        <f t="shared" si="117"/>
        <v>Материал по ЕГРН</v>
      </c>
      <c r="K1878" s="7">
        <f>VLOOKUP(J1878,Лист2!A$2:B$4,2,FALSE)</f>
        <v>792</v>
      </c>
      <c r="L1878" s="7" t="str">
        <f t="shared" si="118"/>
        <v>ГОТОВ_ИЗМЕНЕН</v>
      </c>
      <c r="M1878" s="7">
        <f t="shared" si="119"/>
        <v>0</v>
      </c>
    </row>
    <row r="1879" spans="1:13" x14ac:dyDescent="0.25">
      <c r="A1879" s="1">
        <v>944708</v>
      </c>
      <c r="B1879" s="6" t="s">
        <v>2000</v>
      </c>
      <c r="F1879" s="6" t="s">
        <v>9</v>
      </c>
      <c r="G1879" s="6" t="s">
        <v>38</v>
      </c>
      <c r="H1879" s="9" t="s">
        <v>33</v>
      </c>
      <c r="I1879" s="7" t="str">
        <f t="shared" si="116"/>
        <v>61001005000</v>
      </c>
      <c r="J1879" s="7" t="str">
        <f t="shared" si="117"/>
        <v>Материал по ЕГРН</v>
      </c>
      <c r="K1879" s="7">
        <f>VLOOKUP(J1879,Лист2!A$2:B$4,2,FALSE)</f>
        <v>792</v>
      </c>
      <c r="L1879" s="7" t="str">
        <f t="shared" si="118"/>
        <v>ГОТОВ_ИЗМЕНЕН</v>
      </c>
      <c r="M1879" s="7">
        <f t="shared" si="119"/>
        <v>0</v>
      </c>
    </row>
    <row r="1880" spans="1:13" x14ac:dyDescent="0.25">
      <c r="A1880" s="1">
        <v>944720</v>
      </c>
      <c r="B1880" s="6" t="s">
        <v>2001</v>
      </c>
      <c r="F1880" s="6" t="s">
        <v>9</v>
      </c>
      <c r="G1880" s="6" t="s">
        <v>38</v>
      </c>
      <c r="H1880" s="9" t="s">
        <v>33</v>
      </c>
      <c r="I1880" s="7" t="str">
        <f t="shared" si="116"/>
        <v>61001005000</v>
      </c>
      <c r="J1880" s="7" t="str">
        <f t="shared" si="117"/>
        <v>Материал по ЕГРН</v>
      </c>
      <c r="K1880" s="7">
        <f>VLOOKUP(J1880,Лист2!A$2:B$4,2,FALSE)</f>
        <v>792</v>
      </c>
      <c r="L1880" s="7" t="str">
        <f t="shared" si="118"/>
        <v>ГОТОВ_ИЗМЕНЕН</v>
      </c>
      <c r="M1880" s="7">
        <f t="shared" si="119"/>
        <v>0</v>
      </c>
    </row>
    <row r="1881" spans="1:13" x14ac:dyDescent="0.25">
      <c r="A1881" s="1">
        <v>944732</v>
      </c>
      <c r="B1881" s="6" t="s">
        <v>2002</v>
      </c>
      <c r="F1881" s="6" t="s">
        <v>9</v>
      </c>
      <c r="G1881" s="6" t="s">
        <v>125</v>
      </c>
      <c r="H1881" s="9" t="s">
        <v>126</v>
      </c>
      <c r="I1881" s="7" t="str">
        <f t="shared" si="116"/>
        <v>61001007004</v>
      </c>
      <c r="J1881" s="7" t="str">
        <f t="shared" si="117"/>
        <v>Материал по ЕГРН</v>
      </c>
      <c r="K1881" s="7">
        <f>VLOOKUP(J1881,Лист2!A$2:B$4,2,FALSE)</f>
        <v>792</v>
      </c>
      <c r="L1881" s="7" t="str">
        <f t="shared" si="118"/>
        <v>ГОТОВ_ИЗМЕНЕН</v>
      </c>
      <c r="M1881" s="7">
        <f t="shared" si="119"/>
        <v>0</v>
      </c>
    </row>
    <row r="1882" spans="1:13" x14ac:dyDescent="0.25">
      <c r="A1882" s="1">
        <v>944744</v>
      </c>
      <c r="B1882" s="6" t="s">
        <v>2003</v>
      </c>
      <c r="F1882" s="6" t="s">
        <v>9</v>
      </c>
      <c r="G1882" s="6" t="s">
        <v>38</v>
      </c>
      <c r="H1882" s="9" t="s">
        <v>33</v>
      </c>
      <c r="I1882" s="7" t="str">
        <f t="shared" si="116"/>
        <v>61001005000</v>
      </c>
      <c r="J1882" s="7" t="str">
        <f t="shared" si="117"/>
        <v>Материал по ЕГРН</v>
      </c>
      <c r="K1882" s="7">
        <f>VLOOKUP(J1882,Лист2!A$2:B$4,2,FALSE)</f>
        <v>792</v>
      </c>
      <c r="L1882" s="7" t="str">
        <f t="shared" si="118"/>
        <v>ГОТОВ_ИЗМЕНЕН</v>
      </c>
      <c r="M1882" s="7">
        <f t="shared" si="119"/>
        <v>0</v>
      </c>
    </row>
    <row r="1883" spans="1:13" x14ac:dyDescent="0.25">
      <c r="A1883" s="1">
        <v>944756</v>
      </c>
      <c r="B1883" s="6" t="s">
        <v>2004</v>
      </c>
      <c r="F1883" s="6" t="s">
        <v>9</v>
      </c>
      <c r="G1883" s="6" t="s">
        <v>38</v>
      </c>
      <c r="H1883" s="9" t="s">
        <v>33</v>
      </c>
      <c r="I1883" s="7" t="str">
        <f t="shared" si="116"/>
        <v>61001005000</v>
      </c>
      <c r="J1883" s="7" t="str">
        <f t="shared" si="117"/>
        <v>Материал по ЕГРН</v>
      </c>
      <c r="K1883" s="7">
        <f>VLOOKUP(J1883,Лист2!A$2:B$4,2,FALSE)</f>
        <v>792</v>
      </c>
      <c r="L1883" s="7" t="str">
        <f t="shared" si="118"/>
        <v>ГОТОВ_ИЗМЕНЕН</v>
      </c>
      <c r="M1883" s="7">
        <f t="shared" si="119"/>
        <v>0</v>
      </c>
    </row>
    <row r="1884" spans="1:13" x14ac:dyDescent="0.25">
      <c r="A1884" s="1">
        <v>944768</v>
      </c>
      <c r="B1884" s="6" t="s">
        <v>2005</v>
      </c>
      <c r="F1884" s="6" t="s">
        <v>9</v>
      </c>
      <c r="G1884" s="6" t="s">
        <v>59</v>
      </c>
      <c r="H1884" s="9" t="s">
        <v>60</v>
      </c>
      <c r="I1884" s="7" t="str">
        <f t="shared" si="116"/>
        <v>61001001001</v>
      </c>
      <c r="J1884" s="7" t="str">
        <f t="shared" si="117"/>
        <v>Материал по ЕГРН</v>
      </c>
      <c r="K1884" s="7">
        <f>VLOOKUP(J1884,Лист2!A$2:B$4,2,FALSE)</f>
        <v>792</v>
      </c>
      <c r="L1884" s="7" t="str">
        <f t="shared" si="118"/>
        <v>ГОТОВ_ИЗМЕНЕН</v>
      </c>
      <c r="M1884" s="7">
        <f t="shared" si="119"/>
        <v>0</v>
      </c>
    </row>
    <row r="1885" spans="1:13" x14ac:dyDescent="0.25">
      <c r="A1885" s="1">
        <v>944780</v>
      </c>
      <c r="B1885" s="6" t="s">
        <v>2006</v>
      </c>
      <c r="F1885" s="6" t="s">
        <v>9</v>
      </c>
      <c r="G1885" s="6" t="s">
        <v>34</v>
      </c>
      <c r="H1885" s="9" t="s">
        <v>35</v>
      </c>
      <c r="I1885" s="7" t="str">
        <f t="shared" si="116"/>
        <v>61001002000</v>
      </c>
      <c r="J1885" s="7" t="str">
        <f t="shared" si="117"/>
        <v>Материал по ЕГРН</v>
      </c>
      <c r="K1885" s="7">
        <f>VLOOKUP(J1885,Лист2!A$2:B$4,2,FALSE)</f>
        <v>792</v>
      </c>
      <c r="L1885" s="7" t="str">
        <f t="shared" si="118"/>
        <v>ГОТОВ_ИЗМЕНЕН</v>
      </c>
      <c r="M1885" s="7">
        <f t="shared" si="119"/>
        <v>0</v>
      </c>
    </row>
    <row r="1886" spans="1:13" x14ac:dyDescent="0.25">
      <c r="A1886" s="1">
        <v>944792</v>
      </c>
      <c r="B1886" s="6" t="s">
        <v>2007</v>
      </c>
      <c r="F1886" s="6" t="s">
        <v>9</v>
      </c>
      <c r="G1886" s="6" t="s">
        <v>34</v>
      </c>
      <c r="H1886" s="9" t="s">
        <v>35</v>
      </c>
      <c r="I1886" s="7" t="str">
        <f t="shared" si="116"/>
        <v>61001002000</v>
      </c>
      <c r="J1886" s="7" t="str">
        <f t="shared" si="117"/>
        <v>Материал по ЕГРН</v>
      </c>
      <c r="K1886" s="7">
        <f>VLOOKUP(J1886,Лист2!A$2:B$4,2,FALSE)</f>
        <v>792</v>
      </c>
      <c r="L1886" s="7" t="str">
        <f t="shared" si="118"/>
        <v>ГОТОВ_ИЗМЕНЕН</v>
      </c>
      <c r="M1886" s="7">
        <f t="shared" si="119"/>
        <v>0</v>
      </c>
    </row>
    <row r="1887" spans="1:13" x14ac:dyDescent="0.25">
      <c r="A1887" s="1">
        <v>944804</v>
      </c>
      <c r="B1887" s="6" t="s">
        <v>2008</v>
      </c>
      <c r="F1887" s="6" t="s">
        <v>9</v>
      </c>
      <c r="G1887" s="6" t="s">
        <v>38</v>
      </c>
      <c r="H1887" s="9" t="s">
        <v>33</v>
      </c>
      <c r="I1887" s="7" t="str">
        <f t="shared" si="116"/>
        <v>61001005000</v>
      </c>
      <c r="J1887" s="7" t="str">
        <f t="shared" si="117"/>
        <v>Материал по ЕГРН</v>
      </c>
      <c r="K1887" s="7">
        <f>VLOOKUP(J1887,Лист2!A$2:B$4,2,FALSE)</f>
        <v>792</v>
      </c>
      <c r="L1887" s="7" t="str">
        <f t="shared" si="118"/>
        <v>ГОТОВ_ИЗМЕНЕН</v>
      </c>
      <c r="M1887" s="7">
        <f t="shared" si="119"/>
        <v>0</v>
      </c>
    </row>
    <row r="1888" spans="1:13" x14ac:dyDescent="0.25">
      <c r="A1888" s="1">
        <v>944816</v>
      </c>
      <c r="B1888" s="6" t="s">
        <v>2009</v>
      </c>
      <c r="F1888" s="6" t="s">
        <v>9</v>
      </c>
      <c r="G1888" s="6" t="s">
        <v>90</v>
      </c>
      <c r="H1888" s="9" t="s">
        <v>12</v>
      </c>
      <c r="I1888" s="7" t="str">
        <f t="shared" si="116"/>
        <v>61001008000</v>
      </c>
      <c r="J1888" s="7" t="str">
        <f t="shared" si="117"/>
        <v>Материал по ЕГРН</v>
      </c>
      <c r="K1888" s="7">
        <f>VLOOKUP(J1888,Лист2!A$2:B$4,2,FALSE)</f>
        <v>792</v>
      </c>
      <c r="L1888" s="7" t="str">
        <f t="shared" si="118"/>
        <v>ГОТОВ_ИЗМЕНЕН</v>
      </c>
      <c r="M1888" s="7">
        <f t="shared" si="119"/>
        <v>0</v>
      </c>
    </row>
    <row r="1889" spans="1:13" x14ac:dyDescent="0.25">
      <c r="A1889" s="1">
        <v>944828</v>
      </c>
      <c r="B1889" s="6" t="s">
        <v>2010</v>
      </c>
      <c r="F1889" s="6" t="s">
        <v>9</v>
      </c>
      <c r="G1889" s="6" t="s">
        <v>38</v>
      </c>
      <c r="H1889" s="9" t="s">
        <v>33</v>
      </c>
      <c r="I1889" s="7" t="str">
        <f t="shared" si="116"/>
        <v>61001005000</v>
      </c>
      <c r="J1889" s="7" t="str">
        <f t="shared" si="117"/>
        <v>Материал по ЕГРН</v>
      </c>
      <c r="K1889" s="7">
        <f>VLOOKUP(J1889,Лист2!A$2:B$4,2,FALSE)</f>
        <v>792</v>
      </c>
      <c r="L1889" s="7" t="str">
        <f t="shared" si="118"/>
        <v>ГОТОВ_ИЗМЕНЕН</v>
      </c>
      <c r="M1889" s="7">
        <f t="shared" si="119"/>
        <v>0</v>
      </c>
    </row>
    <row r="1890" spans="1:13" x14ac:dyDescent="0.25">
      <c r="A1890" s="1">
        <v>944840</v>
      </c>
      <c r="B1890" s="6" t="s">
        <v>2011</v>
      </c>
      <c r="F1890" s="6" t="s">
        <v>9</v>
      </c>
      <c r="G1890" s="6" t="s">
        <v>34</v>
      </c>
      <c r="H1890" s="9" t="s">
        <v>35</v>
      </c>
      <c r="I1890" s="7" t="str">
        <f t="shared" si="116"/>
        <v>61001002000</v>
      </c>
      <c r="J1890" s="7" t="str">
        <f t="shared" si="117"/>
        <v>Материал по ЕГРН</v>
      </c>
      <c r="K1890" s="7">
        <f>VLOOKUP(J1890,Лист2!A$2:B$4,2,FALSE)</f>
        <v>792</v>
      </c>
      <c r="L1890" s="7" t="str">
        <f t="shared" si="118"/>
        <v>ГОТОВ_ИЗМЕНЕН</v>
      </c>
      <c r="M1890" s="7">
        <f t="shared" si="119"/>
        <v>0</v>
      </c>
    </row>
    <row r="1891" spans="1:13" x14ac:dyDescent="0.25">
      <c r="A1891" s="1">
        <v>944852</v>
      </c>
      <c r="B1891" s="6" t="s">
        <v>2012</v>
      </c>
      <c r="F1891" s="6" t="s">
        <v>9</v>
      </c>
      <c r="G1891" s="6" t="s">
        <v>62</v>
      </c>
      <c r="H1891" s="9" t="s">
        <v>63</v>
      </c>
      <c r="I1891" s="7" t="str">
        <f t="shared" si="116"/>
        <v>61001006002</v>
      </c>
      <c r="J1891" s="7" t="str">
        <f t="shared" si="117"/>
        <v>Материал по ЕГРН</v>
      </c>
      <c r="K1891" s="7">
        <f>VLOOKUP(J1891,Лист2!A$2:B$4,2,FALSE)</f>
        <v>792</v>
      </c>
      <c r="L1891" s="7" t="str">
        <f t="shared" si="118"/>
        <v>ГОТОВ_ИЗМЕНЕН</v>
      </c>
      <c r="M1891" s="7">
        <f t="shared" si="119"/>
        <v>0</v>
      </c>
    </row>
    <row r="1892" spans="1:13" x14ac:dyDescent="0.25">
      <c r="A1892" s="1">
        <v>944864</v>
      </c>
      <c r="B1892" s="6" t="s">
        <v>2013</v>
      </c>
      <c r="F1892" s="6" t="s">
        <v>9</v>
      </c>
      <c r="G1892" s="6" t="s">
        <v>170</v>
      </c>
      <c r="H1892" s="9" t="s">
        <v>171</v>
      </c>
      <c r="I1892" s="7" t="str">
        <f t="shared" si="116"/>
        <v>61001001000</v>
      </c>
      <c r="J1892" s="7" t="str">
        <f t="shared" si="117"/>
        <v>Материал по ЕГРН</v>
      </c>
      <c r="K1892" s="7">
        <f>VLOOKUP(J1892,Лист2!A$2:B$4,2,FALSE)</f>
        <v>792</v>
      </c>
      <c r="L1892" s="7" t="str">
        <f t="shared" si="118"/>
        <v>ГОТОВ_ИЗМЕНЕН</v>
      </c>
      <c r="M1892" s="7">
        <f t="shared" si="119"/>
        <v>0</v>
      </c>
    </row>
    <row r="1893" spans="1:13" x14ac:dyDescent="0.25">
      <c r="A1893" s="1">
        <v>944876</v>
      </c>
      <c r="B1893" s="6" t="s">
        <v>2014</v>
      </c>
      <c r="F1893" s="6" t="s">
        <v>9</v>
      </c>
      <c r="G1893" s="6" t="s">
        <v>38</v>
      </c>
      <c r="H1893" s="9" t="s">
        <v>33</v>
      </c>
      <c r="I1893" s="7" t="str">
        <f t="shared" si="116"/>
        <v>61001005000</v>
      </c>
      <c r="J1893" s="7" t="str">
        <f t="shared" si="117"/>
        <v>Материал по ЕГРН</v>
      </c>
      <c r="K1893" s="7">
        <f>VLOOKUP(J1893,Лист2!A$2:B$4,2,FALSE)</f>
        <v>792</v>
      </c>
      <c r="L1893" s="7" t="str">
        <f t="shared" si="118"/>
        <v>ГОТОВ_ИЗМЕНЕН</v>
      </c>
      <c r="M1893" s="7">
        <f t="shared" si="119"/>
        <v>0</v>
      </c>
    </row>
    <row r="1894" spans="1:13" x14ac:dyDescent="0.25">
      <c r="A1894" s="1">
        <v>944888</v>
      </c>
      <c r="B1894" s="6" t="s">
        <v>2015</v>
      </c>
      <c r="F1894" s="6" t="s">
        <v>9</v>
      </c>
      <c r="G1894" s="6" t="s">
        <v>34</v>
      </c>
      <c r="H1894" s="9" t="s">
        <v>35</v>
      </c>
      <c r="I1894" s="7" t="str">
        <f t="shared" si="116"/>
        <v>61001002000</v>
      </c>
      <c r="J1894" s="7" t="str">
        <f t="shared" si="117"/>
        <v>Материал по ЕГРН</v>
      </c>
      <c r="K1894" s="7">
        <f>VLOOKUP(J1894,Лист2!A$2:B$4,2,FALSE)</f>
        <v>792</v>
      </c>
      <c r="L1894" s="7" t="str">
        <f t="shared" si="118"/>
        <v>ГОТОВ_ИЗМЕНЕН</v>
      </c>
      <c r="M1894" s="7">
        <f t="shared" si="119"/>
        <v>0</v>
      </c>
    </row>
    <row r="1895" spans="1:13" x14ac:dyDescent="0.25">
      <c r="A1895" s="1">
        <v>944900</v>
      </c>
      <c r="B1895" s="6" t="s">
        <v>2016</v>
      </c>
      <c r="F1895" s="6" t="s">
        <v>9</v>
      </c>
      <c r="G1895" s="6" t="s">
        <v>10</v>
      </c>
      <c r="H1895" s="9" t="s">
        <v>11</v>
      </c>
      <c r="I1895" s="7" t="str">
        <f t="shared" si="116"/>
        <v>61001003000</v>
      </c>
      <c r="J1895" s="7" t="str">
        <f t="shared" si="117"/>
        <v>Материал по ЕГРН</v>
      </c>
      <c r="K1895" s="7">
        <f>VLOOKUP(J1895,Лист2!A$2:B$4,2,FALSE)</f>
        <v>792</v>
      </c>
      <c r="L1895" s="7" t="str">
        <f t="shared" si="118"/>
        <v>ГОТОВ_ИЗМЕНЕН</v>
      </c>
      <c r="M1895" s="7">
        <f t="shared" si="119"/>
        <v>0</v>
      </c>
    </row>
    <row r="1896" spans="1:13" x14ac:dyDescent="0.25">
      <c r="A1896" s="1">
        <v>120872</v>
      </c>
      <c r="B1896" s="6" t="s">
        <v>2017</v>
      </c>
      <c r="C1896" s="9" t="s">
        <v>1182</v>
      </c>
      <c r="D1896" s="6" t="s">
        <v>20</v>
      </c>
      <c r="E1896" s="6" t="s">
        <v>37</v>
      </c>
      <c r="F1896" s="6" t="s">
        <v>9</v>
      </c>
      <c r="G1896" s="6" t="s">
        <v>1183</v>
      </c>
      <c r="H1896" s="9" t="s">
        <v>1182</v>
      </c>
      <c r="I1896" s="7" t="str">
        <f t="shared" si="116"/>
        <v>61001002004</v>
      </c>
      <c r="J1896" s="7" t="str">
        <f t="shared" si="117"/>
        <v>Материал по ЕГРН</v>
      </c>
      <c r="K1896" s="7">
        <f>VLOOKUP(J1896,Лист2!A$2:B$4,2,FALSE)</f>
        <v>792</v>
      </c>
      <c r="L1896" s="7" t="str">
        <f t="shared" si="118"/>
        <v>ГОТОВ</v>
      </c>
      <c r="M1896" s="7" t="str">
        <f t="shared" si="119"/>
        <v>61001002004</v>
      </c>
    </row>
    <row r="1897" spans="1:13" x14ac:dyDescent="0.25">
      <c r="A1897" s="1">
        <v>350579</v>
      </c>
      <c r="B1897" s="6" t="s">
        <v>2018</v>
      </c>
      <c r="C1897" s="9" t="s">
        <v>12</v>
      </c>
      <c r="D1897" s="6" t="s">
        <v>20</v>
      </c>
      <c r="E1897" s="6" t="s">
        <v>37</v>
      </c>
      <c r="F1897" s="6" t="s">
        <v>9</v>
      </c>
      <c r="G1897" s="6" t="s">
        <v>90</v>
      </c>
      <c r="H1897" s="9" t="s">
        <v>12</v>
      </c>
      <c r="I1897" s="7" t="str">
        <f t="shared" si="116"/>
        <v>61001008000</v>
      </c>
      <c r="J1897" s="7" t="str">
        <f t="shared" si="117"/>
        <v>Материал по ЕГРН</v>
      </c>
      <c r="K1897" s="7">
        <f>VLOOKUP(J1897,Лист2!A$2:B$4,2,FALSE)</f>
        <v>792</v>
      </c>
      <c r="L1897" s="7" t="str">
        <f t="shared" si="118"/>
        <v>ГОТОВ</v>
      </c>
      <c r="M1897" s="7" t="str">
        <f t="shared" si="119"/>
        <v>61001008000</v>
      </c>
    </row>
    <row r="1898" spans="1:13" x14ac:dyDescent="0.25">
      <c r="A1898" s="1">
        <v>454469</v>
      </c>
      <c r="B1898" s="6" t="s">
        <v>2019</v>
      </c>
      <c r="C1898" s="9" t="s">
        <v>33</v>
      </c>
      <c r="D1898" s="6" t="s">
        <v>20</v>
      </c>
      <c r="E1898" s="6" t="s">
        <v>37</v>
      </c>
      <c r="F1898" s="6" t="s">
        <v>9</v>
      </c>
      <c r="G1898" s="6" t="s">
        <v>38</v>
      </c>
      <c r="H1898" s="9" t="s">
        <v>33</v>
      </c>
      <c r="I1898" s="7" t="str">
        <f t="shared" si="116"/>
        <v>61001005000</v>
      </c>
      <c r="J1898" s="7" t="str">
        <f t="shared" si="117"/>
        <v>Материал по ЕГРН</v>
      </c>
      <c r="K1898" s="7">
        <f>VLOOKUP(J1898,Лист2!A$2:B$4,2,FALSE)</f>
        <v>792</v>
      </c>
      <c r="L1898" s="7" t="str">
        <f t="shared" si="118"/>
        <v>ГОТОВ</v>
      </c>
      <c r="M1898" s="7" t="str">
        <f t="shared" si="119"/>
        <v>61001005000</v>
      </c>
    </row>
    <row r="1899" spans="1:13" x14ac:dyDescent="0.25">
      <c r="A1899" s="1">
        <v>792571</v>
      </c>
      <c r="B1899" s="6" t="s">
        <v>2020</v>
      </c>
      <c r="C1899" s="9" t="s">
        <v>33</v>
      </c>
      <c r="D1899" s="6" t="s">
        <v>20</v>
      </c>
      <c r="E1899" s="6" t="s">
        <v>37</v>
      </c>
      <c r="F1899" s="6" t="s">
        <v>9</v>
      </c>
      <c r="G1899" s="6" t="s">
        <v>38</v>
      </c>
      <c r="H1899" s="9" t="s">
        <v>33</v>
      </c>
      <c r="I1899" s="7" t="str">
        <f t="shared" si="116"/>
        <v>61001005000</v>
      </c>
      <c r="J1899" s="7" t="str">
        <f t="shared" si="117"/>
        <v>Материал по ЕГРН</v>
      </c>
      <c r="K1899" s="7">
        <f>VLOOKUP(J1899,Лист2!A$2:B$4,2,FALSE)</f>
        <v>792</v>
      </c>
      <c r="L1899" s="7" t="str">
        <f t="shared" si="118"/>
        <v>ГОТОВ</v>
      </c>
      <c r="M1899" s="7" t="str">
        <f t="shared" si="119"/>
        <v>61001005000</v>
      </c>
    </row>
    <row r="1900" spans="1:13" x14ac:dyDescent="0.25">
      <c r="A1900" s="1">
        <v>946164</v>
      </c>
      <c r="B1900" s="6" t="s">
        <v>2021</v>
      </c>
      <c r="F1900" s="6" t="s">
        <v>9</v>
      </c>
      <c r="G1900" s="6" t="s">
        <v>59</v>
      </c>
      <c r="H1900" s="9" t="s">
        <v>60</v>
      </c>
      <c r="I1900" s="7" t="str">
        <f t="shared" si="116"/>
        <v>61001001001</v>
      </c>
      <c r="J1900" s="7" t="str">
        <f t="shared" si="117"/>
        <v>Материал по ЕГРН</v>
      </c>
      <c r="K1900" s="7">
        <f>VLOOKUP(J1900,Лист2!A$2:B$4,2,FALSE)</f>
        <v>792</v>
      </c>
      <c r="L1900" s="7" t="str">
        <f t="shared" si="118"/>
        <v>ГОТОВ_ИЗМЕНЕН</v>
      </c>
      <c r="M1900" s="7">
        <f t="shared" si="119"/>
        <v>0</v>
      </c>
    </row>
    <row r="1901" spans="1:13" x14ac:dyDescent="0.25">
      <c r="A1901" s="1">
        <v>946176</v>
      </c>
      <c r="B1901" s="6" t="s">
        <v>2022</v>
      </c>
      <c r="F1901" s="6" t="s">
        <v>9</v>
      </c>
      <c r="G1901" s="6" t="s">
        <v>65</v>
      </c>
      <c r="H1901" s="9" t="s">
        <v>66</v>
      </c>
      <c r="I1901" s="7" t="str">
        <f t="shared" si="116"/>
        <v>61001002003</v>
      </c>
      <c r="J1901" s="7" t="str">
        <f t="shared" si="117"/>
        <v>Материал по ЕГРН</v>
      </c>
      <c r="K1901" s="7">
        <f>VLOOKUP(J1901,Лист2!A$2:B$4,2,FALSE)</f>
        <v>792</v>
      </c>
      <c r="L1901" s="7" t="str">
        <f t="shared" si="118"/>
        <v>ГОТОВ_ИЗМЕНЕН</v>
      </c>
      <c r="M1901" s="7">
        <f t="shared" si="119"/>
        <v>0</v>
      </c>
    </row>
    <row r="1902" spans="1:13" x14ac:dyDescent="0.25">
      <c r="A1902" s="1">
        <v>946188</v>
      </c>
      <c r="B1902" s="6" t="s">
        <v>2023</v>
      </c>
      <c r="F1902" s="6" t="s">
        <v>9</v>
      </c>
      <c r="G1902" s="6" t="s">
        <v>38</v>
      </c>
      <c r="H1902" s="9" t="s">
        <v>33</v>
      </c>
      <c r="I1902" s="7" t="str">
        <f t="shared" si="116"/>
        <v>61001005000</v>
      </c>
      <c r="J1902" s="7" t="str">
        <f t="shared" si="117"/>
        <v>Материал по ЕГРН</v>
      </c>
      <c r="K1902" s="7">
        <f>VLOOKUP(J1902,Лист2!A$2:B$4,2,FALSE)</f>
        <v>792</v>
      </c>
      <c r="L1902" s="7" t="str">
        <f t="shared" si="118"/>
        <v>ГОТОВ_ИЗМЕНЕН</v>
      </c>
      <c r="M1902" s="7">
        <f t="shared" si="119"/>
        <v>0</v>
      </c>
    </row>
    <row r="1903" spans="1:13" x14ac:dyDescent="0.25">
      <c r="A1903" s="1">
        <v>946200</v>
      </c>
      <c r="B1903" s="6" t="s">
        <v>2024</v>
      </c>
      <c r="F1903" s="6" t="s">
        <v>9</v>
      </c>
      <c r="G1903" s="6" t="s">
        <v>34</v>
      </c>
      <c r="H1903" s="9" t="s">
        <v>35</v>
      </c>
      <c r="I1903" s="7" t="str">
        <f t="shared" si="116"/>
        <v>61001002000</v>
      </c>
      <c r="J1903" s="7" t="str">
        <f t="shared" si="117"/>
        <v>Материал по ЕГРН</v>
      </c>
      <c r="K1903" s="7">
        <f>VLOOKUP(J1903,Лист2!A$2:B$4,2,FALSE)</f>
        <v>792</v>
      </c>
      <c r="L1903" s="7" t="str">
        <f t="shared" si="118"/>
        <v>ГОТОВ_ИЗМЕНЕН</v>
      </c>
      <c r="M1903" s="7">
        <f t="shared" si="119"/>
        <v>0</v>
      </c>
    </row>
    <row r="1904" spans="1:13" x14ac:dyDescent="0.25">
      <c r="A1904" s="1">
        <v>946212</v>
      </c>
      <c r="B1904" s="6" t="s">
        <v>2025</v>
      </c>
      <c r="F1904" s="6" t="s">
        <v>9</v>
      </c>
      <c r="G1904" s="6" t="s">
        <v>59</v>
      </c>
      <c r="H1904" s="9" t="s">
        <v>60</v>
      </c>
      <c r="I1904" s="7" t="str">
        <f t="shared" si="116"/>
        <v>61001001001</v>
      </c>
      <c r="J1904" s="7" t="str">
        <f t="shared" si="117"/>
        <v>Материал по ЕГРН</v>
      </c>
      <c r="K1904" s="7">
        <f>VLOOKUP(J1904,Лист2!A$2:B$4,2,FALSE)</f>
        <v>792</v>
      </c>
      <c r="L1904" s="7" t="str">
        <f t="shared" si="118"/>
        <v>ГОТОВ_ИЗМЕНЕН</v>
      </c>
      <c r="M1904" s="7">
        <f t="shared" si="119"/>
        <v>0</v>
      </c>
    </row>
    <row r="1905" spans="1:13" x14ac:dyDescent="0.25">
      <c r="A1905" s="1">
        <v>946224</v>
      </c>
      <c r="B1905" s="6" t="s">
        <v>2026</v>
      </c>
      <c r="F1905" s="6" t="s">
        <v>9</v>
      </c>
      <c r="G1905" s="6" t="s">
        <v>90</v>
      </c>
      <c r="H1905" s="9" t="s">
        <v>12</v>
      </c>
      <c r="I1905" s="7" t="str">
        <f t="shared" si="116"/>
        <v>61001008000</v>
      </c>
      <c r="J1905" s="7" t="str">
        <f t="shared" si="117"/>
        <v>Материал по ЕГРН</v>
      </c>
      <c r="K1905" s="7">
        <f>VLOOKUP(J1905,Лист2!A$2:B$4,2,FALSE)</f>
        <v>792</v>
      </c>
      <c r="L1905" s="7" t="str">
        <f t="shared" si="118"/>
        <v>ГОТОВ_ИЗМЕНЕН</v>
      </c>
      <c r="M1905" s="7">
        <f t="shared" si="119"/>
        <v>0</v>
      </c>
    </row>
    <row r="1906" spans="1:13" x14ac:dyDescent="0.25">
      <c r="A1906" s="1">
        <v>946236</v>
      </c>
      <c r="B1906" s="6" t="s">
        <v>2027</v>
      </c>
      <c r="F1906" s="6" t="s">
        <v>9</v>
      </c>
      <c r="G1906" s="6" t="s">
        <v>34</v>
      </c>
      <c r="H1906" s="9" t="s">
        <v>35</v>
      </c>
      <c r="I1906" s="7" t="str">
        <f t="shared" si="116"/>
        <v>61001002000</v>
      </c>
      <c r="J1906" s="7" t="str">
        <f t="shared" si="117"/>
        <v>Материал по ЕГРН</v>
      </c>
      <c r="K1906" s="7">
        <f>VLOOKUP(J1906,Лист2!A$2:B$4,2,FALSE)</f>
        <v>792</v>
      </c>
      <c r="L1906" s="7" t="str">
        <f t="shared" si="118"/>
        <v>ГОТОВ_ИЗМЕНЕН</v>
      </c>
      <c r="M1906" s="7">
        <f t="shared" si="119"/>
        <v>0</v>
      </c>
    </row>
    <row r="1907" spans="1:13" x14ac:dyDescent="0.25">
      <c r="A1907" s="1">
        <v>946248</v>
      </c>
      <c r="B1907" s="6" t="s">
        <v>2028</v>
      </c>
      <c r="F1907" s="6" t="s">
        <v>9</v>
      </c>
      <c r="G1907" s="6" t="s">
        <v>10</v>
      </c>
      <c r="H1907" s="9" t="s">
        <v>11</v>
      </c>
      <c r="I1907" s="7" t="str">
        <f t="shared" si="116"/>
        <v>61001003000</v>
      </c>
      <c r="J1907" s="7" t="str">
        <f t="shared" si="117"/>
        <v>Материал по ЕГРН</v>
      </c>
      <c r="K1907" s="7">
        <f>VLOOKUP(J1907,Лист2!A$2:B$4,2,FALSE)</f>
        <v>792</v>
      </c>
      <c r="L1907" s="7" t="str">
        <f t="shared" si="118"/>
        <v>ГОТОВ_ИЗМЕНЕН</v>
      </c>
      <c r="M1907" s="7">
        <f t="shared" si="119"/>
        <v>0</v>
      </c>
    </row>
    <row r="1908" spans="1:13" x14ac:dyDescent="0.25">
      <c r="A1908" s="1">
        <v>946260</v>
      </c>
      <c r="B1908" s="6" t="s">
        <v>2029</v>
      </c>
      <c r="F1908" s="6" t="s">
        <v>9</v>
      </c>
      <c r="G1908" s="6" t="s">
        <v>38</v>
      </c>
      <c r="H1908" s="9" t="s">
        <v>33</v>
      </c>
      <c r="I1908" s="7" t="str">
        <f t="shared" si="116"/>
        <v>61001005000</v>
      </c>
      <c r="J1908" s="7" t="str">
        <f t="shared" si="117"/>
        <v>Материал по ЕГРН</v>
      </c>
      <c r="K1908" s="7">
        <f>VLOOKUP(J1908,Лист2!A$2:B$4,2,FALSE)</f>
        <v>792</v>
      </c>
      <c r="L1908" s="7" t="str">
        <f t="shared" si="118"/>
        <v>ГОТОВ_ИЗМЕНЕН</v>
      </c>
      <c r="M1908" s="7">
        <f t="shared" si="119"/>
        <v>0</v>
      </c>
    </row>
    <row r="1909" spans="1:13" x14ac:dyDescent="0.25">
      <c r="A1909" s="1">
        <v>946272</v>
      </c>
      <c r="B1909" s="6" t="s">
        <v>2030</v>
      </c>
      <c r="F1909" s="6" t="s">
        <v>9</v>
      </c>
      <c r="G1909" s="6" t="s">
        <v>34</v>
      </c>
      <c r="H1909" s="9" t="s">
        <v>35</v>
      </c>
      <c r="I1909" s="7" t="str">
        <f t="shared" si="116"/>
        <v>61001002000</v>
      </c>
      <c r="J1909" s="7" t="str">
        <f t="shared" si="117"/>
        <v>Материал по ЕГРН</v>
      </c>
      <c r="K1909" s="7">
        <f>VLOOKUP(J1909,Лист2!A$2:B$4,2,FALSE)</f>
        <v>792</v>
      </c>
      <c r="L1909" s="7" t="str">
        <f t="shared" si="118"/>
        <v>ГОТОВ_ИЗМЕНЕН</v>
      </c>
      <c r="M1909" s="7">
        <f t="shared" si="119"/>
        <v>0</v>
      </c>
    </row>
    <row r="1910" spans="1:13" x14ac:dyDescent="0.25">
      <c r="A1910" s="1">
        <v>946284</v>
      </c>
      <c r="B1910" s="6" t="s">
        <v>2031</v>
      </c>
      <c r="F1910" s="6" t="s">
        <v>9</v>
      </c>
      <c r="G1910" s="6" t="s">
        <v>38</v>
      </c>
      <c r="H1910" s="9" t="s">
        <v>33</v>
      </c>
      <c r="I1910" s="7" t="str">
        <f t="shared" si="116"/>
        <v>61001005000</v>
      </c>
      <c r="J1910" s="7" t="str">
        <f t="shared" si="117"/>
        <v>Материал по ЕГРН</v>
      </c>
      <c r="K1910" s="7">
        <f>VLOOKUP(J1910,Лист2!A$2:B$4,2,FALSE)</f>
        <v>792</v>
      </c>
      <c r="L1910" s="7" t="str">
        <f t="shared" si="118"/>
        <v>ГОТОВ_ИЗМЕНЕН</v>
      </c>
      <c r="M1910" s="7">
        <f t="shared" si="119"/>
        <v>0</v>
      </c>
    </row>
    <row r="1911" spans="1:13" x14ac:dyDescent="0.25">
      <c r="A1911" s="1">
        <v>946296</v>
      </c>
      <c r="B1911" s="6" t="s">
        <v>2032</v>
      </c>
      <c r="F1911" s="6" t="s">
        <v>9</v>
      </c>
      <c r="G1911" s="6" t="s">
        <v>62</v>
      </c>
      <c r="H1911" s="9" t="s">
        <v>63</v>
      </c>
      <c r="I1911" s="7" t="str">
        <f t="shared" si="116"/>
        <v>61001006002</v>
      </c>
      <c r="J1911" s="7" t="str">
        <f t="shared" si="117"/>
        <v>Материал по ЕГРН</v>
      </c>
      <c r="K1911" s="7">
        <f>VLOOKUP(J1911,Лист2!A$2:B$4,2,FALSE)</f>
        <v>792</v>
      </c>
      <c r="L1911" s="7" t="str">
        <f t="shared" si="118"/>
        <v>ГОТОВ_ИЗМЕНЕН</v>
      </c>
      <c r="M1911" s="7">
        <f t="shared" si="119"/>
        <v>0</v>
      </c>
    </row>
    <row r="1912" spans="1:13" x14ac:dyDescent="0.25">
      <c r="A1912" s="1">
        <v>946308</v>
      </c>
      <c r="B1912" s="6" t="s">
        <v>2033</v>
      </c>
      <c r="F1912" s="6" t="s">
        <v>9</v>
      </c>
      <c r="G1912" s="6" t="s">
        <v>34</v>
      </c>
      <c r="H1912" s="9" t="s">
        <v>35</v>
      </c>
      <c r="I1912" s="7" t="str">
        <f t="shared" si="116"/>
        <v>61001002000</v>
      </c>
      <c r="J1912" s="7" t="str">
        <f t="shared" si="117"/>
        <v>Материал по ЕГРН</v>
      </c>
      <c r="K1912" s="7">
        <f>VLOOKUP(J1912,Лист2!A$2:B$4,2,FALSE)</f>
        <v>792</v>
      </c>
      <c r="L1912" s="7" t="str">
        <f t="shared" si="118"/>
        <v>ГОТОВ_ИЗМЕНЕН</v>
      </c>
      <c r="M1912" s="7">
        <f t="shared" si="119"/>
        <v>0</v>
      </c>
    </row>
    <row r="1913" spans="1:13" x14ac:dyDescent="0.25">
      <c r="A1913" s="1">
        <v>946320</v>
      </c>
      <c r="B1913" s="6" t="s">
        <v>2034</v>
      </c>
      <c r="F1913" s="6" t="s">
        <v>9</v>
      </c>
      <c r="G1913" s="6" t="s">
        <v>38</v>
      </c>
      <c r="H1913" s="9" t="s">
        <v>33</v>
      </c>
      <c r="I1913" s="7" t="str">
        <f t="shared" si="116"/>
        <v>61001005000</v>
      </c>
      <c r="J1913" s="7" t="str">
        <f t="shared" si="117"/>
        <v>Материал по ЕГРН</v>
      </c>
      <c r="K1913" s="7">
        <f>VLOOKUP(J1913,Лист2!A$2:B$4,2,FALSE)</f>
        <v>792</v>
      </c>
      <c r="L1913" s="7" t="str">
        <f t="shared" si="118"/>
        <v>ГОТОВ_ИЗМЕНЕН</v>
      </c>
      <c r="M1913" s="7">
        <f t="shared" si="119"/>
        <v>0</v>
      </c>
    </row>
    <row r="1914" spans="1:13" x14ac:dyDescent="0.25">
      <c r="A1914" s="1">
        <v>946332</v>
      </c>
      <c r="B1914" s="6" t="s">
        <v>2035</v>
      </c>
      <c r="F1914" s="6" t="s">
        <v>9</v>
      </c>
      <c r="G1914" s="6" t="s">
        <v>62</v>
      </c>
      <c r="H1914" s="9" t="s">
        <v>63</v>
      </c>
      <c r="I1914" s="7" t="str">
        <f t="shared" si="116"/>
        <v>61001006002</v>
      </c>
      <c r="J1914" s="7" t="str">
        <f t="shared" si="117"/>
        <v>Материал по ЕГРН</v>
      </c>
      <c r="K1914" s="7">
        <f>VLOOKUP(J1914,Лист2!A$2:B$4,2,FALSE)</f>
        <v>792</v>
      </c>
      <c r="L1914" s="7" t="str">
        <f t="shared" si="118"/>
        <v>ГОТОВ_ИЗМЕНЕН</v>
      </c>
      <c r="M1914" s="7">
        <f t="shared" si="119"/>
        <v>0</v>
      </c>
    </row>
    <row r="1915" spans="1:13" x14ac:dyDescent="0.25">
      <c r="A1915" s="1">
        <v>946344</v>
      </c>
      <c r="B1915" s="6" t="s">
        <v>2036</v>
      </c>
      <c r="F1915" s="6" t="s">
        <v>9</v>
      </c>
      <c r="G1915" s="6" t="s">
        <v>34</v>
      </c>
      <c r="H1915" s="9" t="s">
        <v>35</v>
      </c>
      <c r="I1915" s="7" t="str">
        <f t="shared" si="116"/>
        <v>61001002000</v>
      </c>
      <c r="J1915" s="7" t="str">
        <f t="shared" si="117"/>
        <v>Материал по ЕГРН</v>
      </c>
      <c r="K1915" s="7">
        <f>VLOOKUP(J1915,Лист2!A$2:B$4,2,FALSE)</f>
        <v>792</v>
      </c>
      <c r="L1915" s="7" t="str">
        <f t="shared" si="118"/>
        <v>ГОТОВ_ИЗМЕНЕН</v>
      </c>
      <c r="M1915" s="7">
        <f t="shared" si="119"/>
        <v>0</v>
      </c>
    </row>
    <row r="1916" spans="1:13" x14ac:dyDescent="0.25">
      <c r="A1916" s="1">
        <v>946356</v>
      </c>
      <c r="B1916" s="6" t="s">
        <v>2037</v>
      </c>
      <c r="F1916" s="6" t="s">
        <v>9</v>
      </c>
      <c r="G1916" s="6" t="s">
        <v>38</v>
      </c>
      <c r="H1916" s="9" t="s">
        <v>33</v>
      </c>
      <c r="I1916" s="7" t="str">
        <f t="shared" si="116"/>
        <v>61001005000</v>
      </c>
      <c r="J1916" s="7" t="str">
        <f t="shared" si="117"/>
        <v>Материал по ЕГРН</v>
      </c>
      <c r="K1916" s="7">
        <f>VLOOKUP(J1916,Лист2!A$2:B$4,2,FALSE)</f>
        <v>792</v>
      </c>
      <c r="L1916" s="7" t="str">
        <f t="shared" si="118"/>
        <v>ГОТОВ_ИЗМЕНЕН</v>
      </c>
      <c r="M1916" s="7">
        <f t="shared" si="119"/>
        <v>0</v>
      </c>
    </row>
    <row r="1917" spans="1:13" x14ac:dyDescent="0.25">
      <c r="A1917" s="1">
        <v>946368</v>
      </c>
      <c r="B1917" s="6" t="s">
        <v>2038</v>
      </c>
      <c r="F1917" s="6" t="s">
        <v>9</v>
      </c>
      <c r="G1917" s="6" t="s">
        <v>73</v>
      </c>
      <c r="H1917" s="9" t="s">
        <v>74</v>
      </c>
      <c r="I1917" s="7" t="str">
        <f t="shared" si="116"/>
        <v>61001006000</v>
      </c>
      <c r="J1917" s="7" t="str">
        <f t="shared" si="117"/>
        <v>Материал по ЕГРН</v>
      </c>
      <c r="K1917" s="7">
        <f>VLOOKUP(J1917,Лист2!A$2:B$4,2,FALSE)</f>
        <v>792</v>
      </c>
      <c r="L1917" s="7" t="str">
        <f t="shared" si="118"/>
        <v>ГОТОВ_ИЗМЕНЕН</v>
      </c>
      <c r="M1917" s="7">
        <f t="shared" si="119"/>
        <v>0</v>
      </c>
    </row>
    <row r="1918" spans="1:13" x14ac:dyDescent="0.25">
      <c r="A1918" s="1">
        <v>946380</v>
      </c>
      <c r="B1918" s="6" t="s">
        <v>2039</v>
      </c>
      <c r="F1918" s="6" t="s">
        <v>9</v>
      </c>
      <c r="G1918" s="6" t="s">
        <v>38</v>
      </c>
      <c r="H1918" s="9" t="s">
        <v>33</v>
      </c>
      <c r="I1918" s="7" t="str">
        <f t="shared" si="116"/>
        <v>61001005000</v>
      </c>
      <c r="J1918" s="7" t="str">
        <f t="shared" si="117"/>
        <v>Материал по ЕГРН</v>
      </c>
      <c r="K1918" s="7">
        <f>VLOOKUP(J1918,Лист2!A$2:B$4,2,FALSE)</f>
        <v>792</v>
      </c>
      <c r="L1918" s="7" t="str">
        <f t="shared" si="118"/>
        <v>ГОТОВ_ИЗМЕНЕН</v>
      </c>
      <c r="M1918" s="7">
        <f t="shared" si="119"/>
        <v>0</v>
      </c>
    </row>
    <row r="1919" spans="1:13" x14ac:dyDescent="0.25">
      <c r="A1919" s="1">
        <v>946392</v>
      </c>
      <c r="B1919" s="6" t="s">
        <v>2040</v>
      </c>
      <c r="F1919" s="6" t="s">
        <v>9</v>
      </c>
      <c r="G1919" s="6" t="s">
        <v>34</v>
      </c>
      <c r="H1919" s="9" t="s">
        <v>35</v>
      </c>
      <c r="I1919" s="7" t="str">
        <f t="shared" si="116"/>
        <v>61001002000</v>
      </c>
      <c r="J1919" s="7" t="str">
        <f t="shared" si="117"/>
        <v>Материал по ЕГРН</v>
      </c>
      <c r="K1919" s="7">
        <f>VLOOKUP(J1919,Лист2!A$2:B$4,2,FALSE)</f>
        <v>792</v>
      </c>
      <c r="L1919" s="7" t="str">
        <f t="shared" si="118"/>
        <v>ГОТОВ_ИЗМЕНЕН</v>
      </c>
      <c r="M1919" s="7">
        <f t="shared" si="119"/>
        <v>0</v>
      </c>
    </row>
    <row r="1920" spans="1:13" x14ac:dyDescent="0.25">
      <c r="A1920" s="1">
        <v>215759</v>
      </c>
      <c r="B1920" s="6" t="s">
        <v>2041</v>
      </c>
      <c r="C1920" s="9" t="s">
        <v>33</v>
      </c>
      <c r="D1920" s="6" t="s">
        <v>20</v>
      </c>
      <c r="E1920" s="6" t="s">
        <v>37</v>
      </c>
      <c r="F1920" s="6" t="s">
        <v>9</v>
      </c>
      <c r="G1920" s="6" t="s">
        <v>38</v>
      </c>
      <c r="H1920" s="9" t="s">
        <v>33</v>
      </c>
      <c r="I1920" s="7" t="str">
        <f t="shared" si="116"/>
        <v>61001005000</v>
      </c>
      <c r="J1920" s="7" t="str">
        <f t="shared" si="117"/>
        <v>Материал по ЕГРН</v>
      </c>
      <c r="K1920" s="7">
        <f>VLOOKUP(J1920,Лист2!A$2:B$4,2,FALSE)</f>
        <v>792</v>
      </c>
      <c r="L1920" s="7" t="str">
        <f t="shared" si="118"/>
        <v>ГОТОВ</v>
      </c>
      <c r="M1920" s="7" t="str">
        <f t="shared" si="119"/>
        <v>61001005000</v>
      </c>
    </row>
    <row r="1921" spans="1:13" x14ac:dyDescent="0.25">
      <c r="A1921" s="1">
        <v>535886</v>
      </c>
      <c r="B1921" s="6" t="s">
        <v>2042</v>
      </c>
      <c r="C1921" s="9" t="s">
        <v>33</v>
      </c>
      <c r="D1921" s="6" t="s">
        <v>20</v>
      </c>
      <c r="E1921" s="6" t="s">
        <v>37</v>
      </c>
      <c r="F1921" s="6" t="s">
        <v>9</v>
      </c>
      <c r="G1921" s="6" t="s">
        <v>38</v>
      </c>
      <c r="H1921" s="9" t="s">
        <v>33</v>
      </c>
      <c r="I1921" s="7" t="str">
        <f t="shared" si="116"/>
        <v>61001005000</v>
      </c>
      <c r="J1921" s="7" t="str">
        <f t="shared" si="117"/>
        <v>Материал по ЕГРН</v>
      </c>
      <c r="K1921" s="7">
        <f>VLOOKUP(J1921,Лист2!A$2:B$4,2,FALSE)</f>
        <v>792</v>
      </c>
      <c r="L1921" s="7" t="str">
        <f t="shared" si="118"/>
        <v>ГОТОВ</v>
      </c>
      <c r="M1921" s="7" t="str">
        <f t="shared" si="119"/>
        <v>61001005000</v>
      </c>
    </row>
    <row r="1922" spans="1:13" x14ac:dyDescent="0.25">
      <c r="A1922" s="1">
        <v>736345</v>
      </c>
      <c r="B1922" s="6" t="s">
        <v>2043</v>
      </c>
      <c r="C1922" s="9" t="s">
        <v>33</v>
      </c>
      <c r="D1922" s="6" t="s">
        <v>20</v>
      </c>
      <c r="E1922" s="6" t="s">
        <v>37</v>
      </c>
      <c r="F1922" s="6" t="s">
        <v>9</v>
      </c>
      <c r="G1922" s="6" t="s">
        <v>38</v>
      </c>
      <c r="H1922" s="9" t="s">
        <v>33</v>
      </c>
      <c r="I1922" s="7" t="str">
        <f t="shared" si="116"/>
        <v>61001005000</v>
      </c>
      <c r="J1922" s="7" t="str">
        <f t="shared" si="117"/>
        <v>Материал по ЕГРН</v>
      </c>
      <c r="K1922" s="7">
        <f>VLOOKUP(J1922,Лист2!A$2:B$4,2,FALSE)</f>
        <v>792</v>
      </c>
      <c r="L1922" s="7" t="str">
        <f t="shared" si="118"/>
        <v>ГОТОВ</v>
      </c>
      <c r="M1922" s="7" t="str">
        <f t="shared" si="119"/>
        <v>61001005000</v>
      </c>
    </row>
    <row r="1923" spans="1:13" x14ac:dyDescent="0.25">
      <c r="A1923" s="1">
        <v>944916</v>
      </c>
      <c r="B1923" s="6" t="s">
        <v>2044</v>
      </c>
      <c r="F1923" s="6" t="s">
        <v>9</v>
      </c>
      <c r="G1923" s="6" t="s">
        <v>38</v>
      </c>
      <c r="H1923" s="9" t="s">
        <v>33</v>
      </c>
      <c r="I1923" s="7" t="str">
        <f t="shared" si="116"/>
        <v>61001005000</v>
      </c>
      <c r="J1923" s="7" t="str">
        <f t="shared" si="117"/>
        <v>Материал по ЕГРН</v>
      </c>
      <c r="K1923" s="7">
        <f>VLOOKUP(J1923,Лист2!A$2:B$4,2,FALSE)</f>
        <v>792</v>
      </c>
      <c r="L1923" s="7" t="str">
        <f t="shared" si="118"/>
        <v>ГОТОВ_ИЗМЕНЕН</v>
      </c>
      <c r="M1923" s="7">
        <f t="shared" si="119"/>
        <v>0</v>
      </c>
    </row>
    <row r="1924" spans="1:13" x14ac:dyDescent="0.25">
      <c r="A1924" s="1">
        <v>944928</v>
      </c>
      <c r="B1924" s="6" t="s">
        <v>2045</v>
      </c>
      <c r="F1924" s="6" t="s">
        <v>9</v>
      </c>
      <c r="G1924" s="6" t="s">
        <v>146</v>
      </c>
      <c r="H1924" s="9" t="s">
        <v>147</v>
      </c>
      <c r="I1924" s="7" t="str">
        <f t="shared" si="116"/>
        <v>61001000000</v>
      </c>
      <c r="J1924" s="7" t="str">
        <f t="shared" si="117"/>
        <v>Материал по ЕГРН</v>
      </c>
      <c r="K1924" s="7">
        <f>VLOOKUP(J1924,Лист2!A$2:B$4,2,FALSE)</f>
        <v>792</v>
      </c>
      <c r="L1924" s="7" t="str">
        <f t="shared" si="118"/>
        <v>ГОТОВ_ИЗМЕНЕН</v>
      </c>
      <c r="M1924" s="7">
        <f t="shared" si="119"/>
        <v>0</v>
      </c>
    </row>
    <row r="1925" spans="1:13" x14ac:dyDescent="0.25">
      <c r="A1925" s="1">
        <v>944940</v>
      </c>
      <c r="B1925" s="6" t="s">
        <v>2046</v>
      </c>
      <c r="F1925" s="6" t="s">
        <v>9</v>
      </c>
      <c r="G1925" s="6" t="s">
        <v>62</v>
      </c>
      <c r="H1925" s="9" t="s">
        <v>63</v>
      </c>
      <c r="I1925" s="7" t="str">
        <f t="shared" ref="I1925:I1988" si="120">IF(LEN(H1925)=11,H1925,IF(LEN(H1925)=0,"61001005000","61001003000"))</f>
        <v>61001006002</v>
      </c>
      <c r="J1925" s="7" t="str">
        <f t="shared" ref="J1925:J1988" si="121">IF(LEN(H1925)=11,"Материал по ЕГРН",IF(LEN(H1925)=0,"Прочие по допущению","Смешанные по допущению"))</f>
        <v>Материал по ЕГРН</v>
      </c>
      <c r="K1925" s="7">
        <f>VLOOKUP(J1925,Лист2!A$2:B$4,2,FALSE)</f>
        <v>792</v>
      </c>
      <c r="L1925" s="7" t="str">
        <f t="shared" ref="L1925:L1988" si="122">IF(I1925=C1925,"ГОТОВ","ГОТОВ_ИЗМЕНЕН")</f>
        <v>ГОТОВ_ИЗМЕНЕН</v>
      </c>
      <c r="M1925" s="7">
        <f t="shared" ref="M1925:M1988" si="123">C1925</f>
        <v>0</v>
      </c>
    </row>
    <row r="1926" spans="1:13" x14ac:dyDescent="0.25">
      <c r="A1926" s="1">
        <v>944952</v>
      </c>
      <c r="B1926" s="6" t="s">
        <v>2047</v>
      </c>
      <c r="F1926" s="6" t="s">
        <v>9</v>
      </c>
      <c r="G1926" s="6" t="s">
        <v>10</v>
      </c>
      <c r="H1926" s="9" t="s">
        <v>11</v>
      </c>
      <c r="I1926" s="7" t="str">
        <f t="shared" si="120"/>
        <v>61001003000</v>
      </c>
      <c r="J1926" s="7" t="str">
        <f t="shared" si="121"/>
        <v>Материал по ЕГРН</v>
      </c>
      <c r="K1926" s="7">
        <f>VLOOKUP(J1926,Лист2!A$2:B$4,2,FALSE)</f>
        <v>792</v>
      </c>
      <c r="L1926" s="7" t="str">
        <f t="shared" si="122"/>
        <v>ГОТОВ_ИЗМЕНЕН</v>
      </c>
      <c r="M1926" s="7">
        <f t="shared" si="123"/>
        <v>0</v>
      </c>
    </row>
    <row r="1927" spans="1:13" x14ac:dyDescent="0.25">
      <c r="A1927" s="1">
        <v>944964</v>
      </c>
      <c r="B1927" s="6" t="s">
        <v>2048</v>
      </c>
      <c r="F1927" s="6" t="s">
        <v>9</v>
      </c>
      <c r="G1927" s="6" t="s">
        <v>38</v>
      </c>
      <c r="H1927" s="9" t="s">
        <v>33</v>
      </c>
      <c r="I1927" s="7" t="str">
        <f t="shared" si="120"/>
        <v>61001005000</v>
      </c>
      <c r="J1927" s="7" t="str">
        <f t="shared" si="121"/>
        <v>Материал по ЕГРН</v>
      </c>
      <c r="K1927" s="7">
        <f>VLOOKUP(J1927,Лист2!A$2:B$4,2,FALSE)</f>
        <v>792</v>
      </c>
      <c r="L1927" s="7" t="str">
        <f t="shared" si="122"/>
        <v>ГОТОВ_ИЗМЕНЕН</v>
      </c>
      <c r="M1927" s="7">
        <f t="shared" si="123"/>
        <v>0</v>
      </c>
    </row>
    <row r="1928" spans="1:13" x14ac:dyDescent="0.25">
      <c r="A1928" s="1">
        <v>944976</v>
      </c>
      <c r="B1928" s="6" t="s">
        <v>2049</v>
      </c>
      <c r="F1928" s="6" t="s">
        <v>9</v>
      </c>
      <c r="G1928" s="6" t="s">
        <v>59</v>
      </c>
      <c r="H1928" s="9" t="s">
        <v>60</v>
      </c>
      <c r="I1928" s="7" t="str">
        <f t="shared" si="120"/>
        <v>61001001001</v>
      </c>
      <c r="J1928" s="7" t="str">
        <f t="shared" si="121"/>
        <v>Материал по ЕГРН</v>
      </c>
      <c r="K1928" s="7">
        <f>VLOOKUP(J1928,Лист2!A$2:B$4,2,FALSE)</f>
        <v>792</v>
      </c>
      <c r="L1928" s="7" t="str">
        <f t="shared" si="122"/>
        <v>ГОТОВ_ИЗМЕНЕН</v>
      </c>
      <c r="M1928" s="7">
        <f t="shared" si="123"/>
        <v>0</v>
      </c>
    </row>
    <row r="1929" spans="1:13" x14ac:dyDescent="0.25">
      <c r="A1929" s="1">
        <v>944988</v>
      </c>
      <c r="B1929" s="6" t="s">
        <v>2050</v>
      </c>
      <c r="F1929" s="6" t="s">
        <v>9</v>
      </c>
      <c r="G1929" s="6" t="s">
        <v>34</v>
      </c>
      <c r="H1929" s="9" t="s">
        <v>35</v>
      </c>
      <c r="I1929" s="7" t="str">
        <f t="shared" si="120"/>
        <v>61001002000</v>
      </c>
      <c r="J1929" s="7" t="str">
        <f t="shared" si="121"/>
        <v>Материал по ЕГРН</v>
      </c>
      <c r="K1929" s="7">
        <f>VLOOKUP(J1929,Лист2!A$2:B$4,2,FALSE)</f>
        <v>792</v>
      </c>
      <c r="L1929" s="7" t="str">
        <f t="shared" si="122"/>
        <v>ГОТОВ_ИЗМЕНЕН</v>
      </c>
      <c r="M1929" s="7">
        <f t="shared" si="123"/>
        <v>0</v>
      </c>
    </row>
    <row r="1930" spans="1:13" x14ac:dyDescent="0.25">
      <c r="A1930" s="1">
        <v>945000</v>
      </c>
      <c r="B1930" s="6" t="s">
        <v>2051</v>
      </c>
      <c r="F1930" s="6" t="s">
        <v>9</v>
      </c>
      <c r="G1930" s="6" t="s">
        <v>38</v>
      </c>
      <c r="H1930" s="9" t="s">
        <v>33</v>
      </c>
      <c r="I1930" s="7" t="str">
        <f t="shared" si="120"/>
        <v>61001005000</v>
      </c>
      <c r="J1930" s="7" t="str">
        <f t="shared" si="121"/>
        <v>Материал по ЕГРН</v>
      </c>
      <c r="K1930" s="7">
        <f>VLOOKUP(J1930,Лист2!A$2:B$4,2,FALSE)</f>
        <v>792</v>
      </c>
      <c r="L1930" s="7" t="str">
        <f t="shared" si="122"/>
        <v>ГОТОВ_ИЗМЕНЕН</v>
      </c>
      <c r="M1930" s="7">
        <f t="shared" si="123"/>
        <v>0</v>
      </c>
    </row>
    <row r="1931" spans="1:13" x14ac:dyDescent="0.25">
      <c r="A1931" s="1">
        <v>945012</v>
      </c>
      <c r="B1931" s="6" t="s">
        <v>2052</v>
      </c>
      <c r="F1931" s="6" t="s">
        <v>9</v>
      </c>
      <c r="G1931" s="6" t="s">
        <v>59</v>
      </c>
      <c r="H1931" s="9" t="s">
        <v>60</v>
      </c>
      <c r="I1931" s="7" t="str">
        <f t="shared" si="120"/>
        <v>61001001001</v>
      </c>
      <c r="J1931" s="7" t="str">
        <f t="shared" si="121"/>
        <v>Материал по ЕГРН</v>
      </c>
      <c r="K1931" s="7">
        <f>VLOOKUP(J1931,Лист2!A$2:B$4,2,FALSE)</f>
        <v>792</v>
      </c>
      <c r="L1931" s="7" t="str">
        <f t="shared" si="122"/>
        <v>ГОТОВ_ИЗМЕНЕН</v>
      </c>
      <c r="M1931" s="7">
        <f t="shared" si="123"/>
        <v>0</v>
      </c>
    </row>
    <row r="1932" spans="1:13" x14ac:dyDescent="0.25">
      <c r="A1932" s="1">
        <v>945024</v>
      </c>
      <c r="B1932" s="6" t="s">
        <v>2053</v>
      </c>
      <c r="F1932" s="6" t="s">
        <v>9</v>
      </c>
      <c r="G1932" s="6" t="s">
        <v>38</v>
      </c>
      <c r="H1932" s="9" t="s">
        <v>33</v>
      </c>
      <c r="I1932" s="7" t="str">
        <f t="shared" si="120"/>
        <v>61001005000</v>
      </c>
      <c r="J1932" s="7" t="str">
        <f t="shared" si="121"/>
        <v>Материал по ЕГРН</v>
      </c>
      <c r="K1932" s="7">
        <f>VLOOKUP(J1932,Лист2!A$2:B$4,2,FALSE)</f>
        <v>792</v>
      </c>
      <c r="L1932" s="7" t="str">
        <f t="shared" si="122"/>
        <v>ГОТОВ_ИЗМЕНЕН</v>
      </c>
      <c r="M1932" s="7">
        <f t="shared" si="123"/>
        <v>0</v>
      </c>
    </row>
    <row r="1933" spans="1:13" x14ac:dyDescent="0.25">
      <c r="A1933" s="1">
        <v>945036</v>
      </c>
      <c r="B1933" s="6" t="s">
        <v>2054</v>
      </c>
      <c r="F1933" s="6" t="s">
        <v>9</v>
      </c>
      <c r="G1933" s="6" t="s">
        <v>38</v>
      </c>
      <c r="H1933" s="9" t="s">
        <v>33</v>
      </c>
      <c r="I1933" s="7" t="str">
        <f t="shared" si="120"/>
        <v>61001005000</v>
      </c>
      <c r="J1933" s="7" t="str">
        <f t="shared" si="121"/>
        <v>Материал по ЕГРН</v>
      </c>
      <c r="K1933" s="7">
        <f>VLOOKUP(J1933,Лист2!A$2:B$4,2,FALSE)</f>
        <v>792</v>
      </c>
      <c r="L1933" s="7" t="str">
        <f t="shared" si="122"/>
        <v>ГОТОВ_ИЗМЕНЕН</v>
      </c>
      <c r="M1933" s="7">
        <f t="shared" si="123"/>
        <v>0</v>
      </c>
    </row>
    <row r="1934" spans="1:13" x14ac:dyDescent="0.25">
      <c r="A1934" s="1">
        <v>945048</v>
      </c>
      <c r="B1934" s="6" t="s">
        <v>2055</v>
      </c>
      <c r="F1934" s="6" t="s">
        <v>9</v>
      </c>
      <c r="G1934" s="6" t="s">
        <v>34</v>
      </c>
      <c r="H1934" s="9" t="s">
        <v>35</v>
      </c>
      <c r="I1934" s="7" t="str">
        <f t="shared" si="120"/>
        <v>61001002000</v>
      </c>
      <c r="J1934" s="7" t="str">
        <f t="shared" si="121"/>
        <v>Материал по ЕГРН</v>
      </c>
      <c r="K1934" s="7">
        <f>VLOOKUP(J1934,Лист2!A$2:B$4,2,FALSE)</f>
        <v>792</v>
      </c>
      <c r="L1934" s="7" t="str">
        <f t="shared" si="122"/>
        <v>ГОТОВ_ИЗМЕНЕН</v>
      </c>
      <c r="M1934" s="7">
        <f t="shared" si="123"/>
        <v>0</v>
      </c>
    </row>
    <row r="1935" spans="1:13" x14ac:dyDescent="0.25">
      <c r="A1935" s="1">
        <v>945060</v>
      </c>
      <c r="B1935" s="6" t="s">
        <v>2056</v>
      </c>
      <c r="F1935" s="6" t="s">
        <v>9</v>
      </c>
      <c r="G1935" s="6" t="s">
        <v>10</v>
      </c>
      <c r="H1935" s="9" t="s">
        <v>11</v>
      </c>
      <c r="I1935" s="7" t="str">
        <f t="shared" si="120"/>
        <v>61001003000</v>
      </c>
      <c r="J1935" s="7" t="str">
        <f t="shared" si="121"/>
        <v>Материал по ЕГРН</v>
      </c>
      <c r="K1935" s="7">
        <f>VLOOKUP(J1935,Лист2!A$2:B$4,2,FALSE)</f>
        <v>792</v>
      </c>
      <c r="L1935" s="7" t="str">
        <f t="shared" si="122"/>
        <v>ГОТОВ_ИЗМЕНЕН</v>
      </c>
      <c r="M1935" s="7">
        <f t="shared" si="123"/>
        <v>0</v>
      </c>
    </row>
    <row r="1936" spans="1:13" x14ac:dyDescent="0.25">
      <c r="A1936" s="1">
        <v>945072</v>
      </c>
      <c r="B1936" s="6" t="s">
        <v>2057</v>
      </c>
      <c r="F1936" s="6" t="s">
        <v>9</v>
      </c>
      <c r="G1936" s="6" t="s">
        <v>90</v>
      </c>
      <c r="H1936" s="9" t="s">
        <v>12</v>
      </c>
      <c r="I1936" s="7" t="str">
        <f t="shared" si="120"/>
        <v>61001008000</v>
      </c>
      <c r="J1936" s="7" t="str">
        <f t="shared" si="121"/>
        <v>Материал по ЕГРН</v>
      </c>
      <c r="K1936" s="7">
        <f>VLOOKUP(J1936,Лист2!A$2:B$4,2,FALSE)</f>
        <v>792</v>
      </c>
      <c r="L1936" s="7" t="str">
        <f t="shared" si="122"/>
        <v>ГОТОВ_ИЗМЕНЕН</v>
      </c>
      <c r="M1936" s="7">
        <f t="shared" si="123"/>
        <v>0</v>
      </c>
    </row>
    <row r="1937" spans="1:13" x14ac:dyDescent="0.25">
      <c r="A1937" s="1">
        <v>945084</v>
      </c>
      <c r="B1937" s="6" t="s">
        <v>2058</v>
      </c>
      <c r="F1937" s="6" t="s">
        <v>9</v>
      </c>
      <c r="G1937" s="6" t="s">
        <v>38</v>
      </c>
      <c r="H1937" s="9" t="s">
        <v>33</v>
      </c>
      <c r="I1937" s="7" t="str">
        <f t="shared" si="120"/>
        <v>61001005000</v>
      </c>
      <c r="J1937" s="7" t="str">
        <f t="shared" si="121"/>
        <v>Материал по ЕГРН</v>
      </c>
      <c r="K1937" s="7">
        <f>VLOOKUP(J1937,Лист2!A$2:B$4,2,FALSE)</f>
        <v>792</v>
      </c>
      <c r="L1937" s="7" t="str">
        <f t="shared" si="122"/>
        <v>ГОТОВ_ИЗМЕНЕН</v>
      </c>
      <c r="M1937" s="7">
        <f t="shared" si="123"/>
        <v>0</v>
      </c>
    </row>
    <row r="1938" spans="1:13" x14ac:dyDescent="0.25">
      <c r="A1938" s="1">
        <v>945096</v>
      </c>
      <c r="B1938" s="6" t="s">
        <v>2059</v>
      </c>
      <c r="F1938" s="6" t="s">
        <v>9</v>
      </c>
      <c r="G1938" s="6" t="s">
        <v>170</v>
      </c>
      <c r="H1938" s="9" t="s">
        <v>171</v>
      </c>
      <c r="I1938" s="7" t="str">
        <f t="shared" si="120"/>
        <v>61001001000</v>
      </c>
      <c r="J1938" s="7" t="str">
        <f t="shared" si="121"/>
        <v>Материал по ЕГРН</v>
      </c>
      <c r="K1938" s="7">
        <f>VLOOKUP(J1938,Лист2!A$2:B$4,2,FALSE)</f>
        <v>792</v>
      </c>
      <c r="L1938" s="7" t="str">
        <f t="shared" si="122"/>
        <v>ГОТОВ_ИЗМЕНЕН</v>
      </c>
      <c r="M1938" s="7">
        <f t="shared" si="123"/>
        <v>0</v>
      </c>
    </row>
    <row r="1939" spans="1:13" x14ac:dyDescent="0.25">
      <c r="A1939" s="1">
        <v>945108</v>
      </c>
      <c r="B1939" s="6" t="s">
        <v>2060</v>
      </c>
      <c r="F1939" s="6" t="s">
        <v>9</v>
      </c>
      <c r="G1939" s="6" t="s">
        <v>38</v>
      </c>
      <c r="H1939" s="9" t="s">
        <v>33</v>
      </c>
      <c r="I1939" s="7" t="str">
        <f t="shared" si="120"/>
        <v>61001005000</v>
      </c>
      <c r="J1939" s="7" t="str">
        <f t="shared" si="121"/>
        <v>Материал по ЕГРН</v>
      </c>
      <c r="K1939" s="7">
        <f>VLOOKUP(J1939,Лист2!A$2:B$4,2,FALSE)</f>
        <v>792</v>
      </c>
      <c r="L1939" s="7" t="str">
        <f t="shared" si="122"/>
        <v>ГОТОВ_ИЗМЕНЕН</v>
      </c>
      <c r="M1939" s="7">
        <f t="shared" si="123"/>
        <v>0</v>
      </c>
    </row>
    <row r="1940" spans="1:13" x14ac:dyDescent="0.25">
      <c r="A1940" s="1">
        <v>945120</v>
      </c>
      <c r="B1940" s="6" t="s">
        <v>2061</v>
      </c>
      <c r="F1940" s="6" t="s">
        <v>9</v>
      </c>
      <c r="G1940" s="6" t="s">
        <v>34</v>
      </c>
      <c r="H1940" s="9" t="s">
        <v>35</v>
      </c>
      <c r="I1940" s="7" t="str">
        <f t="shared" si="120"/>
        <v>61001002000</v>
      </c>
      <c r="J1940" s="7" t="str">
        <f t="shared" si="121"/>
        <v>Материал по ЕГРН</v>
      </c>
      <c r="K1940" s="7">
        <f>VLOOKUP(J1940,Лист2!A$2:B$4,2,FALSE)</f>
        <v>792</v>
      </c>
      <c r="L1940" s="7" t="str">
        <f t="shared" si="122"/>
        <v>ГОТОВ_ИЗМЕНЕН</v>
      </c>
      <c r="M1940" s="7">
        <f t="shared" si="123"/>
        <v>0</v>
      </c>
    </row>
    <row r="1941" spans="1:13" x14ac:dyDescent="0.25">
      <c r="A1941" s="1">
        <v>945132</v>
      </c>
      <c r="B1941" s="6" t="s">
        <v>2062</v>
      </c>
      <c r="F1941" s="6" t="s">
        <v>9</v>
      </c>
      <c r="G1941" s="6" t="s">
        <v>10</v>
      </c>
      <c r="H1941" s="9" t="s">
        <v>11</v>
      </c>
      <c r="I1941" s="7" t="str">
        <f t="shared" si="120"/>
        <v>61001003000</v>
      </c>
      <c r="J1941" s="7" t="str">
        <f t="shared" si="121"/>
        <v>Материал по ЕГРН</v>
      </c>
      <c r="K1941" s="7">
        <f>VLOOKUP(J1941,Лист2!A$2:B$4,2,FALSE)</f>
        <v>792</v>
      </c>
      <c r="L1941" s="7" t="str">
        <f t="shared" si="122"/>
        <v>ГОТОВ_ИЗМЕНЕН</v>
      </c>
      <c r="M1941" s="7">
        <f t="shared" si="123"/>
        <v>0</v>
      </c>
    </row>
    <row r="1942" spans="1:13" x14ac:dyDescent="0.25">
      <c r="A1942" s="1">
        <v>945144</v>
      </c>
      <c r="B1942" s="6" t="s">
        <v>2063</v>
      </c>
      <c r="F1942" s="6" t="s">
        <v>9</v>
      </c>
      <c r="G1942" s="6" t="s">
        <v>170</v>
      </c>
      <c r="H1942" s="9" t="s">
        <v>171</v>
      </c>
      <c r="I1942" s="7" t="str">
        <f t="shared" si="120"/>
        <v>61001001000</v>
      </c>
      <c r="J1942" s="7" t="str">
        <f t="shared" si="121"/>
        <v>Материал по ЕГРН</v>
      </c>
      <c r="K1942" s="7">
        <f>VLOOKUP(J1942,Лист2!A$2:B$4,2,FALSE)</f>
        <v>792</v>
      </c>
      <c r="L1942" s="7" t="str">
        <f t="shared" si="122"/>
        <v>ГОТОВ_ИЗМЕНЕН</v>
      </c>
      <c r="M1942" s="7">
        <f t="shared" si="123"/>
        <v>0</v>
      </c>
    </row>
    <row r="1943" spans="1:13" x14ac:dyDescent="0.25">
      <c r="A1943" s="1">
        <v>945156</v>
      </c>
      <c r="B1943" s="6" t="s">
        <v>2064</v>
      </c>
      <c r="F1943" s="6" t="s">
        <v>9</v>
      </c>
      <c r="G1943" s="6" t="s">
        <v>62</v>
      </c>
      <c r="H1943" s="9" t="s">
        <v>63</v>
      </c>
      <c r="I1943" s="7" t="str">
        <f t="shared" si="120"/>
        <v>61001006002</v>
      </c>
      <c r="J1943" s="7" t="str">
        <f t="shared" si="121"/>
        <v>Материал по ЕГРН</v>
      </c>
      <c r="K1943" s="7">
        <f>VLOOKUP(J1943,Лист2!A$2:B$4,2,FALSE)</f>
        <v>792</v>
      </c>
      <c r="L1943" s="7" t="str">
        <f t="shared" si="122"/>
        <v>ГОТОВ_ИЗМЕНЕН</v>
      </c>
      <c r="M1943" s="7">
        <f t="shared" si="123"/>
        <v>0</v>
      </c>
    </row>
    <row r="1944" spans="1:13" x14ac:dyDescent="0.25">
      <c r="A1944" s="1">
        <v>945168</v>
      </c>
      <c r="B1944" s="6" t="s">
        <v>2065</v>
      </c>
      <c r="F1944" s="6" t="s">
        <v>9</v>
      </c>
      <c r="G1944" s="6" t="s">
        <v>34</v>
      </c>
      <c r="H1944" s="9" t="s">
        <v>35</v>
      </c>
      <c r="I1944" s="7" t="str">
        <f t="shared" si="120"/>
        <v>61001002000</v>
      </c>
      <c r="J1944" s="7" t="str">
        <f t="shared" si="121"/>
        <v>Материал по ЕГРН</v>
      </c>
      <c r="K1944" s="7">
        <f>VLOOKUP(J1944,Лист2!A$2:B$4,2,FALSE)</f>
        <v>792</v>
      </c>
      <c r="L1944" s="7" t="str">
        <f t="shared" si="122"/>
        <v>ГОТОВ_ИЗМЕНЕН</v>
      </c>
      <c r="M1944" s="7">
        <f t="shared" si="123"/>
        <v>0</v>
      </c>
    </row>
    <row r="1945" spans="1:13" x14ac:dyDescent="0.25">
      <c r="A1945" s="1">
        <v>945180</v>
      </c>
      <c r="B1945" s="6" t="s">
        <v>2066</v>
      </c>
      <c r="F1945" s="6" t="s">
        <v>9</v>
      </c>
      <c r="G1945" s="6" t="s">
        <v>38</v>
      </c>
      <c r="H1945" s="9" t="s">
        <v>33</v>
      </c>
      <c r="I1945" s="7" t="str">
        <f t="shared" si="120"/>
        <v>61001005000</v>
      </c>
      <c r="J1945" s="7" t="str">
        <f t="shared" si="121"/>
        <v>Материал по ЕГРН</v>
      </c>
      <c r="K1945" s="7">
        <f>VLOOKUP(J1945,Лист2!A$2:B$4,2,FALSE)</f>
        <v>792</v>
      </c>
      <c r="L1945" s="7" t="str">
        <f t="shared" si="122"/>
        <v>ГОТОВ_ИЗМЕНЕН</v>
      </c>
      <c r="M1945" s="7">
        <f t="shared" si="123"/>
        <v>0</v>
      </c>
    </row>
    <row r="1946" spans="1:13" x14ac:dyDescent="0.25">
      <c r="A1946" s="1">
        <v>945192</v>
      </c>
      <c r="B1946" s="6" t="s">
        <v>2067</v>
      </c>
      <c r="F1946" s="6" t="s">
        <v>9</v>
      </c>
      <c r="G1946" s="6" t="s">
        <v>38</v>
      </c>
      <c r="H1946" s="9" t="s">
        <v>33</v>
      </c>
      <c r="I1946" s="7" t="str">
        <f t="shared" si="120"/>
        <v>61001005000</v>
      </c>
      <c r="J1946" s="7" t="str">
        <f t="shared" si="121"/>
        <v>Материал по ЕГРН</v>
      </c>
      <c r="K1946" s="7">
        <f>VLOOKUP(J1946,Лист2!A$2:B$4,2,FALSE)</f>
        <v>792</v>
      </c>
      <c r="L1946" s="7" t="str">
        <f t="shared" si="122"/>
        <v>ГОТОВ_ИЗМЕНЕН</v>
      </c>
      <c r="M1946" s="7">
        <f t="shared" si="123"/>
        <v>0</v>
      </c>
    </row>
    <row r="1947" spans="1:13" x14ac:dyDescent="0.25">
      <c r="A1947" s="1">
        <v>335373</v>
      </c>
      <c r="B1947" s="6" t="s">
        <v>2068</v>
      </c>
      <c r="C1947" s="9" t="s">
        <v>60</v>
      </c>
      <c r="D1947" s="6" t="s">
        <v>20</v>
      </c>
      <c r="E1947" s="6" t="s">
        <v>37</v>
      </c>
      <c r="F1947" s="6" t="s">
        <v>9</v>
      </c>
      <c r="G1947" s="6" t="s">
        <v>59</v>
      </c>
      <c r="H1947" s="9" t="s">
        <v>60</v>
      </c>
      <c r="I1947" s="7" t="str">
        <f t="shared" si="120"/>
        <v>61001001001</v>
      </c>
      <c r="J1947" s="7" t="str">
        <f t="shared" si="121"/>
        <v>Материал по ЕГРН</v>
      </c>
      <c r="K1947" s="7">
        <f>VLOOKUP(J1947,Лист2!A$2:B$4,2,FALSE)</f>
        <v>792</v>
      </c>
      <c r="L1947" s="7" t="str">
        <f t="shared" si="122"/>
        <v>ГОТОВ</v>
      </c>
      <c r="M1947" s="7" t="str">
        <f t="shared" si="123"/>
        <v>61001001001</v>
      </c>
    </row>
    <row r="1948" spans="1:13" x14ac:dyDescent="0.25">
      <c r="A1948" s="1">
        <v>540913</v>
      </c>
      <c r="B1948" s="6" t="s">
        <v>2069</v>
      </c>
      <c r="C1948" s="9" t="s">
        <v>33</v>
      </c>
      <c r="D1948" s="6" t="s">
        <v>20</v>
      </c>
      <c r="E1948" s="6" t="s">
        <v>37</v>
      </c>
      <c r="F1948" s="6" t="s">
        <v>9</v>
      </c>
      <c r="G1948" s="6" t="s">
        <v>38</v>
      </c>
      <c r="H1948" s="9" t="s">
        <v>33</v>
      </c>
      <c r="I1948" s="7" t="str">
        <f t="shared" si="120"/>
        <v>61001005000</v>
      </c>
      <c r="J1948" s="7" t="str">
        <f t="shared" si="121"/>
        <v>Материал по ЕГРН</v>
      </c>
      <c r="K1948" s="7">
        <f>VLOOKUP(J1948,Лист2!A$2:B$4,2,FALSE)</f>
        <v>792</v>
      </c>
      <c r="L1948" s="7" t="str">
        <f t="shared" si="122"/>
        <v>ГОТОВ</v>
      </c>
      <c r="M1948" s="7" t="str">
        <f t="shared" si="123"/>
        <v>61001005000</v>
      </c>
    </row>
    <row r="1949" spans="1:13" x14ac:dyDescent="0.25">
      <c r="A1949" s="1">
        <v>866562</v>
      </c>
      <c r="B1949" s="6" t="s">
        <v>2070</v>
      </c>
      <c r="C1949" s="9" t="s">
        <v>35</v>
      </c>
      <c r="D1949" s="6" t="s">
        <v>14</v>
      </c>
      <c r="E1949" s="6" t="s">
        <v>8</v>
      </c>
      <c r="F1949" s="6" t="s">
        <v>9</v>
      </c>
      <c r="G1949" s="6" t="s">
        <v>99</v>
      </c>
      <c r="H1949" s="9" t="s">
        <v>100</v>
      </c>
      <c r="I1949" s="7" t="str">
        <f t="shared" si="120"/>
        <v>61001003000</v>
      </c>
      <c r="J1949" s="7" t="str">
        <f t="shared" si="121"/>
        <v>Смешанные по допущению</v>
      </c>
      <c r="K1949" s="7">
        <f>VLOOKUP(J1949,Лист2!A$2:B$4,2,FALSE)</f>
        <v>793</v>
      </c>
      <c r="L1949" s="7" t="str">
        <f t="shared" si="122"/>
        <v>ГОТОВ_ИЗМЕНЕН</v>
      </c>
      <c r="M1949" s="7" t="str">
        <f t="shared" si="123"/>
        <v>61001002000</v>
      </c>
    </row>
    <row r="1950" spans="1:13" x14ac:dyDescent="0.25">
      <c r="A1950" s="1">
        <v>945207</v>
      </c>
      <c r="B1950" s="6" t="s">
        <v>2071</v>
      </c>
      <c r="F1950" s="6" t="s">
        <v>9</v>
      </c>
      <c r="G1950" s="6" t="s">
        <v>38</v>
      </c>
      <c r="H1950" s="9" t="s">
        <v>33</v>
      </c>
      <c r="I1950" s="7" t="str">
        <f t="shared" si="120"/>
        <v>61001005000</v>
      </c>
      <c r="J1950" s="7" t="str">
        <f t="shared" si="121"/>
        <v>Материал по ЕГРН</v>
      </c>
      <c r="K1950" s="7">
        <f>VLOOKUP(J1950,Лист2!A$2:B$4,2,FALSE)</f>
        <v>792</v>
      </c>
      <c r="L1950" s="7" t="str">
        <f t="shared" si="122"/>
        <v>ГОТОВ_ИЗМЕНЕН</v>
      </c>
      <c r="M1950" s="7">
        <f t="shared" si="123"/>
        <v>0</v>
      </c>
    </row>
    <row r="1951" spans="1:13" x14ac:dyDescent="0.25">
      <c r="A1951" s="1">
        <v>945219</v>
      </c>
      <c r="B1951" s="6" t="s">
        <v>2072</v>
      </c>
      <c r="F1951" s="6" t="s">
        <v>9</v>
      </c>
      <c r="G1951" s="6" t="s">
        <v>38</v>
      </c>
      <c r="H1951" s="9" t="s">
        <v>33</v>
      </c>
      <c r="I1951" s="7" t="str">
        <f t="shared" si="120"/>
        <v>61001005000</v>
      </c>
      <c r="J1951" s="7" t="str">
        <f t="shared" si="121"/>
        <v>Материал по ЕГРН</v>
      </c>
      <c r="K1951" s="7">
        <f>VLOOKUP(J1951,Лист2!A$2:B$4,2,FALSE)</f>
        <v>792</v>
      </c>
      <c r="L1951" s="7" t="str">
        <f t="shared" si="122"/>
        <v>ГОТОВ_ИЗМЕНЕН</v>
      </c>
      <c r="M1951" s="7">
        <f t="shared" si="123"/>
        <v>0</v>
      </c>
    </row>
    <row r="1952" spans="1:13" x14ac:dyDescent="0.25">
      <c r="A1952" s="1">
        <v>945231</v>
      </c>
      <c r="B1952" s="6" t="s">
        <v>2073</v>
      </c>
      <c r="F1952" s="6" t="s">
        <v>9</v>
      </c>
      <c r="G1952" s="6" t="s">
        <v>170</v>
      </c>
      <c r="H1952" s="9" t="s">
        <v>171</v>
      </c>
      <c r="I1952" s="7" t="str">
        <f t="shared" si="120"/>
        <v>61001001000</v>
      </c>
      <c r="J1952" s="7" t="str">
        <f t="shared" si="121"/>
        <v>Материал по ЕГРН</v>
      </c>
      <c r="K1952" s="7">
        <f>VLOOKUP(J1952,Лист2!A$2:B$4,2,FALSE)</f>
        <v>792</v>
      </c>
      <c r="L1952" s="7" t="str">
        <f t="shared" si="122"/>
        <v>ГОТОВ_ИЗМЕНЕН</v>
      </c>
      <c r="M1952" s="7">
        <f t="shared" si="123"/>
        <v>0</v>
      </c>
    </row>
    <row r="1953" spans="1:13" x14ac:dyDescent="0.25">
      <c r="A1953" s="1">
        <v>945243</v>
      </c>
      <c r="B1953" s="6" t="s">
        <v>2074</v>
      </c>
      <c r="F1953" s="6" t="s">
        <v>9</v>
      </c>
      <c r="G1953" s="6" t="s">
        <v>34</v>
      </c>
      <c r="H1953" s="9" t="s">
        <v>35</v>
      </c>
      <c r="I1953" s="7" t="str">
        <f t="shared" si="120"/>
        <v>61001002000</v>
      </c>
      <c r="J1953" s="7" t="str">
        <f t="shared" si="121"/>
        <v>Материал по ЕГРН</v>
      </c>
      <c r="K1953" s="7">
        <f>VLOOKUP(J1953,Лист2!A$2:B$4,2,FALSE)</f>
        <v>792</v>
      </c>
      <c r="L1953" s="7" t="str">
        <f t="shared" si="122"/>
        <v>ГОТОВ_ИЗМЕНЕН</v>
      </c>
      <c r="M1953" s="7">
        <f t="shared" si="123"/>
        <v>0</v>
      </c>
    </row>
    <row r="1954" spans="1:13" x14ac:dyDescent="0.25">
      <c r="A1954" s="1">
        <v>945255</v>
      </c>
      <c r="B1954" s="6" t="s">
        <v>2075</v>
      </c>
      <c r="F1954" s="6" t="s">
        <v>9</v>
      </c>
      <c r="G1954" s="6" t="s">
        <v>38</v>
      </c>
      <c r="H1954" s="9" t="s">
        <v>33</v>
      </c>
      <c r="I1954" s="7" t="str">
        <f t="shared" si="120"/>
        <v>61001005000</v>
      </c>
      <c r="J1954" s="7" t="str">
        <f t="shared" si="121"/>
        <v>Материал по ЕГРН</v>
      </c>
      <c r="K1954" s="7">
        <f>VLOOKUP(J1954,Лист2!A$2:B$4,2,FALSE)</f>
        <v>792</v>
      </c>
      <c r="L1954" s="7" t="str">
        <f t="shared" si="122"/>
        <v>ГОТОВ_ИЗМЕНЕН</v>
      </c>
      <c r="M1954" s="7">
        <f t="shared" si="123"/>
        <v>0</v>
      </c>
    </row>
    <row r="1955" spans="1:13" x14ac:dyDescent="0.25">
      <c r="A1955" s="1">
        <v>945267</v>
      </c>
      <c r="B1955" s="6" t="s">
        <v>2076</v>
      </c>
      <c r="F1955" s="6" t="s">
        <v>9</v>
      </c>
      <c r="G1955" s="6" t="s">
        <v>73</v>
      </c>
      <c r="H1955" s="9" t="s">
        <v>74</v>
      </c>
      <c r="I1955" s="7" t="str">
        <f t="shared" si="120"/>
        <v>61001006000</v>
      </c>
      <c r="J1955" s="7" t="str">
        <f t="shared" si="121"/>
        <v>Материал по ЕГРН</v>
      </c>
      <c r="K1955" s="7">
        <f>VLOOKUP(J1955,Лист2!A$2:B$4,2,FALSE)</f>
        <v>792</v>
      </c>
      <c r="L1955" s="7" t="str">
        <f t="shared" si="122"/>
        <v>ГОТОВ_ИЗМЕНЕН</v>
      </c>
      <c r="M1955" s="7">
        <f t="shared" si="123"/>
        <v>0</v>
      </c>
    </row>
    <row r="1956" spans="1:13" x14ac:dyDescent="0.25">
      <c r="A1956" s="1">
        <v>945279</v>
      </c>
      <c r="B1956" s="6" t="s">
        <v>2077</v>
      </c>
      <c r="F1956" s="6" t="s">
        <v>9</v>
      </c>
      <c r="G1956" s="6" t="s">
        <v>38</v>
      </c>
      <c r="H1956" s="9" t="s">
        <v>33</v>
      </c>
      <c r="I1956" s="7" t="str">
        <f t="shared" si="120"/>
        <v>61001005000</v>
      </c>
      <c r="J1956" s="7" t="str">
        <f t="shared" si="121"/>
        <v>Материал по ЕГРН</v>
      </c>
      <c r="K1956" s="7">
        <f>VLOOKUP(J1956,Лист2!A$2:B$4,2,FALSE)</f>
        <v>792</v>
      </c>
      <c r="L1956" s="7" t="str">
        <f t="shared" si="122"/>
        <v>ГОТОВ_ИЗМЕНЕН</v>
      </c>
      <c r="M1956" s="7">
        <f t="shared" si="123"/>
        <v>0</v>
      </c>
    </row>
    <row r="1957" spans="1:13" x14ac:dyDescent="0.25">
      <c r="A1957" s="1">
        <v>945291</v>
      </c>
      <c r="B1957" s="6" t="s">
        <v>2078</v>
      </c>
      <c r="F1957" s="6" t="s">
        <v>9</v>
      </c>
      <c r="G1957" s="6" t="s">
        <v>34</v>
      </c>
      <c r="H1957" s="9" t="s">
        <v>35</v>
      </c>
      <c r="I1957" s="7" t="str">
        <f t="shared" si="120"/>
        <v>61001002000</v>
      </c>
      <c r="J1957" s="7" t="str">
        <f t="shared" si="121"/>
        <v>Материал по ЕГРН</v>
      </c>
      <c r="K1957" s="7">
        <f>VLOOKUP(J1957,Лист2!A$2:B$4,2,FALSE)</f>
        <v>792</v>
      </c>
      <c r="L1957" s="7" t="str">
        <f t="shared" si="122"/>
        <v>ГОТОВ_ИЗМЕНЕН</v>
      </c>
      <c r="M1957" s="7">
        <f t="shared" si="123"/>
        <v>0</v>
      </c>
    </row>
    <row r="1958" spans="1:13" x14ac:dyDescent="0.25">
      <c r="A1958" s="1">
        <v>945303</v>
      </c>
      <c r="B1958" s="6" t="s">
        <v>2079</v>
      </c>
      <c r="F1958" s="6" t="s">
        <v>9</v>
      </c>
      <c r="G1958" s="6" t="s">
        <v>10</v>
      </c>
      <c r="H1958" s="9" t="s">
        <v>11</v>
      </c>
      <c r="I1958" s="7" t="str">
        <f t="shared" si="120"/>
        <v>61001003000</v>
      </c>
      <c r="J1958" s="7" t="str">
        <f t="shared" si="121"/>
        <v>Материал по ЕГРН</v>
      </c>
      <c r="K1958" s="7">
        <f>VLOOKUP(J1958,Лист2!A$2:B$4,2,FALSE)</f>
        <v>792</v>
      </c>
      <c r="L1958" s="7" t="str">
        <f t="shared" si="122"/>
        <v>ГОТОВ_ИЗМЕНЕН</v>
      </c>
      <c r="M1958" s="7">
        <f t="shared" si="123"/>
        <v>0</v>
      </c>
    </row>
    <row r="1959" spans="1:13" x14ac:dyDescent="0.25">
      <c r="A1959" s="1">
        <v>945315</v>
      </c>
      <c r="B1959" s="6" t="s">
        <v>2080</v>
      </c>
      <c r="F1959" s="6" t="s">
        <v>9</v>
      </c>
      <c r="G1959" s="6" t="s">
        <v>34</v>
      </c>
      <c r="H1959" s="9" t="s">
        <v>35</v>
      </c>
      <c r="I1959" s="7" t="str">
        <f t="shared" si="120"/>
        <v>61001002000</v>
      </c>
      <c r="J1959" s="7" t="str">
        <f t="shared" si="121"/>
        <v>Материал по ЕГРН</v>
      </c>
      <c r="K1959" s="7">
        <f>VLOOKUP(J1959,Лист2!A$2:B$4,2,FALSE)</f>
        <v>792</v>
      </c>
      <c r="L1959" s="7" t="str">
        <f t="shared" si="122"/>
        <v>ГОТОВ_ИЗМЕНЕН</v>
      </c>
      <c r="M1959" s="7">
        <f t="shared" si="123"/>
        <v>0</v>
      </c>
    </row>
    <row r="1960" spans="1:13" x14ac:dyDescent="0.25">
      <c r="A1960" s="1">
        <v>945327</v>
      </c>
      <c r="B1960" s="6" t="s">
        <v>2081</v>
      </c>
      <c r="F1960" s="6" t="s">
        <v>9</v>
      </c>
      <c r="G1960" s="6" t="s">
        <v>59</v>
      </c>
      <c r="H1960" s="9" t="s">
        <v>60</v>
      </c>
      <c r="I1960" s="7" t="str">
        <f t="shared" si="120"/>
        <v>61001001001</v>
      </c>
      <c r="J1960" s="7" t="str">
        <f t="shared" si="121"/>
        <v>Материал по ЕГРН</v>
      </c>
      <c r="K1960" s="7">
        <f>VLOOKUP(J1960,Лист2!A$2:B$4,2,FALSE)</f>
        <v>792</v>
      </c>
      <c r="L1960" s="7" t="str">
        <f t="shared" si="122"/>
        <v>ГОТОВ_ИЗМЕНЕН</v>
      </c>
      <c r="M1960" s="7">
        <f t="shared" si="123"/>
        <v>0</v>
      </c>
    </row>
    <row r="1961" spans="1:13" x14ac:dyDescent="0.25">
      <c r="A1961" s="1">
        <v>945339</v>
      </c>
      <c r="B1961" s="6" t="s">
        <v>2082</v>
      </c>
      <c r="F1961" s="6" t="s">
        <v>9</v>
      </c>
      <c r="G1961" s="6" t="s">
        <v>34</v>
      </c>
      <c r="H1961" s="9" t="s">
        <v>35</v>
      </c>
      <c r="I1961" s="7" t="str">
        <f t="shared" si="120"/>
        <v>61001002000</v>
      </c>
      <c r="J1961" s="7" t="str">
        <f t="shared" si="121"/>
        <v>Материал по ЕГРН</v>
      </c>
      <c r="K1961" s="7">
        <f>VLOOKUP(J1961,Лист2!A$2:B$4,2,FALSE)</f>
        <v>792</v>
      </c>
      <c r="L1961" s="7" t="str">
        <f t="shared" si="122"/>
        <v>ГОТОВ_ИЗМЕНЕН</v>
      </c>
      <c r="M1961" s="7">
        <f t="shared" si="123"/>
        <v>0</v>
      </c>
    </row>
    <row r="1962" spans="1:13" x14ac:dyDescent="0.25">
      <c r="A1962" s="1">
        <v>945351</v>
      </c>
      <c r="B1962" s="6" t="s">
        <v>2083</v>
      </c>
      <c r="F1962" s="6" t="s">
        <v>9</v>
      </c>
      <c r="G1962" s="6" t="s">
        <v>38</v>
      </c>
      <c r="H1962" s="9" t="s">
        <v>33</v>
      </c>
      <c r="I1962" s="7" t="str">
        <f t="shared" si="120"/>
        <v>61001005000</v>
      </c>
      <c r="J1962" s="7" t="str">
        <f t="shared" si="121"/>
        <v>Материал по ЕГРН</v>
      </c>
      <c r="K1962" s="7">
        <f>VLOOKUP(J1962,Лист2!A$2:B$4,2,FALSE)</f>
        <v>792</v>
      </c>
      <c r="L1962" s="7" t="str">
        <f t="shared" si="122"/>
        <v>ГОТОВ_ИЗМЕНЕН</v>
      </c>
      <c r="M1962" s="7">
        <f t="shared" si="123"/>
        <v>0</v>
      </c>
    </row>
    <row r="1963" spans="1:13" x14ac:dyDescent="0.25">
      <c r="A1963" s="1">
        <v>945363</v>
      </c>
      <c r="B1963" s="6" t="s">
        <v>2084</v>
      </c>
      <c r="F1963" s="6" t="s">
        <v>9</v>
      </c>
      <c r="G1963" s="6" t="s">
        <v>139</v>
      </c>
      <c r="H1963" s="9" t="s">
        <v>140</v>
      </c>
      <c r="I1963" s="7" t="str">
        <f t="shared" si="120"/>
        <v>61001999000</v>
      </c>
      <c r="J1963" s="7" t="str">
        <f t="shared" si="121"/>
        <v>Материал по ЕГРН</v>
      </c>
      <c r="K1963" s="7">
        <f>VLOOKUP(J1963,Лист2!A$2:B$4,2,FALSE)</f>
        <v>792</v>
      </c>
      <c r="L1963" s="7" t="str">
        <f t="shared" si="122"/>
        <v>ГОТОВ_ИЗМЕНЕН</v>
      </c>
      <c r="M1963" s="7">
        <f t="shared" si="123"/>
        <v>0</v>
      </c>
    </row>
    <row r="1964" spans="1:13" x14ac:dyDescent="0.25">
      <c r="A1964" s="1">
        <v>945375</v>
      </c>
      <c r="B1964" s="6" t="s">
        <v>2085</v>
      </c>
      <c r="F1964" s="6" t="s">
        <v>9</v>
      </c>
      <c r="G1964" s="6" t="s">
        <v>34</v>
      </c>
      <c r="H1964" s="9" t="s">
        <v>35</v>
      </c>
      <c r="I1964" s="7" t="str">
        <f t="shared" si="120"/>
        <v>61001002000</v>
      </c>
      <c r="J1964" s="7" t="str">
        <f t="shared" si="121"/>
        <v>Материал по ЕГРН</v>
      </c>
      <c r="K1964" s="7">
        <f>VLOOKUP(J1964,Лист2!A$2:B$4,2,FALSE)</f>
        <v>792</v>
      </c>
      <c r="L1964" s="7" t="str">
        <f t="shared" si="122"/>
        <v>ГОТОВ_ИЗМЕНЕН</v>
      </c>
      <c r="M1964" s="7">
        <f t="shared" si="123"/>
        <v>0</v>
      </c>
    </row>
    <row r="1965" spans="1:13" x14ac:dyDescent="0.25">
      <c r="A1965" s="1">
        <v>945387</v>
      </c>
      <c r="B1965" s="6" t="s">
        <v>2086</v>
      </c>
      <c r="F1965" s="6" t="s">
        <v>9</v>
      </c>
      <c r="G1965" s="6" t="s">
        <v>34</v>
      </c>
      <c r="H1965" s="9" t="s">
        <v>35</v>
      </c>
      <c r="I1965" s="7" t="str">
        <f t="shared" si="120"/>
        <v>61001002000</v>
      </c>
      <c r="J1965" s="7" t="str">
        <f t="shared" si="121"/>
        <v>Материал по ЕГРН</v>
      </c>
      <c r="K1965" s="7">
        <f>VLOOKUP(J1965,Лист2!A$2:B$4,2,FALSE)</f>
        <v>792</v>
      </c>
      <c r="L1965" s="7" t="str">
        <f t="shared" si="122"/>
        <v>ГОТОВ_ИЗМЕНЕН</v>
      </c>
      <c r="M1965" s="7">
        <f t="shared" si="123"/>
        <v>0</v>
      </c>
    </row>
    <row r="1966" spans="1:13" x14ac:dyDescent="0.25">
      <c r="A1966" s="1">
        <v>945399</v>
      </c>
      <c r="B1966" s="6" t="s">
        <v>2087</v>
      </c>
      <c r="F1966" s="6" t="s">
        <v>9</v>
      </c>
      <c r="G1966" s="6" t="s">
        <v>125</v>
      </c>
      <c r="H1966" s="9" t="s">
        <v>126</v>
      </c>
      <c r="I1966" s="7" t="str">
        <f t="shared" si="120"/>
        <v>61001007004</v>
      </c>
      <c r="J1966" s="7" t="str">
        <f t="shared" si="121"/>
        <v>Материал по ЕГРН</v>
      </c>
      <c r="K1966" s="7">
        <f>VLOOKUP(J1966,Лист2!A$2:B$4,2,FALSE)</f>
        <v>792</v>
      </c>
      <c r="L1966" s="7" t="str">
        <f t="shared" si="122"/>
        <v>ГОТОВ_ИЗМЕНЕН</v>
      </c>
      <c r="M1966" s="7">
        <f t="shared" si="123"/>
        <v>0</v>
      </c>
    </row>
    <row r="1967" spans="1:13" x14ac:dyDescent="0.25">
      <c r="A1967" s="1">
        <v>945411</v>
      </c>
      <c r="B1967" s="6" t="s">
        <v>2088</v>
      </c>
      <c r="F1967" s="6" t="s">
        <v>9</v>
      </c>
      <c r="G1967" s="6" t="s">
        <v>10</v>
      </c>
      <c r="H1967" s="9" t="s">
        <v>11</v>
      </c>
      <c r="I1967" s="7" t="str">
        <f t="shared" si="120"/>
        <v>61001003000</v>
      </c>
      <c r="J1967" s="7" t="str">
        <f t="shared" si="121"/>
        <v>Материал по ЕГРН</v>
      </c>
      <c r="K1967" s="7">
        <f>VLOOKUP(J1967,Лист2!A$2:B$4,2,FALSE)</f>
        <v>792</v>
      </c>
      <c r="L1967" s="7" t="str">
        <f t="shared" si="122"/>
        <v>ГОТОВ_ИЗМЕНЕН</v>
      </c>
      <c r="M1967" s="7">
        <f t="shared" si="123"/>
        <v>0</v>
      </c>
    </row>
    <row r="1968" spans="1:13" x14ac:dyDescent="0.25">
      <c r="A1968" s="1">
        <v>945423</v>
      </c>
      <c r="B1968" s="6" t="s">
        <v>2089</v>
      </c>
      <c r="F1968" s="6" t="s">
        <v>9</v>
      </c>
      <c r="G1968" s="6" t="s">
        <v>34</v>
      </c>
      <c r="H1968" s="9" t="s">
        <v>35</v>
      </c>
      <c r="I1968" s="7" t="str">
        <f t="shared" si="120"/>
        <v>61001002000</v>
      </c>
      <c r="J1968" s="7" t="str">
        <f t="shared" si="121"/>
        <v>Материал по ЕГРН</v>
      </c>
      <c r="K1968" s="7">
        <f>VLOOKUP(J1968,Лист2!A$2:B$4,2,FALSE)</f>
        <v>792</v>
      </c>
      <c r="L1968" s="7" t="str">
        <f t="shared" si="122"/>
        <v>ГОТОВ_ИЗМЕНЕН</v>
      </c>
      <c r="M1968" s="7">
        <f t="shared" si="123"/>
        <v>0</v>
      </c>
    </row>
    <row r="1969" spans="1:13" x14ac:dyDescent="0.25">
      <c r="A1969" s="1">
        <v>945435</v>
      </c>
      <c r="B1969" s="6" t="s">
        <v>2090</v>
      </c>
      <c r="F1969" s="6" t="s">
        <v>9</v>
      </c>
      <c r="G1969" s="6" t="s">
        <v>180</v>
      </c>
      <c r="H1969" s="9" t="s">
        <v>181</v>
      </c>
      <c r="I1969" s="7" t="str">
        <f t="shared" si="120"/>
        <v>61001009000</v>
      </c>
      <c r="J1969" s="7" t="str">
        <f t="shared" si="121"/>
        <v>Материал по ЕГРН</v>
      </c>
      <c r="K1969" s="7">
        <f>VLOOKUP(J1969,Лист2!A$2:B$4,2,FALSE)</f>
        <v>792</v>
      </c>
      <c r="L1969" s="7" t="str">
        <f t="shared" si="122"/>
        <v>ГОТОВ_ИЗМЕНЕН</v>
      </c>
      <c r="M1969" s="7">
        <f t="shared" si="123"/>
        <v>0</v>
      </c>
    </row>
    <row r="1970" spans="1:13" x14ac:dyDescent="0.25">
      <c r="A1970" s="1">
        <v>945447</v>
      </c>
      <c r="B1970" s="6" t="s">
        <v>2091</v>
      </c>
      <c r="F1970" s="6" t="s">
        <v>9</v>
      </c>
      <c r="G1970" s="6" t="s">
        <v>38</v>
      </c>
      <c r="H1970" s="9" t="s">
        <v>33</v>
      </c>
      <c r="I1970" s="7" t="str">
        <f t="shared" si="120"/>
        <v>61001005000</v>
      </c>
      <c r="J1970" s="7" t="str">
        <f t="shared" si="121"/>
        <v>Материал по ЕГРН</v>
      </c>
      <c r="K1970" s="7">
        <f>VLOOKUP(J1970,Лист2!A$2:B$4,2,FALSE)</f>
        <v>792</v>
      </c>
      <c r="L1970" s="7" t="str">
        <f t="shared" si="122"/>
        <v>ГОТОВ_ИЗМЕНЕН</v>
      </c>
      <c r="M1970" s="7">
        <f t="shared" si="123"/>
        <v>0</v>
      </c>
    </row>
    <row r="1971" spans="1:13" x14ac:dyDescent="0.25">
      <c r="A1971" s="1">
        <v>945459</v>
      </c>
      <c r="B1971" s="6" t="s">
        <v>2092</v>
      </c>
      <c r="F1971" s="6" t="s">
        <v>9</v>
      </c>
      <c r="G1971" s="6" t="s">
        <v>38</v>
      </c>
      <c r="H1971" s="9" t="s">
        <v>33</v>
      </c>
      <c r="I1971" s="7" t="str">
        <f t="shared" si="120"/>
        <v>61001005000</v>
      </c>
      <c r="J1971" s="7" t="str">
        <f t="shared" si="121"/>
        <v>Материал по ЕГРН</v>
      </c>
      <c r="K1971" s="7">
        <f>VLOOKUP(J1971,Лист2!A$2:B$4,2,FALSE)</f>
        <v>792</v>
      </c>
      <c r="L1971" s="7" t="str">
        <f t="shared" si="122"/>
        <v>ГОТОВ_ИЗМЕНЕН</v>
      </c>
      <c r="M1971" s="7">
        <f t="shared" si="123"/>
        <v>0</v>
      </c>
    </row>
    <row r="1972" spans="1:13" x14ac:dyDescent="0.25">
      <c r="A1972" s="1">
        <v>945471</v>
      </c>
      <c r="B1972" s="6" t="s">
        <v>2093</v>
      </c>
      <c r="F1972" s="6" t="s">
        <v>9</v>
      </c>
      <c r="G1972" s="6" t="s">
        <v>10</v>
      </c>
      <c r="H1972" s="9" t="s">
        <v>11</v>
      </c>
      <c r="I1972" s="7" t="str">
        <f t="shared" si="120"/>
        <v>61001003000</v>
      </c>
      <c r="J1972" s="7" t="str">
        <f t="shared" si="121"/>
        <v>Материал по ЕГРН</v>
      </c>
      <c r="K1972" s="7">
        <f>VLOOKUP(J1972,Лист2!A$2:B$4,2,FALSE)</f>
        <v>792</v>
      </c>
      <c r="L1972" s="7" t="str">
        <f t="shared" si="122"/>
        <v>ГОТОВ_ИЗМЕНЕН</v>
      </c>
      <c r="M1972" s="7">
        <f t="shared" si="123"/>
        <v>0</v>
      </c>
    </row>
    <row r="1973" spans="1:13" x14ac:dyDescent="0.25">
      <c r="A1973" s="1">
        <v>945483</v>
      </c>
      <c r="B1973" s="6" t="s">
        <v>2094</v>
      </c>
      <c r="F1973" s="6" t="s">
        <v>9</v>
      </c>
      <c r="G1973" s="6" t="s">
        <v>59</v>
      </c>
      <c r="H1973" s="9" t="s">
        <v>60</v>
      </c>
      <c r="I1973" s="7" t="str">
        <f t="shared" si="120"/>
        <v>61001001001</v>
      </c>
      <c r="J1973" s="7" t="str">
        <f t="shared" si="121"/>
        <v>Материал по ЕГРН</v>
      </c>
      <c r="K1973" s="7">
        <f>VLOOKUP(J1973,Лист2!A$2:B$4,2,FALSE)</f>
        <v>792</v>
      </c>
      <c r="L1973" s="7" t="str">
        <f t="shared" si="122"/>
        <v>ГОТОВ_ИЗМЕНЕН</v>
      </c>
      <c r="M1973" s="7">
        <f t="shared" si="123"/>
        <v>0</v>
      </c>
    </row>
    <row r="1974" spans="1:13" x14ac:dyDescent="0.25">
      <c r="A1974" s="1">
        <v>234388</v>
      </c>
      <c r="B1974" s="6" t="s">
        <v>2095</v>
      </c>
      <c r="C1974" s="9" t="s">
        <v>42</v>
      </c>
      <c r="D1974" s="6" t="s">
        <v>20</v>
      </c>
      <c r="E1974" s="6" t="s">
        <v>37</v>
      </c>
      <c r="F1974" s="6" t="s">
        <v>9</v>
      </c>
      <c r="G1974" s="6" t="s">
        <v>43</v>
      </c>
      <c r="H1974" s="9" t="s">
        <v>42</v>
      </c>
      <c r="I1974" s="7" t="str">
        <f t="shared" si="120"/>
        <v>61001002001</v>
      </c>
      <c r="J1974" s="7" t="str">
        <f t="shared" si="121"/>
        <v>Материал по ЕГРН</v>
      </c>
      <c r="K1974" s="7">
        <f>VLOOKUP(J1974,Лист2!A$2:B$4,2,FALSE)</f>
        <v>792</v>
      </c>
      <c r="L1974" s="7" t="str">
        <f t="shared" si="122"/>
        <v>ГОТОВ</v>
      </c>
      <c r="M1974" s="7" t="str">
        <f t="shared" si="123"/>
        <v>61001002001</v>
      </c>
    </row>
    <row r="1975" spans="1:13" x14ac:dyDescent="0.25">
      <c r="A1975" s="1">
        <v>643097</v>
      </c>
      <c r="B1975" s="6" t="s">
        <v>2096</v>
      </c>
      <c r="C1975" s="9" t="s">
        <v>42</v>
      </c>
      <c r="D1975" s="6" t="s">
        <v>20</v>
      </c>
      <c r="E1975" s="6" t="s">
        <v>37</v>
      </c>
      <c r="F1975" s="6" t="s">
        <v>9</v>
      </c>
      <c r="G1975" s="6" t="s">
        <v>43</v>
      </c>
      <c r="H1975" s="9" t="s">
        <v>42</v>
      </c>
      <c r="I1975" s="7" t="str">
        <f t="shared" si="120"/>
        <v>61001002001</v>
      </c>
      <c r="J1975" s="7" t="str">
        <f t="shared" si="121"/>
        <v>Материал по ЕГРН</v>
      </c>
      <c r="K1975" s="7">
        <f>VLOOKUP(J1975,Лист2!A$2:B$4,2,FALSE)</f>
        <v>792</v>
      </c>
      <c r="L1975" s="7" t="str">
        <f t="shared" si="122"/>
        <v>ГОТОВ</v>
      </c>
      <c r="M1975" s="7" t="str">
        <f t="shared" si="123"/>
        <v>61001002001</v>
      </c>
    </row>
    <row r="1976" spans="1:13" x14ac:dyDescent="0.25">
      <c r="A1976" s="1">
        <v>830959</v>
      </c>
      <c r="B1976" s="6" t="s">
        <v>2097</v>
      </c>
      <c r="C1976" s="9" t="s">
        <v>33</v>
      </c>
      <c r="D1976" s="6" t="s">
        <v>20</v>
      </c>
      <c r="E1976" s="6" t="s">
        <v>37</v>
      </c>
      <c r="F1976" s="6" t="s">
        <v>9</v>
      </c>
      <c r="G1976" s="6" t="s">
        <v>38</v>
      </c>
      <c r="H1976" s="9" t="s">
        <v>33</v>
      </c>
      <c r="I1976" s="7" t="str">
        <f t="shared" si="120"/>
        <v>61001005000</v>
      </c>
      <c r="J1976" s="7" t="str">
        <f t="shared" si="121"/>
        <v>Материал по ЕГРН</v>
      </c>
      <c r="K1976" s="7">
        <f>VLOOKUP(J1976,Лист2!A$2:B$4,2,FALSE)</f>
        <v>792</v>
      </c>
      <c r="L1976" s="7" t="str">
        <f t="shared" si="122"/>
        <v>ГОТОВ</v>
      </c>
      <c r="M1976" s="7" t="str">
        <f t="shared" si="123"/>
        <v>61001005000</v>
      </c>
    </row>
    <row r="1977" spans="1:13" x14ac:dyDescent="0.25">
      <c r="A1977" s="1">
        <v>943628</v>
      </c>
      <c r="B1977" s="6" t="s">
        <v>2098</v>
      </c>
      <c r="F1977" s="6" t="s">
        <v>9</v>
      </c>
      <c r="G1977" s="6" t="s">
        <v>290</v>
      </c>
      <c r="H1977" s="9" t="s">
        <v>291</v>
      </c>
      <c r="I1977" s="7" t="str">
        <f t="shared" si="120"/>
        <v>61001003000</v>
      </c>
      <c r="J1977" s="7" t="str">
        <f t="shared" si="121"/>
        <v>Смешанные по допущению</v>
      </c>
      <c r="K1977" s="7">
        <f>VLOOKUP(J1977,Лист2!A$2:B$4,2,FALSE)</f>
        <v>793</v>
      </c>
      <c r="L1977" s="7" t="str">
        <f t="shared" si="122"/>
        <v>ГОТОВ_ИЗМЕНЕН</v>
      </c>
      <c r="M1977" s="7">
        <f t="shared" si="123"/>
        <v>0</v>
      </c>
    </row>
    <row r="1978" spans="1:13" x14ac:dyDescent="0.25">
      <c r="A1978" s="1">
        <v>943640</v>
      </c>
      <c r="B1978" s="6" t="s">
        <v>2099</v>
      </c>
      <c r="F1978" s="6" t="s">
        <v>9</v>
      </c>
      <c r="G1978" s="6" t="s">
        <v>34</v>
      </c>
      <c r="H1978" s="9" t="s">
        <v>35</v>
      </c>
      <c r="I1978" s="7" t="str">
        <f t="shared" si="120"/>
        <v>61001002000</v>
      </c>
      <c r="J1978" s="7" t="str">
        <f t="shared" si="121"/>
        <v>Материал по ЕГРН</v>
      </c>
      <c r="K1978" s="7">
        <f>VLOOKUP(J1978,Лист2!A$2:B$4,2,FALSE)</f>
        <v>792</v>
      </c>
      <c r="L1978" s="7" t="str">
        <f t="shared" si="122"/>
        <v>ГОТОВ_ИЗМЕНЕН</v>
      </c>
      <c r="M1978" s="7">
        <f t="shared" si="123"/>
        <v>0</v>
      </c>
    </row>
    <row r="1979" spans="1:13" x14ac:dyDescent="0.25">
      <c r="A1979" s="1">
        <v>943652</v>
      </c>
      <c r="B1979" s="6" t="s">
        <v>2100</v>
      </c>
      <c r="F1979" s="6" t="s">
        <v>9</v>
      </c>
      <c r="G1979" s="6" t="s">
        <v>149</v>
      </c>
      <c r="H1979" s="9" t="s">
        <v>150</v>
      </c>
      <c r="I1979" s="7" t="str">
        <f t="shared" si="120"/>
        <v>61001007000</v>
      </c>
      <c r="J1979" s="7" t="str">
        <f t="shared" si="121"/>
        <v>Материал по ЕГРН</v>
      </c>
      <c r="K1979" s="7">
        <f>VLOOKUP(J1979,Лист2!A$2:B$4,2,FALSE)</f>
        <v>792</v>
      </c>
      <c r="L1979" s="7" t="str">
        <f t="shared" si="122"/>
        <v>ГОТОВ_ИЗМЕНЕН</v>
      </c>
      <c r="M1979" s="7">
        <f t="shared" si="123"/>
        <v>0</v>
      </c>
    </row>
    <row r="1980" spans="1:13" x14ac:dyDescent="0.25">
      <c r="A1980" s="1">
        <v>943664</v>
      </c>
      <c r="B1980" s="6" t="s">
        <v>2101</v>
      </c>
      <c r="F1980" s="6" t="s">
        <v>9</v>
      </c>
      <c r="G1980" s="6" t="s">
        <v>10</v>
      </c>
      <c r="H1980" s="9" t="s">
        <v>11</v>
      </c>
      <c r="I1980" s="7" t="str">
        <f t="shared" si="120"/>
        <v>61001003000</v>
      </c>
      <c r="J1980" s="7" t="str">
        <f t="shared" si="121"/>
        <v>Материал по ЕГРН</v>
      </c>
      <c r="K1980" s="7">
        <f>VLOOKUP(J1980,Лист2!A$2:B$4,2,FALSE)</f>
        <v>792</v>
      </c>
      <c r="L1980" s="7" t="str">
        <f t="shared" si="122"/>
        <v>ГОТОВ_ИЗМЕНЕН</v>
      </c>
      <c r="M1980" s="7">
        <f t="shared" si="123"/>
        <v>0</v>
      </c>
    </row>
    <row r="1981" spans="1:13" x14ac:dyDescent="0.25">
      <c r="A1981" s="1">
        <v>943676</v>
      </c>
      <c r="B1981" s="6" t="s">
        <v>2102</v>
      </c>
      <c r="F1981" s="6" t="s">
        <v>9</v>
      </c>
      <c r="G1981" s="6" t="s">
        <v>34</v>
      </c>
      <c r="H1981" s="9" t="s">
        <v>35</v>
      </c>
      <c r="I1981" s="7" t="str">
        <f t="shared" si="120"/>
        <v>61001002000</v>
      </c>
      <c r="J1981" s="7" t="str">
        <f t="shared" si="121"/>
        <v>Материал по ЕГРН</v>
      </c>
      <c r="K1981" s="7">
        <f>VLOOKUP(J1981,Лист2!A$2:B$4,2,FALSE)</f>
        <v>792</v>
      </c>
      <c r="L1981" s="7" t="str">
        <f t="shared" si="122"/>
        <v>ГОТОВ_ИЗМЕНЕН</v>
      </c>
      <c r="M1981" s="7">
        <f t="shared" si="123"/>
        <v>0</v>
      </c>
    </row>
    <row r="1982" spans="1:13" x14ac:dyDescent="0.25">
      <c r="A1982" s="1">
        <v>943688</v>
      </c>
      <c r="B1982" s="6" t="s">
        <v>2103</v>
      </c>
      <c r="F1982" s="6" t="s">
        <v>9</v>
      </c>
      <c r="G1982" s="6" t="s">
        <v>38</v>
      </c>
      <c r="H1982" s="9" t="s">
        <v>33</v>
      </c>
      <c r="I1982" s="7" t="str">
        <f t="shared" si="120"/>
        <v>61001005000</v>
      </c>
      <c r="J1982" s="7" t="str">
        <f t="shared" si="121"/>
        <v>Материал по ЕГРН</v>
      </c>
      <c r="K1982" s="7">
        <f>VLOOKUP(J1982,Лист2!A$2:B$4,2,FALSE)</f>
        <v>792</v>
      </c>
      <c r="L1982" s="7" t="str">
        <f t="shared" si="122"/>
        <v>ГОТОВ_ИЗМЕНЕН</v>
      </c>
      <c r="M1982" s="7">
        <f t="shared" si="123"/>
        <v>0</v>
      </c>
    </row>
    <row r="1983" spans="1:13" x14ac:dyDescent="0.25">
      <c r="A1983" s="1">
        <v>943700</v>
      </c>
      <c r="B1983" s="6" t="s">
        <v>2104</v>
      </c>
      <c r="F1983" s="6" t="s">
        <v>9</v>
      </c>
      <c r="G1983" s="6" t="s">
        <v>10</v>
      </c>
      <c r="H1983" s="9" t="s">
        <v>11</v>
      </c>
      <c r="I1983" s="7" t="str">
        <f t="shared" si="120"/>
        <v>61001003000</v>
      </c>
      <c r="J1983" s="7" t="str">
        <f t="shared" si="121"/>
        <v>Материал по ЕГРН</v>
      </c>
      <c r="K1983" s="7">
        <f>VLOOKUP(J1983,Лист2!A$2:B$4,2,FALSE)</f>
        <v>792</v>
      </c>
      <c r="L1983" s="7" t="str">
        <f t="shared" si="122"/>
        <v>ГОТОВ_ИЗМЕНЕН</v>
      </c>
      <c r="M1983" s="7">
        <f t="shared" si="123"/>
        <v>0</v>
      </c>
    </row>
    <row r="1984" spans="1:13" x14ac:dyDescent="0.25">
      <c r="A1984" s="1">
        <v>943712</v>
      </c>
      <c r="B1984" s="6" t="s">
        <v>2105</v>
      </c>
      <c r="F1984" s="6" t="s">
        <v>9</v>
      </c>
      <c r="G1984" s="6" t="s">
        <v>34</v>
      </c>
      <c r="H1984" s="9" t="s">
        <v>35</v>
      </c>
      <c r="I1984" s="7" t="str">
        <f t="shared" si="120"/>
        <v>61001002000</v>
      </c>
      <c r="J1984" s="7" t="str">
        <f t="shared" si="121"/>
        <v>Материал по ЕГРН</v>
      </c>
      <c r="K1984" s="7">
        <f>VLOOKUP(J1984,Лист2!A$2:B$4,2,FALSE)</f>
        <v>792</v>
      </c>
      <c r="L1984" s="7" t="str">
        <f t="shared" si="122"/>
        <v>ГОТОВ_ИЗМЕНЕН</v>
      </c>
      <c r="M1984" s="7">
        <f t="shared" si="123"/>
        <v>0</v>
      </c>
    </row>
    <row r="1985" spans="1:13" x14ac:dyDescent="0.25">
      <c r="A1985" s="1">
        <v>943724</v>
      </c>
      <c r="B1985" s="6" t="s">
        <v>2106</v>
      </c>
      <c r="F1985" s="6" t="s">
        <v>9</v>
      </c>
      <c r="G1985" s="6" t="s">
        <v>139</v>
      </c>
      <c r="H1985" s="9" t="s">
        <v>140</v>
      </c>
      <c r="I1985" s="7" t="str">
        <f t="shared" si="120"/>
        <v>61001999000</v>
      </c>
      <c r="J1985" s="7" t="str">
        <f t="shared" si="121"/>
        <v>Материал по ЕГРН</v>
      </c>
      <c r="K1985" s="7">
        <f>VLOOKUP(J1985,Лист2!A$2:B$4,2,FALSE)</f>
        <v>792</v>
      </c>
      <c r="L1985" s="7" t="str">
        <f t="shared" si="122"/>
        <v>ГОТОВ_ИЗМЕНЕН</v>
      </c>
      <c r="M1985" s="7">
        <f t="shared" si="123"/>
        <v>0</v>
      </c>
    </row>
    <row r="1986" spans="1:13" x14ac:dyDescent="0.25">
      <c r="A1986" s="1">
        <v>943736</v>
      </c>
      <c r="B1986" s="6" t="s">
        <v>2107</v>
      </c>
      <c r="F1986" s="6" t="s">
        <v>9</v>
      </c>
      <c r="G1986" s="6" t="s">
        <v>34</v>
      </c>
      <c r="H1986" s="9" t="s">
        <v>35</v>
      </c>
      <c r="I1986" s="7" t="str">
        <f t="shared" si="120"/>
        <v>61001002000</v>
      </c>
      <c r="J1986" s="7" t="str">
        <f t="shared" si="121"/>
        <v>Материал по ЕГРН</v>
      </c>
      <c r="K1986" s="7">
        <f>VLOOKUP(J1986,Лист2!A$2:B$4,2,FALSE)</f>
        <v>792</v>
      </c>
      <c r="L1986" s="7" t="str">
        <f t="shared" si="122"/>
        <v>ГОТОВ_ИЗМЕНЕН</v>
      </c>
      <c r="M1986" s="7">
        <f t="shared" si="123"/>
        <v>0</v>
      </c>
    </row>
    <row r="1987" spans="1:13" x14ac:dyDescent="0.25">
      <c r="A1987" s="1">
        <v>943748</v>
      </c>
      <c r="B1987" s="6" t="s">
        <v>2108</v>
      </c>
      <c r="F1987" s="6" t="s">
        <v>9</v>
      </c>
      <c r="G1987" s="6" t="s">
        <v>38</v>
      </c>
      <c r="H1987" s="9" t="s">
        <v>33</v>
      </c>
      <c r="I1987" s="7" t="str">
        <f t="shared" si="120"/>
        <v>61001005000</v>
      </c>
      <c r="J1987" s="7" t="str">
        <f t="shared" si="121"/>
        <v>Материал по ЕГРН</v>
      </c>
      <c r="K1987" s="7">
        <f>VLOOKUP(J1987,Лист2!A$2:B$4,2,FALSE)</f>
        <v>792</v>
      </c>
      <c r="L1987" s="7" t="str">
        <f t="shared" si="122"/>
        <v>ГОТОВ_ИЗМЕНЕН</v>
      </c>
      <c r="M1987" s="7">
        <f t="shared" si="123"/>
        <v>0</v>
      </c>
    </row>
    <row r="1988" spans="1:13" x14ac:dyDescent="0.25">
      <c r="A1988" s="1">
        <v>943760</v>
      </c>
      <c r="B1988" s="6" t="s">
        <v>2109</v>
      </c>
      <c r="F1988" s="6" t="s">
        <v>9</v>
      </c>
      <c r="G1988" s="6" t="s">
        <v>38</v>
      </c>
      <c r="H1988" s="9" t="s">
        <v>33</v>
      </c>
      <c r="I1988" s="7" t="str">
        <f t="shared" si="120"/>
        <v>61001005000</v>
      </c>
      <c r="J1988" s="7" t="str">
        <f t="shared" si="121"/>
        <v>Материал по ЕГРН</v>
      </c>
      <c r="K1988" s="7">
        <f>VLOOKUP(J1988,Лист2!A$2:B$4,2,FALSE)</f>
        <v>792</v>
      </c>
      <c r="L1988" s="7" t="str">
        <f t="shared" si="122"/>
        <v>ГОТОВ_ИЗМЕНЕН</v>
      </c>
      <c r="M1988" s="7">
        <f t="shared" si="123"/>
        <v>0</v>
      </c>
    </row>
    <row r="1989" spans="1:13" x14ac:dyDescent="0.25">
      <c r="A1989" s="1">
        <v>943772</v>
      </c>
      <c r="B1989" s="6" t="s">
        <v>2110</v>
      </c>
      <c r="F1989" s="6" t="s">
        <v>9</v>
      </c>
      <c r="G1989" s="6" t="s">
        <v>146</v>
      </c>
      <c r="H1989" s="9" t="s">
        <v>147</v>
      </c>
      <c r="I1989" s="7" t="str">
        <f t="shared" ref="I1989:I2052" si="124">IF(LEN(H1989)=11,H1989,IF(LEN(H1989)=0,"61001005000","61001003000"))</f>
        <v>61001000000</v>
      </c>
      <c r="J1989" s="7" t="str">
        <f t="shared" ref="J1989:J2052" si="125">IF(LEN(H1989)=11,"Материал по ЕГРН",IF(LEN(H1989)=0,"Прочие по допущению","Смешанные по допущению"))</f>
        <v>Материал по ЕГРН</v>
      </c>
      <c r="K1989" s="7">
        <f>VLOOKUP(J1989,Лист2!A$2:B$4,2,FALSE)</f>
        <v>792</v>
      </c>
      <c r="L1989" s="7" t="str">
        <f t="shared" ref="L1989:L2052" si="126">IF(I1989=C1989,"ГОТОВ","ГОТОВ_ИЗМЕНЕН")</f>
        <v>ГОТОВ_ИЗМЕНЕН</v>
      </c>
      <c r="M1989" s="7">
        <f t="shared" ref="M1989:M2052" si="127">C1989</f>
        <v>0</v>
      </c>
    </row>
    <row r="1990" spans="1:13" x14ac:dyDescent="0.25">
      <c r="A1990" s="1">
        <v>943784</v>
      </c>
      <c r="B1990" s="6" t="s">
        <v>2111</v>
      </c>
      <c r="F1990" s="6" t="s">
        <v>9</v>
      </c>
      <c r="G1990" s="6" t="s">
        <v>43</v>
      </c>
      <c r="H1990" s="9" t="s">
        <v>42</v>
      </c>
      <c r="I1990" s="7" t="str">
        <f t="shared" si="124"/>
        <v>61001002001</v>
      </c>
      <c r="J1990" s="7" t="str">
        <f t="shared" si="125"/>
        <v>Материал по ЕГРН</v>
      </c>
      <c r="K1990" s="7">
        <f>VLOOKUP(J1990,Лист2!A$2:B$4,2,FALSE)</f>
        <v>792</v>
      </c>
      <c r="L1990" s="7" t="str">
        <f t="shared" si="126"/>
        <v>ГОТОВ_ИЗМЕНЕН</v>
      </c>
      <c r="M1990" s="7">
        <f t="shared" si="127"/>
        <v>0</v>
      </c>
    </row>
    <row r="1991" spans="1:13" x14ac:dyDescent="0.25">
      <c r="A1991" s="1">
        <v>943796</v>
      </c>
      <c r="B1991" s="6" t="s">
        <v>2112</v>
      </c>
      <c r="F1991" s="6" t="s">
        <v>9</v>
      </c>
      <c r="G1991" s="6" t="s">
        <v>34</v>
      </c>
      <c r="H1991" s="9" t="s">
        <v>35</v>
      </c>
      <c r="I1991" s="7" t="str">
        <f t="shared" si="124"/>
        <v>61001002000</v>
      </c>
      <c r="J1991" s="7" t="str">
        <f t="shared" si="125"/>
        <v>Материал по ЕГРН</v>
      </c>
      <c r="K1991" s="7">
        <f>VLOOKUP(J1991,Лист2!A$2:B$4,2,FALSE)</f>
        <v>792</v>
      </c>
      <c r="L1991" s="7" t="str">
        <f t="shared" si="126"/>
        <v>ГОТОВ_ИЗМЕНЕН</v>
      </c>
      <c r="M1991" s="7">
        <f t="shared" si="127"/>
        <v>0</v>
      </c>
    </row>
    <row r="1992" spans="1:13" x14ac:dyDescent="0.25">
      <c r="A1992" s="1">
        <v>943808</v>
      </c>
      <c r="B1992" s="6" t="s">
        <v>2113</v>
      </c>
      <c r="F1992" s="6" t="s">
        <v>9</v>
      </c>
      <c r="G1992" s="6" t="s">
        <v>62</v>
      </c>
      <c r="H1992" s="9" t="s">
        <v>63</v>
      </c>
      <c r="I1992" s="7" t="str">
        <f t="shared" si="124"/>
        <v>61001006002</v>
      </c>
      <c r="J1992" s="7" t="str">
        <f t="shared" si="125"/>
        <v>Материал по ЕГРН</v>
      </c>
      <c r="K1992" s="7">
        <f>VLOOKUP(J1992,Лист2!A$2:B$4,2,FALSE)</f>
        <v>792</v>
      </c>
      <c r="L1992" s="7" t="str">
        <f t="shared" si="126"/>
        <v>ГОТОВ_ИЗМЕНЕН</v>
      </c>
      <c r="M1992" s="7">
        <f t="shared" si="127"/>
        <v>0</v>
      </c>
    </row>
    <row r="1993" spans="1:13" x14ac:dyDescent="0.25">
      <c r="A1993" s="1">
        <v>943820</v>
      </c>
      <c r="B1993" s="6" t="s">
        <v>2114</v>
      </c>
      <c r="F1993" s="6" t="s">
        <v>9</v>
      </c>
      <c r="G1993" s="6" t="s">
        <v>90</v>
      </c>
      <c r="H1993" s="9" t="s">
        <v>12</v>
      </c>
      <c r="I1993" s="7" t="str">
        <f t="shared" si="124"/>
        <v>61001008000</v>
      </c>
      <c r="J1993" s="7" t="str">
        <f t="shared" si="125"/>
        <v>Материал по ЕГРН</v>
      </c>
      <c r="K1993" s="7">
        <f>VLOOKUP(J1993,Лист2!A$2:B$4,2,FALSE)</f>
        <v>792</v>
      </c>
      <c r="L1993" s="7" t="str">
        <f t="shared" si="126"/>
        <v>ГОТОВ_ИЗМЕНЕН</v>
      </c>
      <c r="M1993" s="7">
        <f t="shared" si="127"/>
        <v>0</v>
      </c>
    </row>
    <row r="1994" spans="1:13" x14ac:dyDescent="0.25">
      <c r="A1994" s="1">
        <v>943832</v>
      </c>
      <c r="B1994" s="6" t="s">
        <v>2115</v>
      </c>
      <c r="F1994" s="6" t="s">
        <v>9</v>
      </c>
      <c r="G1994" s="6" t="s">
        <v>59</v>
      </c>
      <c r="H1994" s="9" t="s">
        <v>60</v>
      </c>
      <c r="I1994" s="7" t="str">
        <f t="shared" si="124"/>
        <v>61001001001</v>
      </c>
      <c r="J1994" s="7" t="str">
        <f t="shared" si="125"/>
        <v>Материал по ЕГРН</v>
      </c>
      <c r="K1994" s="7">
        <f>VLOOKUP(J1994,Лист2!A$2:B$4,2,FALSE)</f>
        <v>792</v>
      </c>
      <c r="L1994" s="7" t="str">
        <f t="shared" si="126"/>
        <v>ГОТОВ_ИЗМЕНЕН</v>
      </c>
      <c r="M1994" s="7">
        <f t="shared" si="127"/>
        <v>0</v>
      </c>
    </row>
    <row r="1995" spans="1:13" x14ac:dyDescent="0.25">
      <c r="A1995" s="1">
        <v>943844</v>
      </c>
      <c r="B1995" s="6" t="s">
        <v>2116</v>
      </c>
      <c r="F1995" s="6" t="s">
        <v>9</v>
      </c>
      <c r="G1995" s="6" t="s">
        <v>38</v>
      </c>
      <c r="H1995" s="9" t="s">
        <v>33</v>
      </c>
      <c r="I1995" s="7" t="str">
        <f t="shared" si="124"/>
        <v>61001005000</v>
      </c>
      <c r="J1995" s="7" t="str">
        <f t="shared" si="125"/>
        <v>Материал по ЕГРН</v>
      </c>
      <c r="K1995" s="7">
        <f>VLOOKUP(J1995,Лист2!A$2:B$4,2,FALSE)</f>
        <v>792</v>
      </c>
      <c r="L1995" s="7" t="str">
        <f t="shared" si="126"/>
        <v>ГОТОВ_ИЗМЕНЕН</v>
      </c>
      <c r="M1995" s="7">
        <f t="shared" si="127"/>
        <v>0</v>
      </c>
    </row>
    <row r="1996" spans="1:13" x14ac:dyDescent="0.25">
      <c r="A1996" s="1">
        <v>943856</v>
      </c>
      <c r="B1996" s="6" t="s">
        <v>2117</v>
      </c>
      <c r="F1996" s="6" t="s">
        <v>9</v>
      </c>
      <c r="G1996" s="6" t="s">
        <v>38</v>
      </c>
      <c r="H1996" s="9" t="s">
        <v>33</v>
      </c>
      <c r="I1996" s="7" t="str">
        <f t="shared" si="124"/>
        <v>61001005000</v>
      </c>
      <c r="J1996" s="7" t="str">
        <f t="shared" si="125"/>
        <v>Материал по ЕГРН</v>
      </c>
      <c r="K1996" s="7">
        <f>VLOOKUP(J1996,Лист2!A$2:B$4,2,FALSE)</f>
        <v>792</v>
      </c>
      <c r="L1996" s="7" t="str">
        <f t="shared" si="126"/>
        <v>ГОТОВ_ИЗМЕНЕН</v>
      </c>
      <c r="M1996" s="7">
        <f t="shared" si="127"/>
        <v>0</v>
      </c>
    </row>
    <row r="1997" spans="1:13" x14ac:dyDescent="0.25">
      <c r="A1997" s="1">
        <v>943868</v>
      </c>
      <c r="B1997" s="6" t="s">
        <v>2118</v>
      </c>
      <c r="F1997" s="6" t="s">
        <v>9</v>
      </c>
      <c r="G1997" s="6" t="s">
        <v>43</v>
      </c>
      <c r="H1997" s="9" t="s">
        <v>42</v>
      </c>
      <c r="I1997" s="7" t="str">
        <f t="shared" si="124"/>
        <v>61001002001</v>
      </c>
      <c r="J1997" s="7" t="str">
        <f t="shared" si="125"/>
        <v>Материал по ЕГРН</v>
      </c>
      <c r="K1997" s="7">
        <f>VLOOKUP(J1997,Лист2!A$2:B$4,2,FALSE)</f>
        <v>792</v>
      </c>
      <c r="L1997" s="7" t="str">
        <f t="shared" si="126"/>
        <v>ГОТОВ_ИЗМЕНЕН</v>
      </c>
      <c r="M1997" s="7">
        <f t="shared" si="127"/>
        <v>0</v>
      </c>
    </row>
    <row r="1998" spans="1:13" x14ac:dyDescent="0.25">
      <c r="A1998" s="1">
        <v>943880</v>
      </c>
      <c r="B1998" s="6" t="s">
        <v>2119</v>
      </c>
      <c r="F1998" s="6" t="s">
        <v>9</v>
      </c>
      <c r="G1998" s="6" t="s">
        <v>34</v>
      </c>
      <c r="H1998" s="9" t="s">
        <v>35</v>
      </c>
      <c r="I1998" s="7" t="str">
        <f t="shared" si="124"/>
        <v>61001002000</v>
      </c>
      <c r="J1998" s="7" t="str">
        <f t="shared" si="125"/>
        <v>Материал по ЕГРН</v>
      </c>
      <c r="K1998" s="7">
        <f>VLOOKUP(J1998,Лист2!A$2:B$4,2,FALSE)</f>
        <v>792</v>
      </c>
      <c r="L1998" s="7" t="str">
        <f t="shared" si="126"/>
        <v>ГОТОВ_ИЗМЕНЕН</v>
      </c>
      <c r="M1998" s="7">
        <f t="shared" si="127"/>
        <v>0</v>
      </c>
    </row>
    <row r="1999" spans="1:13" x14ac:dyDescent="0.25">
      <c r="A1999" s="1">
        <v>943892</v>
      </c>
      <c r="B1999" s="6" t="s">
        <v>2120</v>
      </c>
      <c r="F1999" s="6" t="s">
        <v>9</v>
      </c>
      <c r="G1999" s="6" t="s">
        <v>34</v>
      </c>
      <c r="H1999" s="9" t="s">
        <v>35</v>
      </c>
      <c r="I1999" s="7" t="str">
        <f t="shared" si="124"/>
        <v>61001002000</v>
      </c>
      <c r="J1999" s="7" t="str">
        <f t="shared" si="125"/>
        <v>Материал по ЕГРН</v>
      </c>
      <c r="K1999" s="7">
        <f>VLOOKUP(J1999,Лист2!A$2:B$4,2,FALSE)</f>
        <v>792</v>
      </c>
      <c r="L1999" s="7" t="str">
        <f t="shared" si="126"/>
        <v>ГОТОВ_ИЗМЕНЕН</v>
      </c>
      <c r="M1999" s="7">
        <f t="shared" si="127"/>
        <v>0</v>
      </c>
    </row>
    <row r="2000" spans="1:13" x14ac:dyDescent="0.25">
      <c r="A2000" s="1">
        <v>943904</v>
      </c>
      <c r="B2000" s="6" t="s">
        <v>2121</v>
      </c>
      <c r="F2000" s="6" t="s">
        <v>9</v>
      </c>
      <c r="G2000" s="6" t="s">
        <v>38</v>
      </c>
      <c r="H2000" s="9" t="s">
        <v>33</v>
      </c>
      <c r="I2000" s="7" t="str">
        <f t="shared" si="124"/>
        <v>61001005000</v>
      </c>
      <c r="J2000" s="7" t="str">
        <f t="shared" si="125"/>
        <v>Материал по ЕГРН</v>
      </c>
      <c r="K2000" s="7">
        <f>VLOOKUP(J2000,Лист2!A$2:B$4,2,FALSE)</f>
        <v>792</v>
      </c>
      <c r="L2000" s="7" t="str">
        <f t="shared" si="126"/>
        <v>ГОТОВ_ИЗМЕНЕН</v>
      </c>
      <c r="M2000" s="7">
        <f t="shared" si="127"/>
        <v>0</v>
      </c>
    </row>
    <row r="2001" spans="1:13" x14ac:dyDescent="0.25">
      <c r="A2001" s="1">
        <v>943916</v>
      </c>
      <c r="B2001" s="6" t="s">
        <v>2122</v>
      </c>
      <c r="F2001" s="6" t="s">
        <v>9</v>
      </c>
      <c r="G2001" s="6" t="s">
        <v>62</v>
      </c>
      <c r="H2001" s="9" t="s">
        <v>63</v>
      </c>
      <c r="I2001" s="7" t="str">
        <f t="shared" si="124"/>
        <v>61001006002</v>
      </c>
      <c r="J2001" s="7" t="str">
        <f t="shared" si="125"/>
        <v>Материал по ЕГРН</v>
      </c>
      <c r="K2001" s="7">
        <f>VLOOKUP(J2001,Лист2!A$2:B$4,2,FALSE)</f>
        <v>792</v>
      </c>
      <c r="L2001" s="7" t="str">
        <f t="shared" si="126"/>
        <v>ГОТОВ_ИЗМЕНЕН</v>
      </c>
      <c r="M2001" s="7">
        <f t="shared" si="127"/>
        <v>0</v>
      </c>
    </row>
    <row r="2002" spans="1:13" x14ac:dyDescent="0.25">
      <c r="A2002" s="1">
        <v>943928</v>
      </c>
      <c r="B2002" s="6" t="s">
        <v>2123</v>
      </c>
      <c r="F2002" s="6" t="s">
        <v>9</v>
      </c>
      <c r="G2002" s="6" t="s">
        <v>10</v>
      </c>
      <c r="H2002" s="9" t="s">
        <v>11</v>
      </c>
      <c r="I2002" s="7" t="str">
        <f t="shared" si="124"/>
        <v>61001003000</v>
      </c>
      <c r="J2002" s="7" t="str">
        <f t="shared" si="125"/>
        <v>Материал по ЕГРН</v>
      </c>
      <c r="K2002" s="7">
        <f>VLOOKUP(J2002,Лист2!A$2:B$4,2,FALSE)</f>
        <v>792</v>
      </c>
      <c r="L2002" s="7" t="str">
        <f t="shared" si="126"/>
        <v>ГОТОВ_ИЗМЕНЕН</v>
      </c>
      <c r="M2002" s="7">
        <f t="shared" si="127"/>
        <v>0</v>
      </c>
    </row>
    <row r="2003" spans="1:13" x14ac:dyDescent="0.25">
      <c r="A2003" s="1">
        <v>943940</v>
      </c>
      <c r="B2003" s="6" t="s">
        <v>2124</v>
      </c>
      <c r="F2003" s="6" t="s">
        <v>9</v>
      </c>
      <c r="G2003" s="6" t="s">
        <v>38</v>
      </c>
      <c r="H2003" s="9" t="s">
        <v>33</v>
      </c>
      <c r="I2003" s="7" t="str">
        <f t="shared" si="124"/>
        <v>61001005000</v>
      </c>
      <c r="J2003" s="7" t="str">
        <f t="shared" si="125"/>
        <v>Материал по ЕГРН</v>
      </c>
      <c r="K2003" s="7">
        <f>VLOOKUP(J2003,Лист2!A$2:B$4,2,FALSE)</f>
        <v>792</v>
      </c>
      <c r="L2003" s="7" t="str">
        <f t="shared" si="126"/>
        <v>ГОТОВ_ИЗМЕНЕН</v>
      </c>
      <c r="M2003" s="7">
        <f t="shared" si="127"/>
        <v>0</v>
      </c>
    </row>
    <row r="2004" spans="1:13" x14ac:dyDescent="0.25">
      <c r="A2004" s="1">
        <v>54138</v>
      </c>
      <c r="B2004" s="6" t="s">
        <v>2125</v>
      </c>
      <c r="C2004" s="9" t="s">
        <v>42</v>
      </c>
      <c r="D2004" s="6" t="s">
        <v>20</v>
      </c>
      <c r="E2004" s="6" t="s">
        <v>8</v>
      </c>
      <c r="F2004" s="6" t="s">
        <v>9</v>
      </c>
      <c r="G2004" s="6" t="s">
        <v>62</v>
      </c>
      <c r="H2004" s="9" t="s">
        <v>63</v>
      </c>
      <c r="I2004" s="7" t="str">
        <f t="shared" si="124"/>
        <v>61001006002</v>
      </c>
      <c r="J2004" s="7" t="str">
        <f t="shared" si="125"/>
        <v>Материал по ЕГРН</v>
      </c>
      <c r="K2004" s="7">
        <f>VLOOKUP(J2004,Лист2!A$2:B$4,2,FALSE)</f>
        <v>792</v>
      </c>
      <c r="L2004" s="7" t="str">
        <f t="shared" si="126"/>
        <v>ГОТОВ_ИЗМЕНЕН</v>
      </c>
      <c r="M2004" s="7" t="str">
        <f t="shared" si="127"/>
        <v>61001002001</v>
      </c>
    </row>
    <row r="2005" spans="1:13" x14ac:dyDescent="0.25">
      <c r="A2005" s="1">
        <v>519254</v>
      </c>
      <c r="B2005" s="6" t="s">
        <v>2126</v>
      </c>
      <c r="C2005" s="9" t="s">
        <v>42</v>
      </c>
      <c r="D2005" s="6" t="s">
        <v>20</v>
      </c>
      <c r="E2005" s="6" t="s">
        <v>37</v>
      </c>
      <c r="F2005" s="6" t="s">
        <v>9</v>
      </c>
      <c r="G2005" s="6" t="s">
        <v>43</v>
      </c>
      <c r="H2005" s="9" t="s">
        <v>42</v>
      </c>
      <c r="I2005" s="7" t="str">
        <f t="shared" si="124"/>
        <v>61001002001</v>
      </c>
      <c r="J2005" s="7" t="str">
        <f t="shared" si="125"/>
        <v>Материал по ЕГРН</v>
      </c>
      <c r="K2005" s="7">
        <f>VLOOKUP(J2005,Лист2!A$2:B$4,2,FALSE)</f>
        <v>792</v>
      </c>
      <c r="L2005" s="7" t="str">
        <f t="shared" si="126"/>
        <v>ГОТОВ</v>
      </c>
      <c r="M2005" s="7" t="str">
        <f t="shared" si="127"/>
        <v>61001002001</v>
      </c>
    </row>
    <row r="2006" spans="1:13" x14ac:dyDescent="0.25">
      <c r="A2006" s="1">
        <v>529423</v>
      </c>
      <c r="B2006" s="6" t="s">
        <v>2127</v>
      </c>
      <c r="C2006" s="9" t="s">
        <v>42</v>
      </c>
      <c r="D2006" s="6" t="s">
        <v>20</v>
      </c>
      <c r="E2006" s="6" t="s">
        <v>37</v>
      </c>
      <c r="F2006" s="6" t="s">
        <v>9</v>
      </c>
      <c r="G2006" s="6" t="s">
        <v>43</v>
      </c>
      <c r="H2006" s="9" t="s">
        <v>42</v>
      </c>
      <c r="I2006" s="7" t="str">
        <f t="shared" si="124"/>
        <v>61001002001</v>
      </c>
      <c r="J2006" s="7" t="str">
        <f t="shared" si="125"/>
        <v>Материал по ЕГРН</v>
      </c>
      <c r="K2006" s="7">
        <f>VLOOKUP(J2006,Лист2!A$2:B$4,2,FALSE)</f>
        <v>792</v>
      </c>
      <c r="L2006" s="7" t="str">
        <f t="shared" si="126"/>
        <v>ГОТОВ</v>
      </c>
      <c r="M2006" s="7" t="str">
        <f t="shared" si="127"/>
        <v>61001002001</v>
      </c>
    </row>
    <row r="2007" spans="1:13" x14ac:dyDescent="0.25">
      <c r="A2007" s="1">
        <v>601479</v>
      </c>
      <c r="B2007" s="6" t="s">
        <v>2128</v>
      </c>
      <c r="C2007" s="9" t="s">
        <v>33</v>
      </c>
      <c r="D2007" s="6" t="s">
        <v>20</v>
      </c>
      <c r="E2007" s="6" t="s">
        <v>37</v>
      </c>
      <c r="F2007" s="6" t="s">
        <v>9</v>
      </c>
      <c r="G2007" s="6" t="s">
        <v>38</v>
      </c>
      <c r="H2007" s="9" t="s">
        <v>33</v>
      </c>
      <c r="I2007" s="7" t="str">
        <f t="shared" si="124"/>
        <v>61001005000</v>
      </c>
      <c r="J2007" s="7" t="str">
        <f t="shared" si="125"/>
        <v>Материал по ЕГРН</v>
      </c>
      <c r="K2007" s="7">
        <f>VLOOKUP(J2007,Лист2!A$2:B$4,2,FALSE)</f>
        <v>792</v>
      </c>
      <c r="L2007" s="7" t="str">
        <f t="shared" si="126"/>
        <v>ГОТОВ</v>
      </c>
      <c r="M2007" s="7" t="str">
        <f t="shared" si="127"/>
        <v>61001005000</v>
      </c>
    </row>
    <row r="2008" spans="1:13" x14ac:dyDescent="0.25">
      <c r="A2008" s="1">
        <v>943952</v>
      </c>
      <c r="B2008" s="6" t="s">
        <v>2129</v>
      </c>
      <c r="F2008" s="6" t="s">
        <v>9</v>
      </c>
      <c r="G2008" s="6" t="s">
        <v>38</v>
      </c>
      <c r="H2008" s="9" t="s">
        <v>33</v>
      </c>
      <c r="I2008" s="7" t="str">
        <f t="shared" si="124"/>
        <v>61001005000</v>
      </c>
      <c r="J2008" s="7" t="str">
        <f t="shared" si="125"/>
        <v>Материал по ЕГРН</v>
      </c>
      <c r="K2008" s="7">
        <f>VLOOKUP(J2008,Лист2!A$2:B$4,2,FALSE)</f>
        <v>792</v>
      </c>
      <c r="L2008" s="7" t="str">
        <f t="shared" si="126"/>
        <v>ГОТОВ_ИЗМЕНЕН</v>
      </c>
      <c r="M2008" s="7">
        <f t="shared" si="127"/>
        <v>0</v>
      </c>
    </row>
    <row r="2009" spans="1:13" x14ac:dyDescent="0.25">
      <c r="A2009" s="1">
        <v>943964</v>
      </c>
      <c r="B2009" s="6" t="s">
        <v>2130</v>
      </c>
      <c r="F2009" s="6" t="s">
        <v>9</v>
      </c>
      <c r="G2009" s="6" t="s">
        <v>38</v>
      </c>
      <c r="H2009" s="9" t="s">
        <v>33</v>
      </c>
      <c r="I2009" s="7" t="str">
        <f t="shared" si="124"/>
        <v>61001005000</v>
      </c>
      <c r="J2009" s="7" t="str">
        <f t="shared" si="125"/>
        <v>Материал по ЕГРН</v>
      </c>
      <c r="K2009" s="7">
        <f>VLOOKUP(J2009,Лист2!A$2:B$4,2,FALSE)</f>
        <v>792</v>
      </c>
      <c r="L2009" s="7" t="str">
        <f t="shared" si="126"/>
        <v>ГОТОВ_ИЗМЕНЕН</v>
      </c>
      <c r="M2009" s="7">
        <f t="shared" si="127"/>
        <v>0</v>
      </c>
    </row>
    <row r="2010" spans="1:13" x14ac:dyDescent="0.25">
      <c r="A2010" s="1">
        <v>943976</v>
      </c>
      <c r="B2010" s="6" t="s">
        <v>2131</v>
      </c>
      <c r="F2010" s="6" t="s">
        <v>9</v>
      </c>
      <c r="G2010" s="6" t="s">
        <v>10</v>
      </c>
      <c r="H2010" s="9" t="s">
        <v>11</v>
      </c>
      <c r="I2010" s="7" t="str">
        <f t="shared" si="124"/>
        <v>61001003000</v>
      </c>
      <c r="J2010" s="7" t="str">
        <f t="shared" si="125"/>
        <v>Материал по ЕГРН</v>
      </c>
      <c r="K2010" s="7">
        <f>VLOOKUP(J2010,Лист2!A$2:B$4,2,FALSE)</f>
        <v>792</v>
      </c>
      <c r="L2010" s="7" t="str">
        <f t="shared" si="126"/>
        <v>ГОТОВ_ИЗМЕНЕН</v>
      </c>
      <c r="M2010" s="7">
        <f t="shared" si="127"/>
        <v>0</v>
      </c>
    </row>
    <row r="2011" spans="1:13" x14ac:dyDescent="0.25">
      <c r="A2011" s="1">
        <v>943988</v>
      </c>
      <c r="B2011" s="6" t="s">
        <v>2132</v>
      </c>
      <c r="F2011" s="6" t="s">
        <v>9</v>
      </c>
      <c r="G2011" s="6" t="s">
        <v>34</v>
      </c>
      <c r="H2011" s="9" t="s">
        <v>35</v>
      </c>
      <c r="I2011" s="7" t="str">
        <f t="shared" si="124"/>
        <v>61001002000</v>
      </c>
      <c r="J2011" s="7" t="str">
        <f t="shared" si="125"/>
        <v>Материал по ЕГРН</v>
      </c>
      <c r="K2011" s="7">
        <f>VLOOKUP(J2011,Лист2!A$2:B$4,2,FALSE)</f>
        <v>792</v>
      </c>
      <c r="L2011" s="7" t="str">
        <f t="shared" si="126"/>
        <v>ГОТОВ_ИЗМЕНЕН</v>
      </c>
      <c r="M2011" s="7">
        <f t="shared" si="127"/>
        <v>0</v>
      </c>
    </row>
    <row r="2012" spans="1:13" x14ac:dyDescent="0.25">
      <c r="A2012" s="1">
        <v>944000</v>
      </c>
      <c r="B2012" s="6" t="s">
        <v>2133</v>
      </c>
      <c r="F2012" s="6" t="s">
        <v>9</v>
      </c>
      <c r="G2012" s="6" t="s">
        <v>10</v>
      </c>
      <c r="H2012" s="9" t="s">
        <v>11</v>
      </c>
      <c r="I2012" s="7" t="str">
        <f t="shared" si="124"/>
        <v>61001003000</v>
      </c>
      <c r="J2012" s="7" t="str">
        <f t="shared" si="125"/>
        <v>Материал по ЕГРН</v>
      </c>
      <c r="K2012" s="7">
        <f>VLOOKUP(J2012,Лист2!A$2:B$4,2,FALSE)</f>
        <v>792</v>
      </c>
      <c r="L2012" s="7" t="str">
        <f t="shared" si="126"/>
        <v>ГОТОВ_ИЗМЕНЕН</v>
      </c>
      <c r="M2012" s="7">
        <f t="shared" si="127"/>
        <v>0</v>
      </c>
    </row>
    <row r="2013" spans="1:13" x14ac:dyDescent="0.25">
      <c r="A2013" s="1">
        <v>944012</v>
      </c>
      <c r="B2013" s="6" t="s">
        <v>2134</v>
      </c>
      <c r="F2013" s="6" t="s">
        <v>9</v>
      </c>
      <c r="G2013" s="6" t="s">
        <v>454</v>
      </c>
      <c r="H2013" s="9" t="s">
        <v>455</v>
      </c>
      <c r="I2013" s="7" t="str">
        <f t="shared" si="124"/>
        <v>61001003000</v>
      </c>
      <c r="J2013" s="7" t="str">
        <f t="shared" si="125"/>
        <v>Смешанные по допущению</v>
      </c>
      <c r="K2013" s="7">
        <f>VLOOKUP(J2013,Лист2!A$2:B$4,2,FALSE)</f>
        <v>793</v>
      </c>
      <c r="L2013" s="7" t="str">
        <f t="shared" si="126"/>
        <v>ГОТОВ_ИЗМЕНЕН</v>
      </c>
      <c r="M2013" s="7">
        <f t="shared" si="127"/>
        <v>0</v>
      </c>
    </row>
    <row r="2014" spans="1:13" x14ac:dyDescent="0.25">
      <c r="A2014" s="1">
        <v>944024</v>
      </c>
      <c r="B2014" s="6" t="s">
        <v>2135</v>
      </c>
      <c r="F2014" s="6" t="s">
        <v>9</v>
      </c>
      <c r="G2014" s="6" t="s">
        <v>59</v>
      </c>
      <c r="H2014" s="9" t="s">
        <v>60</v>
      </c>
      <c r="I2014" s="7" t="str">
        <f t="shared" si="124"/>
        <v>61001001001</v>
      </c>
      <c r="J2014" s="7" t="str">
        <f t="shared" si="125"/>
        <v>Материал по ЕГРН</v>
      </c>
      <c r="K2014" s="7">
        <f>VLOOKUP(J2014,Лист2!A$2:B$4,2,FALSE)</f>
        <v>792</v>
      </c>
      <c r="L2014" s="7" t="str">
        <f t="shared" si="126"/>
        <v>ГОТОВ_ИЗМЕНЕН</v>
      </c>
      <c r="M2014" s="7">
        <f t="shared" si="127"/>
        <v>0</v>
      </c>
    </row>
    <row r="2015" spans="1:13" x14ac:dyDescent="0.25">
      <c r="A2015" s="1">
        <v>944036</v>
      </c>
      <c r="B2015" s="6" t="s">
        <v>2136</v>
      </c>
      <c r="F2015" s="6" t="s">
        <v>9</v>
      </c>
      <c r="G2015" s="6" t="s">
        <v>38</v>
      </c>
      <c r="H2015" s="9" t="s">
        <v>33</v>
      </c>
      <c r="I2015" s="7" t="str">
        <f t="shared" si="124"/>
        <v>61001005000</v>
      </c>
      <c r="J2015" s="7" t="str">
        <f t="shared" si="125"/>
        <v>Материал по ЕГРН</v>
      </c>
      <c r="K2015" s="7">
        <f>VLOOKUP(J2015,Лист2!A$2:B$4,2,FALSE)</f>
        <v>792</v>
      </c>
      <c r="L2015" s="7" t="str">
        <f t="shared" si="126"/>
        <v>ГОТОВ_ИЗМЕНЕН</v>
      </c>
      <c r="M2015" s="7">
        <f t="shared" si="127"/>
        <v>0</v>
      </c>
    </row>
    <row r="2016" spans="1:13" x14ac:dyDescent="0.25">
      <c r="A2016" s="1">
        <v>944048</v>
      </c>
      <c r="B2016" s="6" t="s">
        <v>2137</v>
      </c>
      <c r="F2016" s="6" t="s">
        <v>9</v>
      </c>
      <c r="G2016" s="6" t="s">
        <v>38</v>
      </c>
      <c r="H2016" s="9" t="s">
        <v>33</v>
      </c>
      <c r="I2016" s="7" t="str">
        <f t="shared" si="124"/>
        <v>61001005000</v>
      </c>
      <c r="J2016" s="7" t="str">
        <f t="shared" si="125"/>
        <v>Материал по ЕГРН</v>
      </c>
      <c r="K2016" s="7">
        <f>VLOOKUP(J2016,Лист2!A$2:B$4,2,FALSE)</f>
        <v>792</v>
      </c>
      <c r="L2016" s="7" t="str">
        <f t="shared" si="126"/>
        <v>ГОТОВ_ИЗМЕНЕН</v>
      </c>
      <c r="M2016" s="7">
        <f t="shared" si="127"/>
        <v>0</v>
      </c>
    </row>
    <row r="2017" spans="1:13" x14ac:dyDescent="0.25">
      <c r="A2017" s="1">
        <v>944060</v>
      </c>
      <c r="B2017" s="6" t="s">
        <v>2138</v>
      </c>
      <c r="F2017" s="6" t="s">
        <v>9</v>
      </c>
      <c r="G2017" s="6" t="s">
        <v>34</v>
      </c>
      <c r="H2017" s="9" t="s">
        <v>35</v>
      </c>
      <c r="I2017" s="7" t="str">
        <f t="shared" si="124"/>
        <v>61001002000</v>
      </c>
      <c r="J2017" s="7" t="str">
        <f t="shared" si="125"/>
        <v>Материал по ЕГРН</v>
      </c>
      <c r="K2017" s="7">
        <f>VLOOKUP(J2017,Лист2!A$2:B$4,2,FALSE)</f>
        <v>792</v>
      </c>
      <c r="L2017" s="7" t="str">
        <f t="shared" si="126"/>
        <v>ГОТОВ_ИЗМЕНЕН</v>
      </c>
      <c r="M2017" s="7">
        <f t="shared" si="127"/>
        <v>0</v>
      </c>
    </row>
    <row r="2018" spans="1:13" x14ac:dyDescent="0.25">
      <c r="A2018" s="1">
        <v>944072</v>
      </c>
      <c r="B2018" s="6" t="s">
        <v>2139</v>
      </c>
      <c r="F2018" s="6" t="s">
        <v>9</v>
      </c>
      <c r="G2018" s="6" t="s">
        <v>43</v>
      </c>
      <c r="H2018" s="9" t="s">
        <v>42</v>
      </c>
      <c r="I2018" s="7" t="str">
        <f t="shared" si="124"/>
        <v>61001002001</v>
      </c>
      <c r="J2018" s="7" t="str">
        <f t="shared" si="125"/>
        <v>Материал по ЕГРН</v>
      </c>
      <c r="K2018" s="7">
        <f>VLOOKUP(J2018,Лист2!A$2:B$4,2,FALSE)</f>
        <v>792</v>
      </c>
      <c r="L2018" s="7" t="str">
        <f t="shared" si="126"/>
        <v>ГОТОВ_ИЗМЕНЕН</v>
      </c>
      <c r="M2018" s="7">
        <f t="shared" si="127"/>
        <v>0</v>
      </c>
    </row>
    <row r="2019" spans="1:13" x14ac:dyDescent="0.25">
      <c r="A2019" s="1">
        <v>944084</v>
      </c>
      <c r="B2019" s="6" t="s">
        <v>2140</v>
      </c>
      <c r="F2019" s="6" t="s">
        <v>9</v>
      </c>
      <c r="G2019" s="6" t="s">
        <v>38</v>
      </c>
      <c r="H2019" s="9" t="s">
        <v>33</v>
      </c>
      <c r="I2019" s="7" t="str">
        <f t="shared" si="124"/>
        <v>61001005000</v>
      </c>
      <c r="J2019" s="7" t="str">
        <f t="shared" si="125"/>
        <v>Материал по ЕГРН</v>
      </c>
      <c r="K2019" s="7">
        <f>VLOOKUP(J2019,Лист2!A$2:B$4,2,FALSE)</f>
        <v>792</v>
      </c>
      <c r="L2019" s="7" t="str">
        <f t="shared" si="126"/>
        <v>ГОТОВ_ИЗМЕНЕН</v>
      </c>
      <c r="M2019" s="7">
        <f t="shared" si="127"/>
        <v>0</v>
      </c>
    </row>
    <row r="2020" spans="1:13" x14ac:dyDescent="0.25">
      <c r="A2020" s="1">
        <v>944096</v>
      </c>
      <c r="B2020" s="6" t="s">
        <v>2141</v>
      </c>
      <c r="F2020" s="6" t="s">
        <v>9</v>
      </c>
      <c r="G2020" s="6" t="s">
        <v>149</v>
      </c>
      <c r="H2020" s="9" t="s">
        <v>150</v>
      </c>
      <c r="I2020" s="7" t="str">
        <f t="shared" si="124"/>
        <v>61001007000</v>
      </c>
      <c r="J2020" s="7" t="str">
        <f t="shared" si="125"/>
        <v>Материал по ЕГРН</v>
      </c>
      <c r="K2020" s="7">
        <f>VLOOKUP(J2020,Лист2!A$2:B$4,2,FALSE)</f>
        <v>792</v>
      </c>
      <c r="L2020" s="7" t="str">
        <f t="shared" si="126"/>
        <v>ГОТОВ_ИЗМЕНЕН</v>
      </c>
      <c r="M2020" s="7">
        <f t="shared" si="127"/>
        <v>0</v>
      </c>
    </row>
    <row r="2021" spans="1:13" x14ac:dyDescent="0.25">
      <c r="A2021" s="1">
        <v>944108</v>
      </c>
      <c r="B2021" s="6" t="s">
        <v>2142</v>
      </c>
      <c r="F2021" s="6" t="s">
        <v>9</v>
      </c>
      <c r="G2021" s="6" t="s">
        <v>38</v>
      </c>
      <c r="H2021" s="9" t="s">
        <v>33</v>
      </c>
      <c r="I2021" s="7" t="str">
        <f t="shared" si="124"/>
        <v>61001005000</v>
      </c>
      <c r="J2021" s="7" t="str">
        <f t="shared" si="125"/>
        <v>Материал по ЕГРН</v>
      </c>
      <c r="K2021" s="7">
        <f>VLOOKUP(J2021,Лист2!A$2:B$4,2,FALSE)</f>
        <v>792</v>
      </c>
      <c r="L2021" s="7" t="str">
        <f t="shared" si="126"/>
        <v>ГОТОВ_ИЗМЕНЕН</v>
      </c>
      <c r="M2021" s="7">
        <f t="shared" si="127"/>
        <v>0</v>
      </c>
    </row>
    <row r="2022" spans="1:13" x14ac:dyDescent="0.25">
      <c r="A2022" s="1">
        <v>944120</v>
      </c>
      <c r="B2022" s="6" t="s">
        <v>2143</v>
      </c>
      <c r="F2022" s="6" t="s">
        <v>9</v>
      </c>
      <c r="G2022" s="6" t="s">
        <v>10</v>
      </c>
      <c r="H2022" s="9" t="s">
        <v>11</v>
      </c>
      <c r="I2022" s="7" t="str">
        <f t="shared" si="124"/>
        <v>61001003000</v>
      </c>
      <c r="J2022" s="7" t="str">
        <f t="shared" si="125"/>
        <v>Материал по ЕГРН</v>
      </c>
      <c r="K2022" s="7">
        <f>VLOOKUP(J2022,Лист2!A$2:B$4,2,FALSE)</f>
        <v>792</v>
      </c>
      <c r="L2022" s="7" t="str">
        <f t="shared" si="126"/>
        <v>ГОТОВ_ИЗМЕНЕН</v>
      </c>
      <c r="M2022" s="7">
        <f t="shared" si="127"/>
        <v>0</v>
      </c>
    </row>
    <row r="2023" spans="1:13" x14ac:dyDescent="0.25">
      <c r="A2023" s="1">
        <v>944132</v>
      </c>
      <c r="B2023" s="6" t="s">
        <v>2144</v>
      </c>
      <c r="F2023" s="6" t="s">
        <v>9</v>
      </c>
      <c r="G2023" s="6" t="s">
        <v>38</v>
      </c>
      <c r="H2023" s="9" t="s">
        <v>33</v>
      </c>
      <c r="I2023" s="7" t="str">
        <f t="shared" si="124"/>
        <v>61001005000</v>
      </c>
      <c r="J2023" s="7" t="str">
        <f t="shared" si="125"/>
        <v>Материал по ЕГРН</v>
      </c>
      <c r="K2023" s="7">
        <f>VLOOKUP(J2023,Лист2!A$2:B$4,2,FALSE)</f>
        <v>792</v>
      </c>
      <c r="L2023" s="7" t="str">
        <f t="shared" si="126"/>
        <v>ГОТОВ_ИЗМЕНЕН</v>
      </c>
      <c r="M2023" s="7">
        <f t="shared" si="127"/>
        <v>0</v>
      </c>
    </row>
    <row r="2024" spans="1:13" x14ac:dyDescent="0.25">
      <c r="A2024" s="1">
        <v>944144</v>
      </c>
      <c r="B2024" s="6" t="s">
        <v>2145</v>
      </c>
      <c r="F2024" s="6" t="s">
        <v>9</v>
      </c>
      <c r="G2024" s="6" t="s">
        <v>10</v>
      </c>
      <c r="H2024" s="9" t="s">
        <v>11</v>
      </c>
      <c r="I2024" s="7" t="str">
        <f t="shared" si="124"/>
        <v>61001003000</v>
      </c>
      <c r="J2024" s="7" t="str">
        <f t="shared" si="125"/>
        <v>Материал по ЕГРН</v>
      </c>
      <c r="K2024" s="7">
        <f>VLOOKUP(J2024,Лист2!A$2:B$4,2,FALSE)</f>
        <v>792</v>
      </c>
      <c r="L2024" s="7" t="str">
        <f t="shared" si="126"/>
        <v>ГОТОВ_ИЗМЕНЕН</v>
      </c>
      <c r="M2024" s="7">
        <f t="shared" si="127"/>
        <v>0</v>
      </c>
    </row>
    <row r="2025" spans="1:13" x14ac:dyDescent="0.25">
      <c r="A2025" s="1">
        <v>944156</v>
      </c>
      <c r="B2025" s="6" t="s">
        <v>2146</v>
      </c>
      <c r="F2025" s="6" t="s">
        <v>9</v>
      </c>
      <c r="G2025" s="6" t="s">
        <v>180</v>
      </c>
      <c r="H2025" s="9" t="s">
        <v>181</v>
      </c>
      <c r="I2025" s="7" t="str">
        <f t="shared" si="124"/>
        <v>61001009000</v>
      </c>
      <c r="J2025" s="7" t="str">
        <f t="shared" si="125"/>
        <v>Материал по ЕГРН</v>
      </c>
      <c r="K2025" s="7">
        <f>VLOOKUP(J2025,Лист2!A$2:B$4,2,FALSE)</f>
        <v>792</v>
      </c>
      <c r="L2025" s="7" t="str">
        <f t="shared" si="126"/>
        <v>ГОТОВ_ИЗМЕНЕН</v>
      </c>
      <c r="M2025" s="7">
        <f t="shared" si="127"/>
        <v>0</v>
      </c>
    </row>
    <row r="2026" spans="1:13" x14ac:dyDescent="0.25">
      <c r="A2026" s="1">
        <v>944168</v>
      </c>
      <c r="B2026" s="6" t="s">
        <v>2147</v>
      </c>
      <c r="F2026" s="6" t="s">
        <v>9</v>
      </c>
      <c r="G2026" s="6" t="s">
        <v>59</v>
      </c>
      <c r="H2026" s="9" t="s">
        <v>60</v>
      </c>
      <c r="I2026" s="7" t="str">
        <f t="shared" si="124"/>
        <v>61001001001</v>
      </c>
      <c r="J2026" s="7" t="str">
        <f t="shared" si="125"/>
        <v>Материал по ЕГРН</v>
      </c>
      <c r="K2026" s="7">
        <f>VLOOKUP(J2026,Лист2!A$2:B$4,2,FALSE)</f>
        <v>792</v>
      </c>
      <c r="L2026" s="7" t="str">
        <f t="shared" si="126"/>
        <v>ГОТОВ_ИЗМЕНЕН</v>
      </c>
      <c r="M2026" s="7">
        <f t="shared" si="127"/>
        <v>0</v>
      </c>
    </row>
    <row r="2027" spans="1:13" x14ac:dyDescent="0.25">
      <c r="A2027" s="1">
        <v>944180</v>
      </c>
      <c r="B2027" s="6" t="s">
        <v>2148</v>
      </c>
      <c r="F2027" s="6" t="s">
        <v>9</v>
      </c>
      <c r="G2027" s="6" t="s">
        <v>125</v>
      </c>
      <c r="H2027" s="9" t="s">
        <v>126</v>
      </c>
      <c r="I2027" s="7" t="str">
        <f t="shared" si="124"/>
        <v>61001007004</v>
      </c>
      <c r="J2027" s="7" t="str">
        <f t="shared" si="125"/>
        <v>Материал по ЕГРН</v>
      </c>
      <c r="K2027" s="7">
        <f>VLOOKUP(J2027,Лист2!A$2:B$4,2,FALSE)</f>
        <v>792</v>
      </c>
      <c r="L2027" s="7" t="str">
        <f t="shared" si="126"/>
        <v>ГОТОВ_ИЗМЕНЕН</v>
      </c>
      <c r="M2027" s="7">
        <f t="shared" si="127"/>
        <v>0</v>
      </c>
    </row>
    <row r="2028" spans="1:13" x14ac:dyDescent="0.25">
      <c r="A2028" s="1">
        <v>944192</v>
      </c>
      <c r="B2028" s="6" t="s">
        <v>2149</v>
      </c>
      <c r="F2028" s="6" t="s">
        <v>9</v>
      </c>
      <c r="G2028" s="6" t="s">
        <v>90</v>
      </c>
      <c r="H2028" s="9" t="s">
        <v>12</v>
      </c>
      <c r="I2028" s="7" t="str">
        <f t="shared" si="124"/>
        <v>61001008000</v>
      </c>
      <c r="J2028" s="7" t="str">
        <f t="shared" si="125"/>
        <v>Материал по ЕГРН</v>
      </c>
      <c r="K2028" s="7">
        <f>VLOOKUP(J2028,Лист2!A$2:B$4,2,FALSE)</f>
        <v>792</v>
      </c>
      <c r="L2028" s="7" t="str">
        <f t="shared" si="126"/>
        <v>ГОТОВ_ИЗМЕНЕН</v>
      </c>
      <c r="M2028" s="7">
        <f t="shared" si="127"/>
        <v>0</v>
      </c>
    </row>
    <row r="2029" spans="1:13" x14ac:dyDescent="0.25">
      <c r="A2029" s="1">
        <v>944204</v>
      </c>
      <c r="B2029" s="6" t="s">
        <v>2150</v>
      </c>
      <c r="F2029" s="6" t="s">
        <v>9</v>
      </c>
      <c r="G2029" s="6" t="s">
        <v>73</v>
      </c>
      <c r="H2029" s="9" t="s">
        <v>74</v>
      </c>
      <c r="I2029" s="7" t="str">
        <f t="shared" si="124"/>
        <v>61001006000</v>
      </c>
      <c r="J2029" s="7" t="str">
        <f t="shared" si="125"/>
        <v>Материал по ЕГРН</v>
      </c>
      <c r="K2029" s="7">
        <f>VLOOKUP(J2029,Лист2!A$2:B$4,2,FALSE)</f>
        <v>792</v>
      </c>
      <c r="L2029" s="7" t="str">
        <f t="shared" si="126"/>
        <v>ГОТОВ_ИЗМЕНЕН</v>
      </c>
      <c r="M2029" s="7">
        <f t="shared" si="127"/>
        <v>0</v>
      </c>
    </row>
    <row r="2030" spans="1:13" x14ac:dyDescent="0.25">
      <c r="A2030" s="1">
        <v>944216</v>
      </c>
      <c r="B2030" s="6" t="s">
        <v>2151</v>
      </c>
      <c r="F2030" s="6" t="s">
        <v>9</v>
      </c>
      <c r="G2030" s="6" t="s">
        <v>38</v>
      </c>
      <c r="H2030" s="9" t="s">
        <v>33</v>
      </c>
      <c r="I2030" s="7" t="str">
        <f t="shared" si="124"/>
        <v>61001005000</v>
      </c>
      <c r="J2030" s="7" t="str">
        <f t="shared" si="125"/>
        <v>Материал по ЕГРН</v>
      </c>
      <c r="K2030" s="7">
        <f>VLOOKUP(J2030,Лист2!A$2:B$4,2,FALSE)</f>
        <v>792</v>
      </c>
      <c r="L2030" s="7" t="str">
        <f t="shared" si="126"/>
        <v>ГОТОВ_ИЗМЕНЕН</v>
      </c>
      <c r="M2030" s="7">
        <f t="shared" si="127"/>
        <v>0</v>
      </c>
    </row>
    <row r="2031" spans="1:13" x14ac:dyDescent="0.25">
      <c r="A2031" s="1">
        <v>944228</v>
      </c>
      <c r="B2031" s="6" t="s">
        <v>2152</v>
      </c>
      <c r="F2031" s="6" t="s">
        <v>9</v>
      </c>
      <c r="G2031" s="6" t="s">
        <v>10</v>
      </c>
      <c r="H2031" s="9" t="s">
        <v>11</v>
      </c>
      <c r="I2031" s="7" t="str">
        <f t="shared" si="124"/>
        <v>61001003000</v>
      </c>
      <c r="J2031" s="7" t="str">
        <f t="shared" si="125"/>
        <v>Материал по ЕГРН</v>
      </c>
      <c r="K2031" s="7">
        <f>VLOOKUP(J2031,Лист2!A$2:B$4,2,FALSE)</f>
        <v>792</v>
      </c>
      <c r="L2031" s="7" t="str">
        <f t="shared" si="126"/>
        <v>ГОТОВ_ИЗМЕНЕН</v>
      </c>
      <c r="M2031" s="7">
        <f t="shared" si="127"/>
        <v>0</v>
      </c>
    </row>
    <row r="2032" spans="1:13" x14ac:dyDescent="0.25">
      <c r="A2032" s="1">
        <v>944240</v>
      </c>
      <c r="B2032" s="6" t="s">
        <v>2153</v>
      </c>
      <c r="F2032" s="6" t="s">
        <v>9</v>
      </c>
      <c r="G2032" s="6" t="s">
        <v>38</v>
      </c>
      <c r="H2032" s="9" t="s">
        <v>33</v>
      </c>
      <c r="I2032" s="7" t="str">
        <f t="shared" si="124"/>
        <v>61001005000</v>
      </c>
      <c r="J2032" s="7" t="str">
        <f t="shared" si="125"/>
        <v>Материал по ЕГРН</v>
      </c>
      <c r="K2032" s="7">
        <f>VLOOKUP(J2032,Лист2!A$2:B$4,2,FALSE)</f>
        <v>792</v>
      </c>
      <c r="L2032" s="7" t="str">
        <f t="shared" si="126"/>
        <v>ГОТОВ_ИЗМЕНЕН</v>
      </c>
      <c r="M2032" s="7">
        <f t="shared" si="127"/>
        <v>0</v>
      </c>
    </row>
    <row r="2033" spans="1:13" x14ac:dyDescent="0.25">
      <c r="A2033" s="1">
        <v>944252</v>
      </c>
      <c r="B2033" s="6" t="s">
        <v>2154</v>
      </c>
      <c r="F2033" s="6" t="s">
        <v>9</v>
      </c>
      <c r="G2033" s="6" t="s">
        <v>778</v>
      </c>
      <c r="H2033" s="9" t="s">
        <v>779</v>
      </c>
      <c r="I2033" s="7" t="str">
        <f t="shared" si="124"/>
        <v>61001003002</v>
      </c>
      <c r="J2033" s="7" t="str">
        <f t="shared" si="125"/>
        <v>Материал по ЕГРН</v>
      </c>
      <c r="K2033" s="7">
        <f>VLOOKUP(J2033,Лист2!A$2:B$4,2,FALSE)</f>
        <v>792</v>
      </c>
      <c r="L2033" s="7" t="str">
        <f t="shared" si="126"/>
        <v>ГОТОВ_ИЗМЕНЕН</v>
      </c>
      <c r="M2033" s="7">
        <f t="shared" si="127"/>
        <v>0</v>
      </c>
    </row>
    <row r="2034" spans="1:13" x14ac:dyDescent="0.25">
      <c r="A2034" s="1">
        <v>944264</v>
      </c>
      <c r="B2034" s="6" t="s">
        <v>2155</v>
      </c>
      <c r="F2034" s="6" t="s">
        <v>9</v>
      </c>
      <c r="G2034" s="6" t="s">
        <v>10</v>
      </c>
      <c r="H2034" s="9" t="s">
        <v>11</v>
      </c>
      <c r="I2034" s="7" t="str">
        <f t="shared" si="124"/>
        <v>61001003000</v>
      </c>
      <c r="J2034" s="7" t="str">
        <f t="shared" si="125"/>
        <v>Материал по ЕГРН</v>
      </c>
      <c r="K2034" s="7">
        <f>VLOOKUP(J2034,Лист2!A$2:B$4,2,FALSE)</f>
        <v>792</v>
      </c>
      <c r="L2034" s="7" t="str">
        <f t="shared" si="126"/>
        <v>ГОТОВ_ИЗМЕНЕН</v>
      </c>
      <c r="M2034" s="7">
        <f t="shared" si="127"/>
        <v>0</v>
      </c>
    </row>
    <row r="2035" spans="1:13" x14ac:dyDescent="0.25">
      <c r="A2035" s="1">
        <v>944276</v>
      </c>
      <c r="B2035" s="6" t="s">
        <v>2156</v>
      </c>
      <c r="F2035" s="6" t="s">
        <v>9</v>
      </c>
      <c r="G2035" s="6" t="s">
        <v>43</v>
      </c>
      <c r="H2035" s="9" t="s">
        <v>42</v>
      </c>
      <c r="I2035" s="7" t="str">
        <f t="shared" si="124"/>
        <v>61001002001</v>
      </c>
      <c r="J2035" s="7" t="str">
        <f t="shared" si="125"/>
        <v>Материал по ЕГРН</v>
      </c>
      <c r="K2035" s="7">
        <f>VLOOKUP(J2035,Лист2!A$2:B$4,2,FALSE)</f>
        <v>792</v>
      </c>
      <c r="L2035" s="7" t="str">
        <f t="shared" si="126"/>
        <v>ГОТОВ_ИЗМЕНЕН</v>
      </c>
      <c r="M2035" s="7">
        <f t="shared" si="127"/>
        <v>0</v>
      </c>
    </row>
    <row r="2036" spans="1:13" x14ac:dyDescent="0.25">
      <c r="A2036" s="1">
        <v>158001</v>
      </c>
      <c r="B2036" s="6" t="s">
        <v>2157</v>
      </c>
      <c r="C2036" s="9" t="s">
        <v>33</v>
      </c>
      <c r="D2036" s="6" t="s">
        <v>20</v>
      </c>
      <c r="E2036" s="6" t="s">
        <v>37</v>
      </c>
      <c r="F2036" s="6" t="s">
        <v>9</v>
      </c>
      <c r="G2036" s="6" t="s">
        <v>38</v>
      </c>
      <c r="H2036" s="9" t="s">
        <v>33</v>
      </c>
      <c r="I2036" s="7" t="str">
        <f t="shared" si="124"/>
        <v>61001005000</v>
      </c>
      <c r="J2036" s="7" t="str">
        <f t="shared" si="125"/>
        <v>Материал по ЕГРН</v>
      </c>
      <c r="K2036" s="7">
        <f>VLOOKUP(J2036,Лист2!A$2:B$4,2,FALSE)</f>
        <v>792</v>
      </c>
      <c r="L2036" s="7" t="str">
        <f t="shared" si="126"/>
        <v>ГОТОВ</v>
      </c>
      <c r="M2036" s="7" t="str">
        <f t="shared" si="127"/>
        <v>61001005000</v>
      </c>
    </row>
    <row r="2037" spans="1:13" x14ac:dyDescent="0.25">
      <c r="A2037" s="1">
        <v>378802</v>
      </c>
      <c r="B2037" s="6" t="s">
        <v>2158</v>
      </c>
      <c r="C2037" s="9" t="s">
        <v>60</v>
      </c>
      <c r="D2037" s="6" t="s">
        <v>20</v>
      </c>
      <c r="E2037" s="6" t="s">
        <v>37</v>
      </c>
      <c r="F2037" s="6" t="s">
        <v>9</v>
      </c>
      <c r="G2037" s="6" t="s">
        <v>59</v>
      </c>
      <c r="H2037" s="9" t="s">
        <v>60</v>
      </c>
      <c r="I2037" s="7" t="str">
        <f t="shared" si="124"/>
        <v>61001001001</v>
      </c>
      <c r="J2037" s="7" t="str">
        <f t="shared" si="125"/>
        <v>Материал по ЕГРН</v>
      </c>
      <c r="K2037" s="7">
        <f>VLOOKUP(J2037,Лист2!A$2:B$4,2,FALSE)</f>
        <v>792</v>
      </c>
      <c r="L2037" s="7" t="str">
        <f t="shared" si="126"/>
        <v>ГОТОВ</v>
      </c>
      <c r="M2037" s="7" t="str">
        <f t="shared" si="127"/>
        <v>61001001001</v>
      </c>
    </row>
    <row r="2038" spans="1:13" x14ac:dyDescent="0.25">
      <c r="A2038" s="1">
        <v>787982</v>
      </c>
      <c r="B2038" s="6" t="s">
        <v>2159</v>
      </c>
      <c r="C2038" s="9" t="s">
        <v>33</v>
      </c>
      <c r="D2038" s="6" t="s">
        <v>20</v>
      </c>
      <c r="E2038" s="6" t="s">
        <v>37</v>
      </c>
      <c r="F2038" s="6" t="s">
        <v>9</v>
      </c>
      <c r="G2038" s="6" t="s">
        <v>38</v>
      </c>
      <c r="H2038" s="9" t="s">
        <v>33</v>
      </c>
      <c r="I2038" s="7" t="str">
        <f t="shared" si="124"/>
        <v>61001005000</v>
      </c>
      <c r="J2038" s="7" t="str">
        <f t="shared" si="125"/>
        <v>Материал по ЕГРН</v>
      </c>
      <c r="K2038" s="7">
        <f>VLOOKUP(J2038,Лист2!A$2:B$4,2,FALSE)</f>
        <v>792</v>
      </c>
      <c r="L2038" s="7" t="str">
        <f t="shared" si="126"/>
        <v>ГОТОВ</v>
      </c>
      <c r="M2038" s="7" t="str">
        <f t="shared" si="127"/>
        <v>61001005000</v>
      </c>
    </row>
    <row r="2039" spans="1:13" x14ac:dyDescent="0.25">
      <c r="A2039" s="1">
        <v>945781</v>
      </c>
      <c r="B2039" s="6" t="s">
        <v>2160</v>
      </c>
      <c r="F2039" s="6" t="s">
        <v>9</v>
      </c>
      <c r="G2039" s="6" t="s">
        <v>34</v>
      </c>
      <c r="H2039" s="9" t="s">
        <v>35</v>
      </c>
      <c r="I2039" s="7" t="str">
        <f t="shared" si="124"/>
        <v>61001002000</v>
      </c>
      <c r="J2039" s="7" t="str">
        <f t="shared" si="125"/>
        <v>Материал по ЕГРН</v>
      </c>
      <c r="K2039" s="7">
        <f>VLOOKUP(J2039,Лист2!A$2:B$4,2,FALSE)</f>
        <v>792</v>
      </c>
      <c r="L2039" s="7" t="str">
        <f t="shared" si="126"/>
        <v>ГОТОВ_ИЗМЕНЕН</v>
      </c>
      <c r="M2039" s="7">
        <f t="shared" si="127"/>
        <v>0</v>
      </c>
    </row>
    <row r="2040" spans="1:13" x14ac:dyDescent="0.25">
      <c r="A2040" s="1">
        <v>945793</v>
      </c>
      <c r="B2040" s="6" t="s">
        <v>2161</v>
      </c>
      <c r="F2040" s="6" t="s">
        <v>9</v>
      </c>
      <c r="G2040" s="6" t="s">
        <v>10</v>
      </c>
      <c r="H2040" s="9" t="s">
        <v>11</v>
      </c>
      <c r="I2040" s="7" t="str">
        <f t="shared" si="124"/>
        <v>61001003000</v>
      </c>
      <c r="J2040" s="7" t="str">
        <f t="shared" si="125"/>
        <v>Материал по ЕГРН</v>
      </c>
      <c r="K2040" s="7">
        <f>VLOOKUP(J2040,Лист2!A$2:B$4,2,FALSE)</f>
        <v>792</v>
      </c>
      <c r="L2040" s="7" t="str">
        <f t="shared" si="126"/>
        <v>ГОТОВ_ИЗМЕНЕН</v>
      </c>
      <c r="M2040" s="7">
        <f t="shared" si="127"/>
        <v>0</v>
      </c>
    </row>
    <row r="2041" spans="1:13" x14ac:dyDescent="0.25">
      <c r="A2041" s="1">
        <v>945805</v>
      </c>
      <c r="B2041" s="6" t="s">
        <v>2162</v>
      </c>
      <c r="F2041" s="6" t="s">
        <v>9</v>
      </c>
      <c r="G2041" s="6" t="s">
        <v>73</v>
      </c>
      <c r="H2041" s="9" t="s">
        <v>74</v>
      </c>
      <c r="I2041" s="7" t="str">
        <f t="shared" si="124"/>
        <v>61001006000</v>
      </c>
      <c r="J2041" s="7" t="str">
        <f t="shared" si="125"/>
        <v>Материал по ЕГРН</v>
      </c>
      <c r="K2041" s="7">
        <f>VLOOKUP(J2041,Лист2!A$2:B$4,2,FALSE)</f>
        <v>792</v>
      </c>
      <c r="L2041" s="7" t="str">
        <f t="shared" si="126"/>
        <v>ГОТОВ_ИЗМЕНЕН</v>
      </c>
      <c r="M2041" s="7">
        <f t="shared" si="127"/>
        <v>0</v>
      </c>
    </row>
    <row r="2042" spans="1:13" x14ac:dyDescent="0.25">
      <c r="A2042" s="1">
        <v>945817</v>
      </c>
      <c r="B2042" s="6" t="s">
        <v>2163</v>
      </c>
      <c r="F2042" s="6" t="s">
        <v>9</v>
      </c>
      <c r="G2042" s="6" t="s">
        <v>804</v>
      </c>
      <c r="H2042" s="9" t="s">
        <v>805</v>
      </c>
      <c r="I2042" s="7" t="str">
        <f t="shared" si="124"/>
        <v>61001003000</v>
      </c>
      <c r="J2042" s="7" t="str">
        <f t="shared" si="125"/>
        <v>Смешанные по допущению</v>
      </c>
      <c r="K2042" s="7">
        <f>VLOOKUP(J2042,Лист2!A$2:B$4,2,FALSE)</f>
        <v>793</v>
      </c>
      <c r="L2042" s="7" t="str">
        <f t="shared" si="126"/>
        <v>ГОТОВ_ИЗМЕНЕН</v>
      </c>
      <c r="M2042" s="7">
        <f t="shared" si="127"/>
        <v>0</v>
      </c>
    </row>
    <row r="2043" spans="1:13" x14ac:dyDescent="0.25">
      <c r="A2043" s="1">
        <v>945829</v>
      </c>
      <c r="B2043" s="6" t="s">
        <v>2164</v>
      </c>
      <c r="F2043" s="6" t="s">
        <v>9</v>
      </c>
      <c r="G2043" s="6" t="s">
        <v>34</v>
      </c>
      <c r="H2043" s="9" t="s">
        <v>35</v>
      </c>
      <c r="I2043" s="7" t="str">
        <f t="shared" si="124"/>
        <v>61001002000</v>
      </c>
      <c r="J2043" s="7" t="str">
        <f t="shared" si="125"/>
        <v>Материал по ЕГРН</v>
      </c>
      <c r="K2043" s="7">
        <f>VLOOKUP(J2043,Лист2!A$2:B$4,2,FALSE)</f>
        <v>792</v>
      </c>
      <c r="L2043" s="7" t="str">
        <f t="shared" si="126"/>
        <v>ГОТОВ_ИЗМЕНЕН</v>
      </c>
      <c r="M2043" s="7">
        <f t="shared" si="127"/>
        <v>0</v>
      </c>
    </row>
    <row r="2044" spans="1:13" x14ac:dyDescent="0.25">
      <c r="A2044" s="1">
        <v>256385</v>
      </c>
      <c r="B2044" s="6" t="s">
        <v>2165</v>
      </c>
      <c r="C2044" s="9" t="s">
        <v>33</v>
      </c>
      <c r="D2044" s="6" t="s">
        <v>20</v>
      </c>
      <c r="E2044" s="6" t="s">
        <v>37</v>
      </c>
      <c r="F2044" s="6" t="s">
        <v>9</v>
      </c>
      <c r="G2044" s="6" t="s">
        <v>38</v>
      </c>
      <c r="H2044" s="9" t="s">
        <v>33</v>
      </c>
      <c r="I2044" s="7" t="str">
        <f t="shared" si="124"/>
        <v>61001005000</v>
      </c>
      <c r="J2044" s="7" t="str">
        <f t="shared" si="125"/>
        <v>Материал по ЕГРН</v>
      </c>
      <c r="K2044" s="7">
        <f>VLOOKUP(J2044,Лист2!A$2:B$4,2,FALSE)</f>
        <v>792</v>
      </c>
      <c r="L2044" s="7" t="str">
        <f t="shared" si="126"/>
        <v>ГОТОВ</v>
      </c>
      <c r="M2044" s="7" t="str">
        <f t="shared" si="127"/>
        <v>61001005000</v>
      </c>
    </row>
    <row r="2045" spans="1:13" x14ac:dyDescent="0.25">
      <c r="A2045" s="1">
        <v>510106</v>
      </c>
      <c r="B2045" s="6" t="s">
        <v>2166</v>
      </c>
      <c r="C2045" s="9" t="s">
        <v>33</v>
      </c>
      <c r="D2045" s="6" t="s">
        <v>20</v>
      </c>
      <c r="E2045" s="6" t="s">
        <v>37</v>
      </c>
      <c r="F2045" s="6" t="s">
        <v>9</v>
      </c>
      <c r="G2045" s="6" t="s">
        <v>38</v>
      </c>
      <c r="H2045" s="9" t="s">
        <v>33</v>
      </c>
      <c r="I2045" s="7" t="str">
        <f t="shared" si="124"/>
        <v>61001005000</v>
      </c>
      <c r="J2045" s="7" t="str">
        <f t="shared" si="125"/>
        <v>Материал по ЕГРН</v>
      </c>
      <c r="K2045" s="7">
        <f>VLOOKUP(J2045,Лист2!A$2:B$4,2,FALSE)</f>
        <v>792</v>
      </c>
      <c r="L2045" s="7" t="str">
        <f t="shared" si="126"/>
        <v>ГОТОВ</v>
      </c>
      <c r="M2045" s="7" t="str">
        <f t="shared" si="127"/>
        <v>61001005000</v>
      </c>
    </row>
    <row r="2046" spans="1:13" x14ac:dyDescent="0.25">
      <c r="A2046" s="1">
        <v>524283</v>
      </c>
      <c r="B2046" s="6" t="s">
        <v>2167</v>
      </c>
      <c r="C2046" s="9" t="s">
        <v>33</v>
      </c>
      <c r="D2046" s="6" t="s">
        <v>20</v>
      </c>
      <c r="E2046" s="6" t="s">
        <v>37</v>
      </c>
      <c r="F2046" s="6" t="s">
        <v>9</v>
      </c>
      <c r="G2046" s="6" t="s">
        <v>38</v>
      </c>
      <c r="H2046" s="9" t="s">
        <v>33</v>
      </c>
      <c r="I2046" s="7" t="str">
        <f t="shared" si="124"/>
        <v>61001005000</v>
      </c>
      <c r="J2046" s="7" t="str">
        <f t="shared" si="125"/>
        <v>Материал по ЕГРН</v>
      </c>
      <c r="K2046" s="7">
        <f>VLOOKUP(J2046,Лист2!A$2:B$4,2,FALSE)</f>
        <v>792</v>
      </c>
      <c r="L2046" s="7" t="str">
        <f t="shared" si="126"/>
        <v>ГОТОВ</v>
      </c>
      <c r="M2046" s="7" t="str">
        <f t="shared" si="127"/>
        <v>61001005000</v>
      </c>
    </row>
    <row r="2047" spans="1:13" x14ac:dyDescent="0.25">
      <c r="A2047" s="1">
        <v>531004</v>
      </c>
      <c r="B2047" s="6" t="s">
        <v>2168</v>
      </c>
      <c r="C2047" s="9" t="s">
        <v>33</v>
      </c>
      <c r="D2047" s="6" t="s">
        <v>20</v>
      </c>
      <c r="E2047" s="6" t="s">
        <v>37</v>
      </c>
      <c r="F2047" s="6" t="s">
        <v>9</v>
      </c>
      <c r="G2047" s="6" t="s">
        <v>38</v>
      </c>
      <c r="H2047" s="9" t="s">
        <v>33</v>
      </c>
      <c r="I2047" s="7" t="str">
        <f t="shared" si="124"/>
        <v>61001005000</v>
      </c>
      <c r="J2047" s="7" t="str">
        <f t="shared" si="125"/>
        <v>Материал по ЕГРН</v>
      </c>
      <c r="K2047" s="7">
        <f>VLOOKUP(J2047,Лист2!A$2:B$4,2,FALSE)</f>
        <v>792</v>
      </c>
      <c r="L2047" s="7" t="str">
        <f t="shared" si="126"/>
        <v>ГОТОВ</v>
      </c>
      <c r="M2047" s="7" t="str">
        <f t="shared" si="127"/>
        <v>61001005000</v>
      </c>
    </row>
    <row r="2048" spans="1:13" x14ac:dyDescent="0.25">
      <c r="A2048" s="1">
        <v>597241</v>
      </c>
      <c r="B2048" s="6" t="s">
        <v>2169</v>
      </c>
      <c r="C2048" s="9" t="s">
        <v>33</v>
      </c>
      <c r="D2048" s="6" t="s">
        <v>20</v>
      </c>
      <c r="E2048" s="6" t="s">
        <v>8</v>
      </c>
      <c r="F2048" s="6" t="s">
        <v>9</v>
      </c>
      <c r="G2048" s="6" t="s">
        <v>59</v>
      </c>
      <c r="H2048" s="9" t="s">
        <v>60</v>
      </c>
      <c r="I2048" s="7" t="str">
        <f t="shared" si="124"/>
        <v>61001001001</v>
      </c>
      <c r="J2048" s="7" t="str">
        <f t="shared" si="125"/>
        <v>Материал по ЕГРН</v>
      </c>
      <c r="K2048" s="7">
        <f>VLOOKUP(J2048,Лист2!A$2:B$4,2,FALSE)</f>
        <v>792</v>
      </c>
      <c r="L2048" s="7" t="str">
        <f t="shared" si="126"/>
        <v>ГОТОВ_ИЗМЕНЕН</v>
      </c>
      <c r="M2048" s="7" t="str">
        <f t="shared" si="127"/>
        <v>61001005000</v>
      </c>
    </row>
    <row r="2049" spans="1:13" x14ac:dyDescent="0.25">
      <c r="A2049" s="1">
        <v>851048</v>
      </c>
      <c r="B2049" s="6" t="s">
        <v>2170</v>
      </c>
      <c r="C2049" s="9" t="s">
        <v>33</v>
      </c>
      <c r="D2049" s="6" t="s">
        <v>20</v>
      </c>
      <c r="E2049" s="6" t="s">
        <v>37</v>
      </c>
      <c r="F2049" s="6" t="s">
        <v>9</v>
      </c>
      <c r="G2049" s="6" t="s">
        <v>38</v>
      </c>
      <c r="H2049" s="9" t="s">
        <v>33</v>
      </c>
      <c r="I2049" s="7" t="str">
        <f t="shared" si="124"/>
        <v>61001005000</v>
      </c>
      <c r="J2049" s="7" t="str">
        <f t="shared" si="125"/>
        <v>Материал по ЕГРН</v>
      </c>
      <c r="K2049" s="7">
        <f>VLOOKUP(J2049,Лист2!A$2:B$4,2,FALSE)</f>
        <v>792</v>
      </c>
      <c r="L2049" s="7" t="str">
        <f t="shared" si="126"/>
        <v>ГОТОВ</v>
      </c>
      <c r="M2049" s="7" t="str">
        <f t="shared" si="127"/>
        <v>61001005000</v>
      </c>
    </row>
    <row r="2050" spans="1:13" x14ac:dyDescent="0.25">
      <c r="A2050" s="1">
        <v>212654</v>
      </c>
      <c r="B2050" s="6" t="s">
        <v>2171</v>
      </c>
      <c r="C2050" s="9" t="s">
        <v>33</v>
      </c>
      <c r="D2050" s="6" t="s">
        <v>20</v>
      </c>
      <c r="E2050" s="6" t="s">
        <v>37</v>
      </c>
      <c r="F2050" s="6" t="s">
        <v>9</v>
      </c>
      <c r="G2050" s="6" t="s">
        <v>38</v>
      </c>
      <c r="H2050" s="9" t="s">
        <v>33</v>
      </c>
      <c r="I2050" s="7" t="str">
        <f t="shared" si="124"/>
        <v>61001005000</v>
      </c>
      <c r="J2050" s="7" t="str">
        <f t="shared" si="125"/>
        <v>Материал по ЕГРН</v>
      </c>
      <c r="K2050" s="7">
        <f>VLOOKUP(J2050,Лист2!A$2:B$4,2,FALSE)</f>
        <v>792</v>
      </c>
      <c r="L2050" s="7" t="str">
        <f t="shared" si="126"/>
        <v>ГОТОВ</v>
      </c>
      <c r="M2050" s="7" t="str">
        <f t="shared" si="127"/>
        <v>61001005000</v>
      </c>
    </row>
    <row r="2051" spans="1:13" x14ac:dyDescent="0.25">
      <c r="A2051" s="1">
        <v>280448</v>
      </c>
      <c r="B2051" s="6" t="s">
        <v>2172</v>
      </c>
      <c r="C2051" s="9" t="s">
        <v>12</v>
      </c>
      <c r="D2051" s="6" t="s">
        <v>20</v>
      </c>
      <c r="E2051" s="6" t="s">
        <v>37</v>
      </c>
      <c r="F2051" s="6" t="s">
        <v>9</v>
      </c>
      <c r="G2051" s="6" t="s">
        <v>90</v>
      </c>
      <c r="H2051" s="9" t="s">
        <v>12</v>
      </c>
      <c r="I2051" s="7" t="str">
        <f t="shared" si="124"/>
        <v>61001008000</v>
      </c>
      <c r="J2051" s="7" t="str">
        <f t="shared" si="125"/>
        <v>Материал по ЕГРН</v>
      </c>
      <c r="K2051" s="7">
        <f>VLOOKUP(J2051,Лист2!A$2:B$4,2,FALSE)</f>
        <v>792</v>
      </c>
      <c r="L2051" s="7" t="str">
        <f t="shared" si="126"/>
        <v>ГОТОВ</v>
      </c>
      <c r="M2051" s="7" t="str">
        <f t="shared" si="127"/>
        <v>61001008000</v>
      </c>
    </row>
    <row r="2052" spans="1:13" x14ac:dyDescent="0.25">
      <c r="A2052" s="1">
        <v>540962</v>
      </c>
      <c r="B2052" s="6" t="s">
        <v>2173</v>
      </c>
      <c r="C2052" s="9" t="s">
        <v>33</v>
      </c>
      <c r="D2052" s="6" t="s">
        <v>20</v>
      </c>
      <c r="E2052" s="6" t="s">
        <v>37</v>
      </c>
      <c r="F2052" s="6" t="s">
        <v>9</v>
      </c>
      <c r="G2052" s="6" t="s">
        <v>38</v>
      </c>
      <c r="H2052" s="9" t="s">
        <v>33</v>
      </c>
      <c r="I2052" s="7" t="str">
        <f t="shared" si="124"/>
        <v>61001005000</v>
      </c>
      <c r="J2052" s="7" t="str">
        <f t="shared" si="125"/>
        <v>Материал по ЕГРН</v>
      </c>
      <c r="K2052" s="7">
        <f>VLOOKUP(J2052,Лист2!A$2:B$4,2,FALSE)</f>
        <v>792</v>
      </c>
      <c r="L2052" s="7" t="str">
        <f t="shared" si="126"/>
        <v>ГОТОВ</v>
      </c>
      <c r="M2052" s="7" t="str">
        <f t="shared" si="127"/>
        <v>61001005000</v>
      </c>
    </row>
    <row r="2053" spans="1:13" x14ac:dyDescent="0.25">
      <c r="A2053" s="1">
        <v>679698</v>
      </c>
      <c r="B2053" s="6" t="s">
        <v>2174</v>
      </c>
      <c r="C2053" s="9" t="s">
        <v>33</v>
      </c>
      <c r="D2053" s="6" t="s">
        <v>20</v>
      </c>
      <c r="E2053" s="6" t="s">
        <v>37</v>
      </c>
      <c r="F2053" s="6" t="s">
        <v>9</v>
      </c>
      <c r="G2053" s="6" t="s">
        <v>38</v>
      </c>
      <c r="H2053" s="9" t="s">
        <v>33</v>
      </c>
      <c r="I2053" s="7" t="str">
        <f t="shared" ref="I2053:I2116" si="128">IF(LEN(H2053)=11,H2053,IF(LEN(H2053)=0,"61001005000","61001003000"))</f>
        <v>61001005000</v>
      </c>
      <c r="J2053" s="7" t="str">
        <f t="shared" ref="J2053:J2116" si="129">IF(LEN(H2053)=11,"Материал по ЕГРН",IF(LEN(H2053)=0,"Прочие по допущению","Смешанные по допущению"))</f>
        <v>Материал по ЕГРН</v>
      </c>
      <c r="K2053" s="7">
        <f>VLOOKUP(J2053,Лист2!A$2:B$4,2,FALSE)</f>
        <v>792</v>
      </c>
      <c r="L2053" s="7" t="str">
        <f t="shared" ref="L2053:L2116" si="130">IF(I2053=C2053,"ГОТОВ","ГОТОВ_ИЗМЕНЕН")</f>
        <v>ГОТОВ</v>
      </c>
      <c r="M2053" s="7" t="str">
        <f t="shared" ref="M2053:M2116" si="131">C2053</f>
        <v>61001005000</v>
      </c>
    </row>
    <row r="2054" spans="1:13" x14ac:dyDescent="0.25">
      <c r="A2054" s="1">
        <v>241206</v>
      </c>
      <c r="B2054" s="6" t="s">
        <v>2175</v>
      </c>
      <c r="C2054" s="9" t="s">
        <v>33</v>
      </c>
      <c r="D2054" s="6" t="s">
        <v>20</v>
      </c>
      <c r="E2054" s="6" t="s">
        <v>37</v>
      </c>
      <c r="F2054" s="6" t="s">
        <v>9</v>
      </c>
      <c r="G2054" s="6" t="s">
        <v>38</v>
      </c>
      <c r="H2054" s="9" t="s">
        <v>33</v>
      </c>
      <c r="I2054" s="7" t="str">
        <f t="shared" si="128"/>
        <v>61001005000</v>
      </c>
      <c r="J2054" s="7" t="str">
        <f t="shared" si="129"/>
        <v>Материал по ЕГРН</v>
      </c>
      <c r="K2054" s="7">
        <f>VLOOKUP(J2054,Лист2!A$2:B$4,2,FALSE)</f>
        <v>792</v>
      </c>
      <c r="L2054" s="7" t="str">
        <f t="shared" si="130"/>
        <v>ГОТОВ</v>
      </c>
      <c r="M2054" s="7" t="str">
        <f t="shared" si="131"/>
        <v>61001005000</v>
      </c>
    </row>
    <row r="2055" spans="1:13" x14ac:dyDescent="0.25">
      <c r="A2055" s="1">
        <v>553318</v>
      </c>
      <c r="B2055" s="6" t="s">
        <v>2176</v>
      </c>
      <c r="C2055" s="9" t="s">
        <v>42</v>
      </c>
      <c r="D2055" s="6" t="s">
        <v>20</v>
      </c>
      <c r="E2055" s="6" t="s">
        <v>8</v>
      </c>
      <c r="F2055" s="6" t="s">
        <v>9</v>
      </c>
      <c r="G2055" s="6" t="s">
        <v>10</v>
      </c>
      <c r="H2055" s="9" t="s">
        <v>11</v>
      </c>
      <c r="I2055" s="7" t="str">
        <f t="shared" si="128"/>
        <v>61001003000</v>
      </c>
      <c r="J2055" s="7" t="str">
        <f t="shared" si="129"/>
        <v>Материал по ЕГРН</v>
      </c>
      <c r="K2055" s="7">
        <f>VLOOKUP(J2055,Лист2!A$2:B$4,2,FALSE)</f>
        <v>792</v>
      </c>
      <c r="L2055" s="7" t="str">
        <f t="shared" si="130"/>
        <v>ГОТОВ_ИЗМЕНЕН</v>
      </c>
      <c r="M2055" s="7" t="str">
        <f t="shared" si="131"/>
        <v>61001002001</v>
      </c>
    </row>
    <row r="2056" spans="1:13" x14ac:dyDescent="0.25">
      <c r="A2056" s="1">
        <v>787510</v>
      </c>
      <c r="B2056" s="6" t="s">
        <v>2177</v>
      </c>
      <c r="C2056" s="9" t="s">
        <v>33</v>
      </c>
      <c r="D2056" s="6" t="s">
        <v>20</v>
      </c>
      <c r="E2056" s="6" t="s">
        <v>37</v>
      </c>
      <c r="F2056" s="6" t="s">
        <v>9</v>
      </c>
      <c r="G2056" s="6" t="s">
        <v>38</v>
      </c>
      <c r="H2056" s="9" t="s">
        <v>33</v>
      </c>
      <c r="I2056" s="7" t="str">
        <f t="shared" si="128"/>
        <v>61001005000</v>
      </c>
      <c r="J2056" s="7" t="str">
        <f t="shared" si="129"/>
        <v>Материал по ЕГРН</v>
      </c>
      <c r="K2056" s="7">
        <f>VLOOKUP(J2056,Лист2!A$2:B$4,2,FALSE)</f>
        <v>792</v>
      </c>
      <c r="L2056" s="7" t="str">
        <f t="shared" si="130"/>
        <v>ГОТОВ</v>
      </c>
      <c r="M2056" s="7" t="str">
        <f t="shared" si="131"/>
        <v>61001005000</v>
      </c>
    </row>
    <row r="2057" spans="1:13" x14ac:dyDescent="0.25">
      <c r="A2057" s="1">
        <v>907429</v>
      </c>
      <c r="B2057" s="6" t="s">
        <v>2178</v>
      </c>
      <c r="C2057" s="9" t="s">
        <v>12</v>
      </c>
      <c r="D2057" s="6" t="s">
        <v>14</v>
      </c>
      <c r="E2057" s="6" t="s">
        <v>37</v>
      </c>
      <c r="F2057" s="6" t="s">
        <v>9</v>
      </c>
      <c r="G2057" s="6" t="s">
        <v>90</v>
      </c>
      <c r="H2057" s="9" t="s">
        <v>12</v>
      </c>
      <c r="I2057" s="7" t="str">
        <f t="shared" si="128"/>
        <v>61001008000</v>
      </c>
      <c r="J2057" s="7" t="str">
        <f t="shared" si="129"/>
        <v>Материал по ЕГРН</v>
      </c>
      <c r="K2057" s="7">
        <f>VLOOKUP(J2057,Лист2!A$2:B$4,2,FALSE)</f>
        <v>792</v>
      </c>
      <c r="L2057" s="7" t="str">
        <f t="shared" si="130"/>
        <v>ГОТОВ</v>
      </c>
      <c r="M2057" s="7" t="str">
        <f t="shared" si="131"/>
        <v>61001008000</v>
      </c>
    </row>
    <row r="2058" spans="1:13" x14ac:dyDescent="0.25">
      <c r="A2058" s="1">
        <v>943426</v>
      </c>
      <c r="B2058" s="6" t="s">
        <v>2179</v>
      </c>
      <c r="F2058" s="6" t="s">
        <v>9</v>
      </c>
      <c r="G2058" s="6" t="s">
        <v>59</v>
      </c>
      <c r="H2058" s="9" t="s">
        <v>60</v>
      </c>
      <c r="I2058" s="7" t="str">
        <f t="shared" si="128"/>
        <v>61001001001</v>
      </c>
      <c r="J2058" s="7" t="str">
        <f t="shared" si="129"/>
        <v>Материал по ЕГРН</v>
      </c>
      <c r="K2058" s="7">
        <f>VLOOKUP(J2058,Лист2!A$2:B$4,2,FALSE)</f>
        <v>792</v>
      </c>
      <c r="L2058" s="7" t="str">
        <f t="shared" si="130"/>
        <v>ГОТОВ_ИЗМЕНЕН</v>
      </c>
      <c r="M2058" s="7">
        <f t="shared" si="131"/>
        <v>0</v>
      </c>
    </row>
    <row r="2059" spans="1:13" x14ac:dyDescent="0.25">
      <c r="A2059" s="1">
        <v>943438</v>
      </c>
      <c r="B2059" s="6" t="s">
        <v>2180</v>
      </c>
      <c r="F2059" s="6" t="s">
        <v>9</v>
      </c>
      <c r="G2059" s="6" t="s">
        <v>34</v>
      </c>
      <c r="H2059" s="9" t="s">
        <v>35</v>
      </c>
      <c r="I2059" s="7" t="str">
        <f t="shared" si="128"/>
        <v>61001002000</v>
      </c>
      <c r="J2059" s="7" t="str">
        <f t="shared" si="129"/>
        <v>Материал по ЕГРН</v>
      </c>
      <c r="K2059" s="7">
        <f>VLOOKUP(J2059,Лист2!A$2:B$4,2,FALSE)</f>
        <v>792</v>
      </c>
      <c r="L2059" s="7" t="str">
        <f t="shared" si="130"/>
        <v>ГОТОВ_ИЗМЕНЕН</v>
      </c>
      <c r="M2059" s="7">
        <f t="shared" si="131"/>
        <v>0</v>
      </c>
    </row>
    <row r="2060" spans="1:13" x14ac:dyDescent="0.25">
      <c r="A2060" s="1">
        <v>943450</v>
      </c>
      <c r="B2060" s="6" t="s">
        <v>2181</v>
      </c>
      <c r="F2060" s="6" t="s">
        <v>9</v>
      </c>
      <c r="G2060" s="6" t="s">
        <v>38</v>
      </c>
      <c r="H2060" s="9" t="s">
        <v>33</v>
      </c>
      <c r="I2060" s="7" t="str">
        <f t="shared" si="128"/>
        <v>61001005000</v>
      </c>
      <c r="J2060" s="7" t="str">
        <f t="shared" si="129"/>
        <v>Материал по ЕГРН</v>
      </c>
      <c r="K2060" s="7">
        <f>VLOOKUP(J2060,Лист2!A$2:B$4,2,FALSE)</f>
        <v>792</v>
      </c>
      <c r="L2060" s="7" t="str">
        <f t="shared" si="130"/>
        <v>ГОТОВ_ИЗМЕНЕН</v>
      </c>
      <c r="M2060" s="7">
        <f t="shared" si="131"/>
        <v>0</v>
      </c>
    </row>
    <row r="2061" spans="1:13" x14ac:dyDescent="0.25">
      <c r="A2061" s="1">
        <v>943462</v>
      </c>
      <c r="B2061" s="6" t="s">
        <v>2182</v>
      </c>
      <c r="F2061" s="6" t="s">
        <v>9</v>
      </c>
      <c r="G2061" s="6" t="s">
        <v>38</v>
      </c>
      <c r="H2061" s="9" t="s">
        <v>33</v>
      </c>
      <c r="I2061" s="7" t="str">
        <f t="shared" si="128"/>
        <v>61001005000</v>
      </c>
      <c r="J2061" s="7" t="str">
        <f t="shared" si="129"/>
        <v>Материал по ЕГРН</v>
      </c>
      <c r="K2061" s="7">
        <f>VLOOKUP(J2061,Лист2!A$2:B$4,2,FALSE)</f>
        <v>792</v>
      </c>
      <c r="L2061" s="7" t="str">
        <f t="shared" si="130"/>
        <v>ГОТОВ_ИЗМЕНЕН</v>
      </c>
      <c r="M2061" s="7">
        <f t="shared" si="131"/>
        <v>0</v>
      </c>
    </row>
    <row r="2062" spans="1:13" x14ac:dyDescent="0.25">
      <c r="A2062" s="1">
        <v>943474</v>
      </c>
      <c r="B2062" s="6" t="s">
        <v>2183</v>
      </c>
      <c r="F2062" s="6" t="s">
        <v>9</v>
      </c>
      <c r="G2062" s="6" t="s">
        <v>59</v>
      </c>
      <c r="H2062" s="9" t="s">
        <v>60</v>
      </c>
      <c r="I2062" s="7" t="str">
        <f t="shared" si="128"/>
        <v>61001001001</v>
      </c>
      <c r="J2062" s="7" t="str">
        <f t="shared" si="129"/>
        <v>Материал по ЕГРН</v>
      </c>
      <c r="K2062" s="7">
        <f>VLOOKUP(J2062,Лист2!A$2:B$4,2,FALSE)</f>
        <v>792</v>
      </c>
      <c r="L2062" s="7" t="str">
        <f t="shared" si="130"/>
        <v>ГОТОВ_ИЗМЕНЕН</v>
      </c>
      <c r="M2062" s="7">
        <f t="shared" si="131"/>
        <v>0</v>
      </c>
    </row>
    <row r="2063" spans="1:13" x14ac:dyDescent="0.25">
      <c r="A2063" s="1">
        <v>943486</v>
      </c>
      <c r="B2063" s="6" t="s">
        <v>2184</v>
      </c>
      <c r="F2063" s="6" t="s">
        <v>9</v>
      </c>
      <c r="G2063" s="6" t="s">
        <v>73</v>
      </c>
      <c r="H2063" s="9" t="s">
        <v>74</v>
      </c>
      <c r="I2063" s="7" t="str">
        <f t="shared" si="128"/>
        <v>61001006000</v>
      </c>
      <c r="J2063" s="7" t="str">
        <f t="shared" si="129"/>
        <v>Материал по ЕГРН</v>
      </c>
      <c r="K2063" s="7">
        <f>VLOOKUP(J2063,Лист2!A$2:B$4,2,FALSE)</f>
        <v>792</v>
      </c>
      <c r="L2063" s="7" t="str">
        <f t="shared" si="130"/>
        <v>ГОТОВ_ИЗМЕНЕН</v>
      </c>
      <c r="M2063" s="7">
        <f t="shared" si="131"/>
        <v>0</v>
      </c>
    </row>
    <row r="2064" spans="1:13" x14ac:dyDescent="0.25">
      <c r="A2064" s="1">
        <v>943498</v>
      </c>
      <c r="B2064" s="6" t="s">
        <v>2185</v>
      </c>
      <c r="F2064" s="6" t="s">
        <v>9</v>
      </c>
      <c r="G2064" s="6" t="s">
        <v>34</v>
      </c>
      <c r="H2064" s="9" t="s">
        <v>35</v>
      </c>
      <c r="I2064" s="7" t="str">
        <f t="shared" si="128"/>
        <v>61001002000</v>
      </c>
      <c r="J2064" s="7" t="str">
        <f t="shared" si="129"/>
        <v>Материал по ЕГРН</v>
      </c>
      <c r="K2064" s="7">
        <f>VLOOKUP(J2064,Лист2!A$2:B$4,2,FALSE)</f>
        <v>792</v>
      </c>
      <c r="L2064" s="7" t="str">
        <f t="shared" si="130"/>
        <v>ГОТОВ_ИЗМЕНЕН</v>
      </c>
      <c r="M2064" s="7">
        <f t="shared" si="131"/>
        <v>0</v>
      </c>
    </row>
    <row r="2065" spans="1:13" x14ac:dyDescent="0.25">
      <c r="A2065" s="1">
        <v>943510</v>
      </c>
      <c r="B2065" s="6" t="s">
        <v>2186</v>
      </c>
      <c r="F2065" s="6" t="s">
        <v>9</v>
      </c>
      <c r="G2065" s="6" t="s">
        <v>34</v>
      </c>
      <c r="H2065" s="9" t="s">
        <v>35</v>
      </c>
      <c r="I2065" s="7" t="str">
        <f t="shared" si="128"/>
        <v>61001002000</v>
      </c>
      <c r="J2065" s="7" t="str">
        <f t="shared" si="129"/>
        <v>Материал по ЕГРН</v>
      </c>
      <c r="K2065" s="7">
        <f>VLOOKUP(J2065,Лист2!A$2:B$4,2,FALSE)</f>
        <v>792</v>
      </c>
      <c r="L2065" s="7" t="str">
        <f t="shared" si="130"/>
        <v>ГОТОВ_ИЗМЕНЕН</v>
      </c>
      <c r="M2065" s="7">
        <f t="shared" si="131"/>
        <v>0</v>
      </c>
    </row>
    <row r="2066" spans="1:13" x14ac:dyDescent="0.25">
      <c r="A2066" s="1">
        <v>943522</v>
      </c>
      <c r="B2066" s="6" t="s">
        <v>2187</v>
      </c>
      <c r="F2066" s="6" t="s">
        <v>9</v>
      </c>
      <c r="G2066" s="6" t="s">
        <v>38</v>
      </c>
      <c r="H2066" s="9" t="s">
        <v>33</v>
      </c>
      <c r="I2066" s="7" t="str">
        <f t="shared" si="128"/>
        <v>61001005000</v>
      </c>
      <c r="J2066" s="7" t="str">
        <f t="shared" si="129"/>
        <v>Материал по ЕГРН</v>
      </c>
      <c r="K2066" s="7">
        <f>VLOOKUP(J2066,Лист2!A$2:B$4,2,FALSE)</f>
        <v>792</v>
      </c>
      <c r="L2066" s="7" t="str">
        <f t="shared" si="130"/>
        <v>ГОТОВ_ИЗМЕНЕН</v>
      </c>
      <c r="M2066" s="7">
        <f t="shared" si="131"/>
        <v>0</v>
      </c>
    </row>
    <row r="2067" spans="1:13" x14ac:dyDescent="0.25">
      <c r="A2067" s="1">
        <v>943534</v>
      </c>
      <c r="B2067" s="6" t="s">
        <v>2188</v>
      </c>
      <c r="F2067" s="6" t="s">
        <v>9</v>
      </c>
      <c r="G2067" s="6" t="s">
        <v>62</v>
      </c>
      <c r="H2067" s="9" t="s">
        <v>63</v>
      </c>
      <c r="I2067" s="7" t="str">
        <f t="shared" si="128"/>
        <v>61001006002</v>
      </c>
      <c r="J2067" s="7" t="str">
        <f t="shared" si="129"/>
        <v>Материал по ЕГРН</v>
      </c>
      <c r="K2067" s="7">
        <f>VLOOKUP(J2067,Лист2!A$2:B$4,2,FALSE)</f>
        <v>792</v>
      </c>
      <c r="L2067" s="7" t="str">
        <f t="shared" si="130"/>
        <v>ГОТОВ_ИЗМЕНЕН</v>
      </c>
      <c r="M2067" s="7">
        <f t="shared" si="131"/>
        <v>0</v>
      </c>
    </row>
    <row r="2068" spans="1:13" x14ac:dyDescent="0.25">
      <c r="A2068" s="1">
        <v>943546</v>
      </c>
      <c r="B2068" s="6" t="s">
        <v>2189</v>
      </c>
      <c r="F2068" s="6" t="s">
        <v>9</v>
      </c>
      <c r="G2068" s="6" t="s">
        <v>149</v>
      </c>
      <c r="H2068" s="9" t="s">
        <v>150</v>
      </c>
      <c r="I2068" s="7" t="str">
        <f t="shared" si="128"/>
        <v>61001007000</v>
      </c>
      <c r="J2068" s="7" t="str">
        <f t="shared" si="129"/>
        <v>Материал по ЕГРН</v>
      </c>
      <c r="K2068" s="7">
        <f>VLOOKUP(J2068,Лист2!A$2:B$4,2,FALSE)</f>
        <v>792</v>
      </c>
      <c r="L2068" s="7" t="str">
        <f t="shared" si="130"/>
        <v>ГОТОВ_ИЗМЕНЕН</v>
      </c>
      <c r="M2068" s="7">
        <f t="shared" si="131"/>
        <v>0</v>
      </c>
    </row>
    <row r="2069" spans="1:13" x14ac:dyDescent="0.25">
      <c r="A2069" s="1">
        <v>943558</v>
      </c>
      <c r="B2069" s="6" t="s">
        <v>2190</v>
      </c>
      <c r="F2069" s="6" t="s">
        <v>9</v>
      </c>
      <c r="G2069" s="6" t="s">
        <v>10</v>
      </c>
      <c r="H2069" s="9" t="s">
        <v>11</v>
      </c>
      <c r="I2069" s="7" t="str">
        <f t="shared" si="128"/>
        <v>61001003000</v>
      </c>
      <c r="J2069" s="7" t="str">
        <f t="shared" si="129"/>
        <v>Материал по ЕГРН</v>
      </c>
      <c r="K2069" s="7">
        <f>VLOOKUP(J2069,Лист2!A$2:B$4,2,FALSE)</f>
        <v>792</v>
      </c>
      <c r="L2069" s="7" t="str">
        <f t="shared" si="130"/>
        <v>ГОТОВ_ИЗМЕНЕН</v>
      </c>
      <c r="M2069" s="7">
        <f t="shared" si="131"/>
        <v>0</v>
      </c>
    </row>
    <row r="2070" spans="1:13" x14ac:dyDescent="0.25">
      <c r="A2070" s="1">
        <v>943570</v>
      </c>
      <c r="B2070" s="6" t="s">
        <v>2191</v>
      </c>
      <c r="F2070" s="6" t="s">
        <v>9</v>
      </c>
      <c r="G2070" s="6" t="s">
        <v>10</v>
      </c>
      <c r="H2070" s="9" t="s">
        <v>11</v>
      </c>
      <c r="I2070" s="7" t="str">
        <f t="shared" si="128"/>
        <v>61001003000</v>
      </c>
      <c r="J2070" s="7" t="str">
        <f t="shared" si="129"/>
        <v>Материал по ЕГРН</v>
      </c>
      <c r="K2070" s="7">
        <f>VLOOKUP(J2070,Лист2!A$2:B$4,2,FALSE)</f>
        <v>792</v>
      </c>
      <c r="L2070" s="7" t="str">
        <f t="shared" si="130"/>
        <v>ГОТОВ_ИЗМЕНЕН</v>
      </c>
      <c r="M2070" s="7">
        <f t="shared" si="131"/>
        <v>0</v>
      </c>
    </row>
    <row r="2071" spans="1:13" x14ac:dyDescent="0.25">
      <c r="A2071" s="1">
        <v>943582</v>
      </c>
      <c r="B2071" s="6" t="s">
        <v>2192</v>
      </c>
      <c r="F2071" s="6" t="s">
        <v>9</v>
      </c>
      <c r="G2071" s="6" t="s">
        <v>38</v>
      </c>
      <c r="H2071" s="9" t="s">
        <v>33</v>
      </c>
      <c r="I2071" s="7" t="str">
        <f t="shared" si="128"/>
        <v>61001005000</v>
      </c>
      <c r="J2071" s="7" t="str">
        <f t="shared" si="129"/>
        <v>Материал по ЕГРН</v>
      </c>
      <c r="K2071" s="7">
        <f>VLOOKUP(J2071,Лист2!A$2:B$4,2,FALSE)</f>
        <v>792</v>
      </c>
      <c r="L2071" s="7" t="str">
        <f t="shared" si="130"/>
        <v>ГОТОВ_ИЗМЕНЕН</v>
      </c>
      <c r="M2071" s="7">
        <f t="shared" si="131"/>
        <v>0</v>
      </c>
    </row>
    <row r="2072" spans="1:13" x14ac:dyDescent="0.25">
      <c r="A2072" s="1">
        <v>943594</v>
      </c>
      <c r="B2072" s="6" t="s">
        <v>2193</v>
      </c>
      <c r="F2072" s="6" t="s">
        <v>9</v>
      </c>
      <c r="G2072" s="6" t="s">
        <v>34</v>
      </c>
      <c r="H2072" s="9" t="s">
        <v>35</v>
      </c>
      <c r="I2072" s="7" t="str">
        <f t="shared" si="128"/>
        <v>61001002000</v>
      </c>
      <c r="J2072" s="7" t="str">
        <f t="shared" si="129"/>
        <v>Материал по ЕГРН</v>
      </c>
      <c r="K2072" s="7">
        <f>VLOOKUP(J2072,Лист2!A$2:B$4,2,FALSE)</f>
        <v>792</v>
      </c>
      <c r="L2072" s="7" t="str">
        <f t="shared" si="130"/>
        <v>ГОТОВ_ИЗМЕНЕН</v>
      </c>
      <c r="M2072" s="7">
        <f t="shared" si="131"/>
        <v>0</v>
      </c>
    </row>
    <row r="2073" spans="1:13" x14ac:dyDescent="0.25">
      <c r="A2073" s="1">
        <v>943606</v>
      </c>
      <c r="B2073" s="6" t="s">
        <v>2194</v>
      </c>
      <c r="F2073" s="6" t="s">
        <v>9</v>
      </c>
      <c r="G2073" s="6" t="s">
        <v>38</v>
      </c>
      <c r="H2073" s="9" t="s">
        <v>33</v>
      </c>
      <c r="I2073" s="7" t="str">
        <f t="shared" si="128"/>
        <v>61001005000</v>
      </c>
      <c r="J2073" s="7" t="str">
        <f t="shared" si="129"/>
        <v>Материал по ЕГРН</v>
      </c>
      <c r="K2073" s="7">
        <f>VLOOKUP(J2073,Лист2!A$2:B$4,2,FALSE)</f>
        <v>792</v>
      </c>
      <c r="L2073" s="7" t="str">
        <f t="shared" si="130"/>
        <v>ГОТОВ_ИЗМЕНЕН</v>
      </c>
      <c r="M2073" s="7">
        <f t="shared" si="131"/>
        <v>0</v>
      </c>
    </row>
    <row r="2074" spans="1:13" x14ac:dyDescent="0.25">
      <c r="A2074" s="1">
        <v>943618</v>
      </c>
      <c r="B2074" s="6" t="s">
        <v>2195</v>
      </c>
      <c r="F2074" s="6" t="s">
        <v>9</v>
      </c>
      <c r="G2074" s="6" t="s">
        <v>139</v>
      </c>
      <c r="H2074" s="9" t="s">
        <v>140</v>
      </c>
      <c r="I2074" s="7" t="str">
        <f t="shared" si="128"/>
        <v>61001999000</v>
      </c>
      <c r="J2074" s="7" t="str">
        <f t="shared" si="129"/>
        <v>Материал по ЕГРН</v>
      </c>
      <c r="K2074" s="7">
        <f>VLOOKUP(J2074,Лист2!A$2:B$4,2,FALSE)</f>
        <v>792</v>
      </c>
      <c r="L2074" s="7" t="str">
        <f t="shared" si="130"/>
        <v>ГОТОВ_ИЗМЕНЕН</v>
      </c>
      <c r="M2074" s="7">
        <f t="shared" si="131"/>
        <v>0</v>
      </c>
    </row>
    <row r="2075" spans="1:13" x14ac:dyDescent="0.25">
      <c r="A2075" s="1">
        <v>120536</v>
      </c>
      <c r="B2075" s="6" t="s">
        <v>2196</v>
      </c>
      <c r="C2075" s="9" t="s">
        <v>42</v>
      </c>
      <c r="D2075" s="6" t="s">
        <v>20</v>
      </c>
      <c r="E2075" s="6" t="s">
        <v>37</v>
      </c>
      <c r="F2075" s="6" t="s">
        <v>9</v>
      </c>
      <c r="G2075" s="6" t="s">
        <v>43</v>
      </c>
      <c r="H2075" s="9" t="s">
        <v>42</v>
      </c>
      <c r="I2075" s="7" t="str">
        <f t="shared" si="128"/>
        <v>61001002001</v>
      </c>
      <c r="J2075" s="7" t="str">
        <f t="shared" si="129"/>
        <v>Материал по ЕГРН</v>
      </c>
      <c r="K2075" s="7">
        <f>VLOOKUP(J2075,Лист2!A$2:B$4,2,FALSE)</f>
        <v>792</v>
      </c>
      <c r="L2075" s="7" t="str">
        <f t="shared" si="130"/>
        <v>ГОТОВ</v>
      </c>
      <c r="M2075" s="7" t="str">
        <f t="shared" si="131"/>
        <v>61001002001</v>
      </c>
    </row>
    <row r="2076" spans="1:13" x14ac:dyDescent="0.25">
      <c r="A2076" s="1">
        <v>278966</v>
      </c>
      <c r="B2076" s="6" t="s">
        <v>2197</v>
      </c>
      <c r="C2076" s="9" t="s">
        <v>33</v>
      </c>
      <c r="D2076" s="6" t="s">
        <v>20</v>
      </c>
      <c r="E2076" s="6" t="s">
        <v>37</v>
      </c>
      <c r="F2076" s="6" t="s">
        <v>9</v>
      </c>
      <c r="G2076" s="6" t="s">
        <v>38</v>
      </c>
      <c r="H2076" s="9" t="s">
        <v>33</v>
      </c>
      <c r="I2076" s="7" t="str">
        <f t="shared" si="128"/>
        <v>61001005000</v>
      </c>
      <c r="J2076" s="7" t="str">
        <f t="shared" si="129"/>
        <v>Материал по ЕГРН</v>
      </c>
      <c r="K2076" s="7">
        <f>VLOOKUP(J2076,Лист2!A$2:B$4,2,FALSE)</f>
        <v>792</v>
      </c>
      <c r="L2076" s="7" t="str">
        <f t="shared" si="130"/>
        <v>ГОТОВ</v>
      </c>
      <c r="M2076" s="7" t="str">
        <f t="shared" si="131"/>
        <v>61001005000</v>
      </c>
    </row>
    <row r="2077" spans="1:13" x14ac:dyDescent="0.25">
      <c r="A2077" s="1">
        <v>520875</v>
      </c>
      <c r="B2077" s="6" t="s">
        <v>2198</v>
      </c>
      <c r="C2077" s="9" t="s">
        <v>33</v>
      </c>
      <c r="D2077" s="6" t="s">
        <v>20</v>
      </c>
      <c r="E2077" s="6" t="s">
        <v>37</v>
      </c>
      <c r="F2077" s="6" t="s">
        <v>9</v>
      </c>
      <c r="G2077" s="6" t="s">
        <v>38</v>
      </c>
      <c r="H2077" s="9" t="s">
        <v>33</v>
      </c>
      <c r="I2077" s="7" t="str">
        <f t="shared" si="128"/>
        <v>61001005000</v>
      </c>
      <c r="J2077" s="7" t="str">
        <f t="shared" si="129"/>
        <v>Материал по ЕГРН</v>
      </c>
      <c r="K2077" s="7">
        <f>VLOOKUP(J2077,Лист2!A$2:B$4,2,FALSE)</f>
        <v>792</v>
      </c>
      <c r="L2077" s="7" t="str">
        <f t="shared" si="130"/>
        <v>ГОТОВ</v>
      </c>
      <c r="M2077" s="7" t="str">
        <f t="shared" si="131"/>
        <v>61001005000</v>
      </c>
    </row>
    <row r="2078" spans="1:13" x14ac:dyDescent="0.25">
      <c r="A2078" s="1">
        <v>520964</v>
      </c>
      <c r="B2078" s="6" t="s">
        <v>2199</v>
      </c>
      <c r="C2078" s="9" t="s">
        <v>33</v>
      </c>
      <c r="D2078" s="6" t="s">
        <v>20</v>
      </c>
      <c r="E2078" s="6" t="s">
        <v>37</v>
      </c>
      <c r="F2078" s="6" t="s">
        <v>9</v>
      </c>
      <c r="G2078" s="6" t="s">
        <v>38</v>
      </c>
      <c r="H2078" s="9" t="s">
        <v>33</v>
      </c>
      <c r="I2078" s="7" t="str">
        <f t="shared" si="128"/>
        <v>61001005000</v>
      </c>
      <c r="J2078" s="7" t="str">
        <f t="shared" si="129"/>
        <v>Материал по ЕГРН</v>
      </c>
      <c r="K2078" s="7">
        <f>VLOOKUP(J2078,Лист2!A$2:B$4,2,FALSE)</f>
        <v>792</v>
      </c>
      <c r="L2078" s="7" t="str">
        <f t="shared" si="130"/>
        <v>ГОТОВ</v>
      </c>
      <c r="M2078" s="7" t="str">
        <f t="shared" si="131"/>
        <v>61001005000</v>
      </c>
    </row>
    <row r="2079" spans="1:13" x14ac:dyDescent="0.25">
      <c r="A2079" s="1">
        <v>580447</v>
      </c>
      <c r="B2079" s="6" t="s">
        <v>2200</v>
      </c>
      <c r="C2079" s="9" t="s">
        <v>33</v>
      </c>
      <c r="D2079" s="6" t="s">
        <v>20</v>
      </c>
      <c r="E2079" s="6" t="s">
        <v>37</v>
      </c>
      <c r="F2079" s="6" t="s">
        <v>9</v>
      </c>
      <c r="G2079" s="6" t="s">
        <v>38</v>
      </c>
      <c r="H2079" s="9" t="s">
        <v>33</v>
      </c>
      <c r="I2079" s="7" t="str">
        <f t="shared" si="128"/>
        <v>61001005000</v>
      </c>
      <c r="J2079" s="7" t="str">
        <f t="shared" si="129"/>
        <v>Материал по ЕГРН</v>
      </c>
      <c r="K2079" s="7">
        <f>VLOOKUP(J2079,Лист2!A$2:B$4,2,FALSE)</f>
        <v>792</v>
      </c>
      <c r="L2079" s="7" t="str">
        <f t="shared" si="130"/>
        <v>ГОТОВ</v>
      </c>
      <c r="M2079" s="7" t="str">
        <f t="shared" si="131"/>
        <v>61001005000</v>
      </c>
    </row>
    <row r="2080" spans="1:13" x14ac:dyDescent="0.25">
      <c r="A2080" s="1">
        <v>944643</v>
      </c>
      <c r="B2080" s="6" t="s">
        <v>2201</v>
      </c>
      <c r="F2080" s="6" t="s">
        <v>9</v>
      </c>
      <c r="G2080" s="6" t="s">
        <v>43</v>
      </c>
      <c r="H2080" s="9" t="s">
        <v>42</v>
      </c>
      <c r="I2080" s="7" t="str">
        <f t="shared" si="128"/>
        <v>61001002001</v>
      </c>
      <c r="J2080" s="7" t="str">
        <f t="shared" si="129"/>
        <v>Материал по ЕГРН</v>
      </c>
      <c r="K2080" s="7">
        <f>VLOOKUP(J2080,Лист2!A$2:B$4,2,FALSE)</f>
        <v>792</v>
      </c>
      <c r="L2080" s="7" t="str">
        <f t="shared" si="130"/>
        <v>ГОТОВ_ИЗМЕНЕН</v>
      </c>
      <c r="M2080" s="7">
        <f t="shared" si="131"/>
        <v>0</v>
      </c>
    </row>
    <row r="2081" spans="1:13" x14ac:dyDescent="0.25">
      <c r="A2081" s="1">
        <v>944655</v>
      </c>
      <c r="B2081" s="6" t="s">
        <v>2202</v>
      </c>
      <c r="F2081" s="6" t="s">
        <v>9</v>
      </c>
      <c r="G2081" s="6" t="s">
        <v>62</v>
      </c>
      <c r="H2081" s="9" t="s">
        <v>63</v>
      </c>
      <c r="I2081" s="7" t="str">
        <f t="shared" si="128"/>
        <v>61001006002</v>
      </c>
      <c r="J2081" s="7" t="str">
        <f t="shared" si="129"/>
        <v>Материал по ЕГРН</v>
      </c>
      <c r="K2081" s="7">
        <f>VLOOKUP(J2081,Лист2!A$2:B$4,2,FALSE)</f>
        <v>792</v>
      </c>
      <c r="L2081" s="7" t="str">
        <f t="shared" si="130"/>
        <v>ГОТОВ_ИЗМЕНЕН</v>
      </c>
      <c r="M2081" s="7">
        <f t="shared" si="131"/>
        <v>0</v>
      </c>
    </row>
    <row r="2082" spans="1:13" x14ac:dyDescent="0.25">
      <c r="A2082" s="1">
        <v>944667</v>
      </c>
      <c r="B2082" s="6" t="s">
        <v>2203</v>
      </c>
      <c r="F2082" s="6" t="s">
        <v>9</v>
      </c>
      <c r="G2082" s="6" t="s">
        <v>62</v>
      </c>
      <c r="H2082" s="9" t="s">
        <v>63</v>
      </c>
      <c r="I2082" s="7" t="str">
        <f t="shared" si="128"/>
        <v>61001006002</v>
      </c>
      <c r="J2082" s="7" t="str">
        <f t="shared" si="129"/>
        <v>Материал по ЕГРН</v>
      </c>
      <c r="K2082" s="7">
        <f>VLOOKUP(J2082,Лист2!A$2:B$4,2,FALSE)</f>
        <v>792</v>
      </c>
      <c r="L2082" s="7" t="str">
        <f t="shared" si="130"/>
        <v>ГОТОВ_ИЗМЕНЕН</v>
      </c>
      <c r="M2082" s="7">
        <f t="shared" si="131"/>
        <v>0</v>
      </c>
    </row>
    <row r="2083" spans="1:13" x14ac:dyDescent="0.25">
      <c r="A2083" s="1">
        <v>944679</v>
      </c>
      <c r="B2083" s="6" t="s">
        <v>2204</v>
      </c>
      <c r="F2083" s="6" t="s">
        <v>9</v>
      </c>
      <c r="G2083" s="6" t="s">
        <v>38</v>
      </c>
      <c r="H2083" s="9" t="s">
        <v>33</v>
      </c>
      <c r="I2083" s="7" t="str">
        <f t="shared" si="128"/>
        <v>61001005000</v>
      </c>
      <c r="J2083" s="7" t="str">
        <f t="shared" si="129"/>
        <v>Материал по ЕГРН</v>
      </c>
      <c r="K2083" s="7">
        <f>VLOOKUP(J2083,Лист2!A$2:B$4,2,FALSE)</f>
        <v>792</v>
      </c>
      <c r="L2083" s="7" t="str">
        <f t="shared" si="130"/>
        <v>ГОТОВ_ИЗМЕНЕН</v>
      </c>
      <c r="M2083" s="7">
        <f t="shared" si="131"/>
        <v>0</v>
      </c>
    </row>
    <row r="2084" spans="1:13" x14ac:dyDescent="0.25">
      <c r="A2084" s="1">
        <v>944691</v>
      </c>
      <c r="B2084" s="6" t="s">
        <v>2205</v>
      </c>
      <c r="F2084" s="6" t="s">
        <v>9</v>
      </c>
      <c r="G2084" s="6" t="s">
        <v>90</v>
      </c>
      <c r="H2084" s="9" t="s">
        <v>12</v>
      </c>
      <c r="I2084" s="7" t="str">
        <f t="shared" si="128"/>
        <v>61001008000</v>
      </c>
      <c r="J2084" s="7" t="str">
        <f t="shared" si="129"/>
        <v>Материал по ЕГРН</v>
      </c>
      <c r="K2084" s="7">
        <f>VLOOKUP(J2084,Лист2!A$2:B$4,2,FALSE)</f>
        <v>792</v>
      </c>
      <c r="L2084" s="7" t="str">
        <f t="shared" si="130"/>
        <v>ГОТОВ_ИЗМЕНЕН</v>
      </c>
      <c r="M2084" s="7">
        <f t="shared" si="131"/>
        <v>0</v>
      </c>
    </row>
    <row r="2085" spans="1:13" x14ac:dyDescent="0.25">
      <c r="A2085" s="1">
        <v>944703</v>
      </c>
      <c r="B2085" s="6" t="s">
        <v>2206</v>
      </c>
      <c r="F2085" s="6" t="s">
        <v>9</v>
      </c>
      <c r="G2085" s="6" t="s">
        <v>38</v>
      </c>
      <c r="H2085" s="9" t="s">
        <v>33</v>
      </c>
      <c r="I2085" s="7" t="str">
        <f t="shared" si="128"/>
        <v>61001005000</v>
      </c>
      <c r="J2085" s="7" t="str">
        <f t="shared" si="129"/>
        <v>Материал по ЕГРН</v>
      </c>
      <c r="K2085" s="7">
        <f>VLOOKUP(J2085,Лист2!A$2:B$4,2,FALSE)</f>
        <v>792</v>
      </c>
      <c r="L2085" s="7" t="str">
        <f t="shared" si="130"/>
        <v>ГОТОВ_ИЗМЕНЕН</v>
      </c>
      <c r="M2085" s="7">
        <f t="shared" si="131"/>
        <v>0</v>
      </c>
    </row>
    <row r="2086" spans="1:13" x14ac:dyDescent="0.25">
      <c r="A2086" s="1">
        <v>944715</v>
      </c>
      <c r="B2086" s="6" t="s">
        <v>2207</v>
      </c>
      <c r="F2086" s="6" t="s">
        <v>9</v>
      </c>
      <c r="I2086" s="7" t="str">
        <f t="shared" si="128"/>
        <v>61001005000</v>
      </c>
      <c r="J2086" s="7" t="str">
        <f t="shared" si="129"/>
        <v>Прочие по допущению</v>
      </c>
      <c r="K2086" s="7">
        <f>VLOOKUP(J2086,Лист2!A$2:B$4,2,FALSE)</f>
        <v>794</v>
      </c>
      <c r="L2086" s="7" t="str">
        <f t="shared" si="130"/>
        <v>ГОТОВ_ИЗМЕНЕН</v>
      </c>
      <c r="M2086" s="7">
        <f t="shared" si="131"/>
        <v>0</v>
      </c>
    </row>
    <row r="2087" spans="1:13" x14ac:dyDescent="0.25">
      <c r="A2087" s="1">
        <v>944727</v>
      </c>
      <c r="B2087" s="6" t="s">
        <v>2208</v>
      </c>
      <c r="F2087" s="6" t="s">
        <v>9</v>
      </c>
      <c r="G2087" s="6" t="s">
        <v>38</v>
      </c>
      <c r="H2087" s="9" t="s">
        <v>33</v>
      </c>
      <c r="I2087" s="7" t="str">
        <f t="shared" si="128"/>
        <v>61001005000</v>
      </c>
      <c r="J2087" s="7" t="str">
        <f t="shared" si="129"/>
        <v>Материал по ЕГРН</v>
      </c>
      <c r="K2087" s="7">
        <f>VLOOKUP(J2087,Лист2!A$2:B$4,2,FALSE)</f>
        <v>792</v>
      </c>
      <c r="L2087" s="7" t="str">
        <f t="shared" si="130"/>
        <v>ГОТОВ_ИЗМЕНЕН</v>
      </c>
      <c r="M2087" s="7">
        <f t="shared" si="131"/>
        <v>0</v>
      </c>
    </row>
    <row r="2088" spans="1:13" x14ac:dyDescent="0.25">
      <c r="A2088" s="1">
        <v>944739</v>
      </c>
      <c r="B2088" s="6" t="s">
        <v>2209</v>
      </c>
      <c r="F2088" s="6" t="s">
        <v>9</v>
      </c>
      <c r="G2088" s="6" t="s">
        <v>38</v>
      </c>
      <c r="H2088" s="9" t="s">
        <v>33</v>
      </c>
      <c r="I2088" s="7" t="str">
        <f t="shared" si="128"/>
        <v>61001005000</v>
      </c>
      <c r="J2088" s="7" t="str">
        <f t="shared" si="129"/>
        <v>Материал по ЕГРН</v>
      </c>
      <c r="K2088" s="7">
        <f>VLOOKUP(J2088,Лист2!A$2:B$4,2,FALSE)</f>
        <v>792</v>
      </c>
      <c r="L2088" s="7" t="str">
        <f t="shared" si="130"/>
        <v>ГОТОВ_ИЗМЕНЕН</v>
      </c>
      <c r="M2088" s="7">
        <f t="shared" si="131"/>
        <v>0</v>
      </c>
    </row>
    <row r="2089" spans="1:13" x14ac:dyDescent="0.25">
      <c r="A2089" s="1">
        <v>944751</v>
      </c>
      <c r="B2089" s="6" t="s">
        <v>2210</v>
      </c>
      <c r="F2089" s="6" t="s">
        <v>9</v>
      </c>
      <c r="G2089" s="6" t="s">
        <v>38</v>
      </c>
      <c r="H2089" s="9" t="s">
        <v>33</v>
      </c>
      <c r="I2089" s="7" t="str">
        <f t="shared" si="128"/>
        <v>61001005000</v>
      </c>
      <c r="J2089" s="7" t="str">
        <f t="shared" si="129"/>
        <v>Материал по ЕГРН</v>
      </c>
      <c r="K2089" s="7">
        <f>VLOOKUP(J2089,Лист2!A$2:B$4,2,FALSE)</f>
        <v>792</v>
      </c>
      <c r="L2089" s="7" t="str">
        <f t="shared" si="130"/>
        <v>ГОТОВ_ИЗМЕНЕН</v>
      </c>
      <c r="M2089" s="7">
        <f t="shared" si="131"/>
        <v>0</v>
      </c>
    </row>
    <row r="2090" spans="1:13" x14ac:dyDescent="0.25">
      <c r="A2090" s="1">
        <v>944763</v>
      </c>
      <c r="B2090" s="6" t="s">
        <v>2211</v>
      </c>
      <c r="F2090" s="6" t="s">
        <v>9</v>
      </c>
      <c r="G2090" s="6" t="s">
        <v>170</v>
      </c>
      <c r="H2090" s="9" t="s">
        <v>171</v>
      </c>
      <c r="I2090" s="7" t="str">
        <f t="shared" si="128"/>
        <v>61001001000</v>
      </c>
      <c r="J2090" s="7" t="str">
        <f t="shared" si="129"/>
        <v>Материал по ЕГРН</v>
      </c>
      <c r="K2090" s="7">
        <f>VLOOKUP(J2090,Лист2!A$2:B$4,2,FALSE)</f>
        <v>792</v>
      </c>
      <c r="L2090" s="7" t="str">
        <f t="shared" si="130"/>
        <v>ГОТОВ_ИЗМЕНЕН</v>
      </c>
      <c r="M2090" s="7">
        <f t="shared" si="131"/>
        <v>0</v>
      </c>
    </row>
    <row r="2091" spans="1:13" x14ac:dyDescent="0.25">
      <c r="A2091" s="1">
        <v>944775</v>
      </c>
      <c r="B2091" s="6" t="s">
        <v>2212</v>
      </c>
      <c r="F2091" s="6" t="s">
        <v>9</v>
      </c>
      <c r="G2091" s="6" t="s">
        <v>38</v>
      </c>
      <c r="H2091" s="9" t="s">
        <v>33</v>
      </c>
      <c r="I2091" s="7" t="str">
        <f t="shared" si="128"/>
        <v>61001005000</v>
      </c>
      <c r="J2091" s="7" t="str">
        <f t="shared" si="129"/>
        <v>Материал по ЕГРН</v>
      </c>
      <c r="K2091" s="7">
        <f>VLOOKUP(J2091,Лист2!A$2:B$4,2,FALSE)</f>
        <v>792</v>
      </c>
      <c r="L2091" s="7" t="str">
        <f t="shared" si="130"/>
        <v>ГОТОВ_ИЗМЕНЕН</v>
      </c>
      <c r="M2091" s="7">
        <f t="shared" si="131"/>
        <v>0</v>
      </c>
    </row>
    <row r="2092" spans="1:13" x14ac:dyDescent="0.25">
      <c r="A2092" s="1">
        <v>944787</v>
      </c>
      <c r="B2092" s="6" t="s">
        <v>2213</v>
      </c>
      <c r="F2092" s="6" t="s">
        <v>9</v>
      </c>
      <c r="G2092" s="6" t="s">
        <v>38</v>
      </c>
      <c r="H2092" s="9" t="s">
        <v>33</v>
      </c>
      <c r="I2092" s="7" t="str">
        <f t="shared" si="128"/>
        <v>61001005000</v>
      </c>
      <c r="J2092" s="7" t="str">
        <f t="shared" si="129"/>
        <v>Материал по ЕГРН</v>
      </c>
      <c r="K2092" s="7">
        <f>VLOOKUP(J2092,Лист2!A$2:B$4,2,FALSE)</f>
        <v>792</v>
      </c>
      <c r="L2092" s="7" t="str">
        <f t="shared" si="130"/>
        <v>ГОТОВ_ИЗМЕНЕН</v>
      </c>
      <c r="M2092" s="7">
        <f t="shared" si="131"/>
        <v>0</v>
      </c>
    </row>
    <row r="2093" spans="1:13" x14ac:dyDescent="0.25">
      <c r="A2093" s="1">
        <v>944799</v>
      </c>
      <c r="B2093" s="6" t="s">
        <v>2214</v>
      </c>
      <c r="F2093" s="6" t="s">
        <v>9</v>
      </c>
      <c r="G2093" s="6" t="s">
        <v>10</v>
      </c>
      <c r="H2093" s="9" t="s">
        <v>11</v>
      </c>
      <c r="I2093" s="7" t="str">
        <f t="shared" si="128"/>
        <v>61001003000</v>
      </c>
      <c r="J2093" s="7" t="str">
        <f t="shared" si="129"/>
        <v>Материал по ЕГРН</v>
      </c>
      <c r="K2093" s="7">
        <f>VLOOKUP(J2093,Лист2!A$2:B$4,2,FALSE)</f>
        <v>792</v>
      </c>
      <c r="L2093" s="7" t="str">
        <f t="shared" si="130"/>
        <v>ГОТОВ_ИЗМЕНЕН</v>
      </c>
      <c r="M2093" s="7">
        <f t="shared" si="131"/>
        <v>0</v>
      </c>
    </row>
    <row r="2094" spans="1:13" x14ac:dyDescent="0.25">
      <c r="A2094" s="1">
        <v>944811</v>
      </c>
      <c r="B2094" s="6" t="s">
        <v>2215</v>
      </c>
      <c r="F2094" s="6" t="s">
        <v>9</v>
      </c>
      <c r="G2094" s="6" t="s">
        <v>90</v>
      </c>
      <c r="H2094" s="9" t="s">
        <v>12</v>
      </c>
      <c r="I2094" s="7" t="str">
        <f t="shared" si="128"/>
        <v>61001008000</v>
      </c>
      <c r="J2094" s="7" t="str">
        <f t="shared" si="129"/>
        <v>Материал по ЕГРН</v>
      </c>
      <c r="K2094" s="7">
        <f>VLOOKUP(J2094,Лист2!A$2:B$4,2,FALSE)</f>
        <v>792</v>
      </c>
      <c r="L2094" s="7" t="str">
        <f t="shared" si="130"/>
        <v>ГОТОВ_ИЗМЕНЕН</v>
      </c>
      <c r="M2094" s="7">
        <f t="shared" si="131"/>
        <v>0</v>
      </c>
    </row>
    <row r="2095" spans="1:13" x14ac:dyDescent="0.25">
      <c r="A2095" s="1">
        <v>944823</v>
      </c>
      <c r="B2095" s="6" t="s">
        <v>2216</v>
      </c>
      <c r="F2095" s="6" t="s">
        <v>9</v>
      </c>
      <c r="G2095" s="6" t="s">
        <v>90</v>
      </c>
      <c r="H2095" s="9" t="s">
        <v>12</v>
      </c>
      <c r="I2095" s="7" t="str">
        <f t="shared" si="128"/>
        <v>61001008000</v>
      </c>
      <c r="J2095" s="7" t="str">
        <f t="shared" si="129"/>
        <v>Материал по ЕГРН</v>
      </c>
      <c r="K2095" s="7">
        <f>VLOOKUP(J2095,Лист2!A$2:B$4,2,FALSE)</f>
        <v>792</v>
      </c>
      <c r="L2095" s="7" t="str">
        <f t="shared" si="130"/>
        <v>ГОТОВ_ИЗМЕНЕН</v>
      </c>
      <c r="M2095" s="7">
        <f t="shared" si="131"/>
        <v>0</v>
      </c>
    </row>
    <row r="2096" spans="1:13" x14ac:dyDescent="0.25">
      <c r="A2096" s="1">
        <v>944835</v>
      </c>
      <c r="B2096" s="6" t="s">
        <v>2217</v>
      </c>
      <c r="F2096" s="6" t="s">
        <v>9</v>
      </c>
      <c r="G2096" s="6" t="s">
        <v>139</v>
      </c>
      <c r="H2096" s="9" t="s">
        <v>140</v>
      </c>
      <c r="I2096" s="7" t="str">
        <f t="shared" si="128"/>
        <v>61001999000</v>
      </c>
      <c r="J2096" s="7" t="str">
        <f t="shared" si="129"/>
        <v>Материал по ЕГРН</v>
      </c>
      <c r="K2096" s="7">
        <f>VLOOKUP(J2096,Лист2!A$2:B$4,2,FALSE)</f>
        <v>792</v>
      </c>
      <c r="L2096" s="7" t="str">
        <f t="shared" si="130"/>
        <v>ГОТОВ_ИЗМЕНЕН</v>
      </c>
      <c r="M2096" s="7">
        <f t="shared" si="131"/>
        <v>0</v>
      </c>
    </row>
    <row r="2097" spans="1:13" x14ac:dyDescent="0.25">
      <c r="A2097" s="1">
        <v>944847</v>
      </c>
      <c r="B2097" s="6" t="s">
        <v>2218</v>
      </c>
      <c r="F2097" s="6" t="s">
        <v>9</v>
      </c>
      <c r="G2097" s="6" t="s">
        <v>34</v>
      </c>
      <c r="H2097" s="9" t="s">
        <v>35</v>
      </c>
      <c r="I2097" s="7" t="str">
        <f t="shared" si="128"/>
        <v>61001002000</v>
      </c>
      <c r="J2097" s="7" t="str">
        <f t="shared" si="129"/>
        <v>Материал по ЕГРН</v>
      </c>
      <c r="K2097" s="7">
        <f>VLOOKUP(J2097,Лист2!A$2:B$4,2,FALSE)</f>
        <v>792</v>
      </c>
      <c r="L2097" s="7" t="str">
        <f t="shared" si="130"/>
        <v>ГОТОВ_ИЗМЕНЕН</v>
      </c>
      <c r="M2097" s="7">
        <f t="shared" si="131"/>
        <v>0</v>
      </c>
    </row>
    <row r="2098" spans="1:13" x14ac:dyDescent="0.25">
      <c r="A2098" s="1">
        <v>944859</v>
      </c>
      <c r="B2098" s="6" t="s">
        <v>2219</v>
      </c>
      <c r="F2098" s="6" t="s">
        <v>9</v>
      </c>
      <c r="G2098" s="6" t="s">
        <v>38</v>
      </c>
      <c r="H2098" s="9" t="s">
        <v>33</v>
      </c>
      <c r="I2098" s="7" t="str">
        <f t="shared" si="128"/>
        <v>61001005000</v>
      </c>
      <c r="J2098" s="7" t="str">
        <f t="shared" si="129"/>
        <v>Материал по ЕГРН</v>
      </c>
      <c r="K2098" s="7">
        <f>VLOOKUP(J2098,Лист2!A$2:B$4,2,FALSE)</f>
        <v>792</v>
      </c>
      <c r="L2098" s="7" t="str">
        <f t="shared" si="130"/>
        <v>ГОТОВ_ИЗМЕНЕН</v>
      </c>
      <c r="M2098" s="7">
        <f t="shared" si="131"/>
        <v>0</v>
      </c>
    </row>
    <row r="2099" spans="1:13" x14ac:dyDescent="0.25">
      <c r="A2099" s="1">
        <v>944871</v>
      </c>
      <c r="B2099" s="6" t="s">
        <v>2220</v>
      </c>
      <c r="F2099" s="6" t="s">
        <v>9</v>
      </c>
      <c r="G2099" s="6" t="s">
        <v>10</v>
      </c>
      <c r="H2099" s="9" t="s">
        <v>11</v>
      </c>
      <c r="I2099" s="7" t="str">
        <f t="shared" si="128"/>
        <v>61001003000</v>
      </c>
      <c r="J2099" s="7" t="str">
        <f t="shared" si="129"/>
        <v>Материал по ЕГРН</v>
      </c>
      <c r="K2099" s="7">
        <f>VLOOKUP(J2099,Лист2!A$2:B$4,2,FALSE)</f>
        <v>792</v>
      </c>
      <c r="L2099" s="7" t="str">
        <f t="shared" si="130"/>
        <v>ГОТОВ_ИЗМЕНЕН</v>
      </c>
      <c r="M2099" s="7">
        <f t="shared" si="131"/>
        <v>0</v>
      </c>
    </row>
    <row r="2100" spans="1:13" x14ac:dyDescent="0.25">
      <c r="A2100" s="1">
        <v>944883</v>
      </c>
      <c r="B2100" s="6" t="s">
        <v>2221</v>
      </c>
      <c r="F2100" s="6" t="s">
        <v>9</v>
      </c>
      <c r="G2100" s="6" t="s">
        <v>34</v>
      </c>
      <c r="H2100" s="9" t="s">
        <v>35</v>
      </c>
      <c r="I2100" s="7" t="str">
        <f t="shared" si="128"/>
        <v>61001002000</v>
      </c>
      <c r="J2100" s="7" t="str">
        <f t="shared" si="129"/>
        <v>Материал по ЕГРН</v>
      </c>
      <c r="K2100" s="7">
        <f>VLOOKUP(J2100,Лист2!A$2:B$4,2,FALSE)</f>
        <v>792</v>
      </c>
      <c r="L2100" s="7" t="str">
        <f t="shared" si="130"/>
        <v>ГОТОВ_ИЗМЕНЕН</v>
      </c>
      <c r="M2100" s="7">
        <f t="shared" si="131"/>
        <v>0</v>
      </c>
    </row>
    <row r="2101" spans="1:13" x14ac:dyDescent="0.25">
      <c r="A2101" s="1">
        <v>944895</v>
      </c>
      <c r="B2101" s="6" t="s">
        <v>2222</v>
      </c>
      <c r="F2101" s="6" t="s">
        <v>9</v>
      </c>
      <c r="G2101" s="6" t="s">
        <v>38</v>
      </c>
      <c r="H2101" s="9" t="s">
        <v>33</v>
      </c>
      <c r="I2101" s="7" t="str">
        <f t="shared" si="128"/>
        <v>61001005000</v>
      </c>
      <c r="J2101" s="7" t="str">
        <f t="shared" si="129"/>
        <v>Материал по ЕГРН</v>
      </c>
      <c r="K2101" s="7">
        <f>VLOOKUP(J2101,Лист2!A$2:B$4,2,FALSE)</f>
        <v>792</v>
      </c>
      <c r="L2101" s="7" t="str">
        <f t="shared" si="130"/>
        <v>ГОТОВ_ИЗМЕНЕН</v>
      </c>
      <c r="M2101" s="7">
        <f t="shared" si="131"/>
        <v>0</v>
      </c>
    </row>
    <row r="2102" spans="1:13" x14ac:dyDescent="0.25">
      <c r="A2102" s="1">
        <v>944907</v>
      </c>
      <c r="B2102" s="6" t="s">
        <v>2223</v>
      </c>
      <c r="F2102" s="6" t="s">
        <v>9</v>
      </c>
      <c r="G2102" s="6" t="s">
        <v>62</v>
      </c>
      <c r="H2102" s="9" t="s">
        <v>63</v>
      </c>
      <c r="I2102" s="7" t="str">
        <f t="shared" si="128"/>
        <v>61001006002</v>
      </c>
      <c r="J2102" s="7" t="str">
        <f t="shared" si="129"/>
        <v>Материал по ЕГРН</v>
      </c>
      <c r="K2102" s="7">
        <f>VLOOKUP(J2102,Лист2!A$2:B$4,2,FALSE)</f>
        <v>792</v>
      </c>
      <c r="L2102" s="7" t="str">
        <f t="shared" si="130"/>
        <v>ГОТОВ_ИЗМЕНЕН</v>
      </c>
      <c r="M2102" s="7">
        <f t="shared" si="131"/>
        <v>0</v>
      </c>
    </row>
    <row r="2103" spans="1:13" x14ac:dyDescent="0.25">
      <c r="A2103" s="1">
        <v>254808</v>
      </c>
      <c r="B2103" s="6" t="s">
        <v>2224</v>
      </c>
      <c r="C2103" s="9" t="s">
        <v>33</v>
      </c>
      <c r="D2103" s="6" t="s">
        <v>20</v>
      </c>
      <c r="E2103" s="6" t="s">
        <v>37</v>
      </c>
      <c r="F2103" s="6" t="s">
        <v>9</v>
      </c>
      <c r="G2103" s="6" t="s">
        <v>38</v>
      </c>
      <c r="H2103" s="9" t="s">
        <v>33</v>
      </c>
      <c r="I2103" s="7" t="str">
        <f t="shared" si="128"/>
        <v>61001005000</v>
      </c>
      <c r="J2103" s="7" t="str">
        <f t="shared" si="129"/>
        <v>Материал по ЕГРН</v>
      </c>
      <c r="K2103" s="7">
        <f>VLOOKUP(J2103,Лист2!A$2:B$4,2,FALSE)</f>
        <v>792</v>
      </c>
      <c r="L2103" s="7" t="str">
        <f t="shared" si="130"/>
        <v>ГОТОВ</v>
      </c>
      <c r="M2103" s="7" t="str">
        <f t="shared" si="131"/>
        <v>61001005000</v>
      </c>
    </row>
    <row r="2104" spans="1:13" x14ac:dyDescent="0.25">
      <c r="A2104" s="1">
        <v>379128</v>
      </c>
      <c r="B2104" s="6" t="s">
        <v>2225</v>
      </c>
      <c r="C2104" s="9" t="s">
        <v>60</v>
      </c>
      <c r="D2104" s="6" t="s">
        <v>20</v>
      </c>
      <c r="E2104" s="6" t="s">
        <v>37</v>
      </c>
      <c r="F2104" s="6" t="s">
        <v>9</v>
      </c>
      <c r="G2104" s="6" t="s">
        <v>59</v>
      </c>
      <c r="H2104" s="9" t="s">
        <v>60</v>
      </c>
      <c r="I2104" s="7" t="str">
        <f t="shared" si="128"/>
        <v>61001001001</v>
      </c>
      <c r="J2104" s="7" t="str">
        <f t="shared" si="129"/>
        <v>Материал по ЕГРН</v>
      </c>
      <c r="K2104" s="7">
        <f>VLOOKUP(J2104,Лист2!A$2:B$4,2,FALSE)</f>
        <v>792</v>
      </c>
      <c r="L2104" s="7" t="str">
        <f t="shared" si="130"/>
        <v>ГОТОВ</v>
      </c>
      <c r="M2104" s="7" t="str">
        <f t="shared" si="131"/>
        <v>61001001001</v>
      </c>
    </row>
    <row r="2105" spans="1:13" x14ac:dyDescent="0.25">
      <c r="A2105" s="1">
        <v>656093</v>
      </c>
      <c r="B2105" s="6" t="s">
        <v>2226</v>
      </c>
      <c r="C2105" s="9" t="s">
        <v>33</v>
      </c>
      <c r="D2105" s="6" t="s">
        <v>20</v>
      </c>
      <c r="E2105" s="6" t="s">
        <v>37</v>
      </c>
      <c r="F2105" s="6" t="s">
        <v>9</v>
      </c>
      <c r="G2105" s="6" t="s">
        <v>38</v>
      </c>
      <c r="H2105" s="9" t="s">
        <v>33</v>
      </c>
      <c r="I2105" s="7" t="str">
        <f t="shared" si="128"/>
        <v>61001005000</v>
      </c>
      <c r="J2105" s="7" t="str">
        <f t="shared" si="129"/>
        <v>Материал по ЕГРН</v>
      </c>
      <c r="K2105" s="7">
        <f>VLOOKUP(J2105,Лист2!A$2:B$4,2,FALSE)</f>
        <v>792</v>
      </c>
      <c r="L2105" s="7" t="str">
        <f t="shared" si="130"/>
        <v>ГОТОВ</v>
      </c>
      <c r="M2105" s="7" t="str">
        <f t="shared" si="131"/>
        <v>61001005000</v>
      </c>
    </row>
    <row r="2106" spans="1:13" x14ac:dyDescent="0.25">
      <c r="A2106" s="1">
        <v>850240</v>
      </c>
      <c r="B2106" s="6" t="s">
        <v>2227</v>
      </c>
      <c r="C2106" s="9" t="s">
        <v>33</v>
      </c>
      <c r="D2106" s="6" t="s">
        <v>20</v>
      </c>
      <c r="E2106" s="6" t="s">
        <v>37</v>
      </c>
      <c r="F2106" s="6" t="s">
        <v>9</v>
      </c>
      <c r="G2106" s="6" t="s">
        <v>38</v>
      </c>
      <c r="H2106" s="9" t="s">
        <v>33</v>
      </c>
      <c r="I2106" s="7" t="str">
        <f t="shared" si="128"/>
        <v>61001005000</v>
      </c>
      <c r="J2106" s="7" t="str">
        <f t="shared" si="129"/>
        <v>Материал по ЕГРН</v>
      </c>
      <c r="K2106" s="7">
        <f>VLOOKUP(J2106,Лист2!A$2:B$4,2,FALSE)</f>
        <v>792</v>
      </c>
      <c r="L2106" s="7" t="str">
        <f t="shared" si="130"/>
        <v>ГОТОВ</v>
      </c>
      <c r="M2106" s="7" t="str">
        <f t="shared" si="131"/>
        <v>61001005000</v>
      </c>
    </row>
    <row r="2107" spans="1:13" x14ac:dyDescent="0.25">
      <c r="A2107" s="1">
        <v>946171</v>
      </c>
      <c r="B2107" s="6" t="s">
        <v>2228</v>
      </c>
      <c r="F2107" s="6" t="s">
        <v>9</v>
      </c>
      <c r="G2107" s="6" t="s">
        <v>38</v>
      </c>
      <c r="H2107" s="9" t="s">
        <v>33</v>
      </c>
      <c r="I2107" s="7" t="str">
        <f t="shared" si="128"/>
        <v>61001005000</v>
      </c>
      <c r="J2107" s="7" t="str">
        <f t="shared" si="129"/>
        <v>Материал по ЕГРН</v>
      </c>
      <c r="K2107" s="7">
        <f>VLOOKUP(J2107,Лист2!A$2:B$4,2,FALSE)</f>
        <v>792</v>
      </c>
      <c r="L2107" s="7" t="str">
        <f t="shared" si="130"/>
        <v>ГОТОВ_ИЗМЕНЕН</v>
      </c>
      <c r="M2107" s="7">
        <f t="shared" si="131"/>
        <v>0</v>
      </c>
    </row>
    <row r="2108" spans="1:13" x14ac:dyDescent="0.25">
      <c r="A2108" s="1">
        <v>946183</v>
      </c>
      <c r="B2108" s="6" t="s">
        <v>2229</v>
      </c>
      <c r="F2108" s="6" t="s">
        <v>9</v>
      </c>
      <c r="G2108" s="6" t="s">
        <v>62</v>
      </c>
      <c r="H2108" s="9" t="s">
        <v>63</v>
      </c>
      <c r="I2108" s="7" t="str">
        <f t="shared" si="128"/>
        <v>61001006002</v>
      </c>
      <c r="J2108" s="7" t="str">
        <f t="shared" si="129"/>
        <v>Материал по ЕГРН</v>
      </c>
      <c r="K2108" s="7">
        <f>VLOOKUP(J2108,Лист2!A$2:B$4,2,FALSE)</f>
        <v>792</v>
      </c>
      <c r="L2108" s="7" t="str">
        <f t="shared" si="130"/>
        <v>ГОТОВ_ИЗМЕНЕН</v>
      </c>
      <c r="M2108" s="7">
        <f t="shared" si="131"/>
        <v>0</v>
      </c>
    </row>
    <row r="2109" spans="1:13" x14ac:dyDescent="0.25">
      <c r="A2109" s="1">
        <v>946195</v>
      </c>
      <c r="B2109" s="6" t="s">
        <v>2230</v>
      </c>
      <c r="F2109" s="6" t="s">
        <v>9</v>
      </c>
      <c r="G2109" s="6" t="s">
        <v>34</v>
      </c>
      <c r="H2109" s="9" t="s">
        <v>35</v>
      </c>
      <c r="I2109" s="7" t="str">
        <f t="shared" si="128"/>
        <v>61001002000</v>
      </c>
      <c r="J2109" s="7" t="str">
        <f t="shared" si="129"/>
        <v>Материал по ЕГРН</v>
      </c>
      <c r="K2109" s="7">
        <f>VLOOKUP(J2109,Лист2!A$2:B$4,2,FALSE)</f>
        <v>792</v>
      </c>
      <c r="L2109" s="7" t="str">
        <f t="shared" si="130"/>
        <v>ГОТОВ_ИЗМЕНЕН</v>
      </c>
      <c r="M2109" s="7">
        <f t="shared" si="131"/>
        <v>0</v>
      </c>
    </row>
    <row r="2110" spans="1:13" x14ac:dyDescent="0.25">
      <c r="A2110" s="1">
        <v>946207</v>
      </c>
      <c r="B2110" s="6" t="s">
        <v>2231</v>
      </c>
      <c r="F2110" s="6" t="s">
        <v>9</v>
      </c>
      <c r="G2110" s="6" t="s">
        <v>59</v>
      </c>
      <c r="H2110" s="9" t="s">
        <v>60</v>
      </c>
      <c r="I2110" s="7" t="str">
        <f t="shared" si="128"/>
        <v>61001001001</v>
      </c>
      <c r="J2110" s="7" t="str">
        <f t="shared" si="129"/>
        <v>Материал по ЕГРН</v>
      </c>
      <c r="K2110" s="7">
        <f>VLOOKUP(J2110,Лист2!A$2:B$4,2,FALSE)</f>
        <v>792</v>
      </c>
      <c r="L2110" s="7" t="str">
        <f t="shared" si="130"/>
        <v>ГОТОВ_ИЗМЕНЕН</v>
      </c>
      <c r="M2110" s="7">
        <f t="shared" si="131"/>
        <v>0</v>
      </c>
    </row>
    <row r="2111" spans="1:13" x14ac:dyDescent="0.25">
      <c r="A2111" s="1">
        <v>946219</v>
      </c>
      <c r="B2111" s="6" t="s">
        <v>2232</v>
      </c>
      <c r="F2111" s="6" t="s">
        <v>9</v>
      </c>
      <c r="G2111" s="6" t="s">
        <v>59</v>
      </c>
      <c r="H2111" s="9" t="s">
        <v>60</v>
      </c>
      <c r="I2111" s="7" t="str">
        <f t="shared" si="128"/>
        <v>61001001001</v>
      </c>
      <c r="J2111" s="7" t="str">
        <f t="shared" si="129"/>
        <v>Материал по ЕГРН</v>
      </c>
      <c r="K2111" s="7">
        <f>VLOOKUP(J2111,Лист2!A$2:B$4,2,FALSE)</f>
        <v>792</v>
      </c>
      <c r="L2111" s="7" t="str">
        <f t="shared" si="130"/>
        <v>ГОТОВ_ИЗМЕНЕН</v>
      </c>
      <c r="M2111" s="7">
        <f t="shared" si="131"/>
        <v>0</v>
      </c>
    </row>
    <row r="2112" spans="1:13" x14ac:dyDescent="0.25">
      <c r="A2112" s="1">
        <v>946231</v>
      </c>
      <c r="B2112" s="6" t="s">
        <v>2233</v>
      </c>
      <c r="F2112" s="6" t="s">
        <v>9</v>
      </c>
      <c r="G2112" s="6" t="s">
        <v>62</v>
      </c>
      <c r="H2112" s="9" t="s">
        <v>63</v>
      </c>
      <c r="I2112" s="7" t="str">
        <f t="shared" si="128"/>
        <v>61001006002</v>
      </c>
      <c r="J2112" s="7" t="str">
        <f t="shared" si="129"/>
        <v>Материал по ЕГРН</v>
      </c>
      <c r="K2112" s="7">
        <f>VLOOKUP(J2112,Лист2!A$2:B$4,2,FALSE)</f>
        <v>792</v>
      </c>
      <c r="L2112" s="7" t="str">
        <f t="shared" si="130"/>
        <v>ГОТОВ_ИЗМЕНЕН</v>
      </c>
      <c r="M2112" s="7">
        <f t="shared" si="131"/>
        <v>0</v>
      </c>
    </row>
    <row r="2113" spans="1:13" x14ac:dyDescent="0.25">
      <c r="A2113" s="1">
        <v>946243</v>
      </c>
      <c r="B2113" s="6" t="s">
        <v>2234</v>
      </c>
      <c r="F2113" s="6" t="s">
        <v>9</v>
      </c>
      <c r="G2113" s="6" t="s">
        <v>629</v>
      </c>
      <c r="H2113" s="9" t="s">
        <v>630</v>
      </c>
      <c r="I2113" s="7" t="str">
        <f t="shared" si="128"/>
        <v>61001003000</v>
      </c>
      <c r="J2113" s="7" t="str">
        <f t="shared" si="129"/>
        <v>Смешанные по допущению</v>
      </c>
      <c r="K2113" s="7">
        <f>VLOOKUP(J2113,Лист2!A$2:B$4,2,FALSE)</f>
        <v>793</v>
      </c>
      <c r="L2113" s="7" t="str">
        <f t="shared" si="130"/>
        <v>ГОТОВ_ИЗМЕНЕН</v>
      </c>
      <c r="M2113" s="7">
        <f t="shared" si="131"/>
        <v>0</v>
      </c>
    </row>
    <row r="2114" spans="1:13" x14ac:dyDescent="0.25">
      <c r="A2114" s="1">
        <v>946255</v>
      </c>
      <c r="B2114" s="6" t="s">
        <v>2235</v>
      </c>
      <c r="F2114" s="6" t="s">
        <v>9</v>
      </c>
      <c r="G2114" s="6" t="s">
        <v>38</v>
      </c>
      <c r="H2114" s="9" t="s">
        <v>33</v>
      </c>
      <c r="I2114" s="7" t="str">
        <f t="shared" si="128"/>
        <v>61001005000</v>
      </c>
      <c r="J2114" s="7" t="str">
        <f t="shared" si="129"/>
        <v>Материал по ЕГРН</v>
      </c>
      <c r="K2114" s="7">
        <f>VLOOKUP(J2114,Лист2!A$2:B$4,2,FALSE)</f>
        <v>792</v>
      </c>
      <c r="L2114" s="7" t="str">
        <f t="shared" si="130"/>
        <v>ГОТОВ_ИЗМЕНЕН</v>
      </c>
      <c r="M2114" s="7">
        <f t="shared" si="131"/>
        <v>0</v>
      </c>
    </row>
    <row r="2115" spans="1:13" x14ac:dyDescent="0.25">
      <c r="A2115" s="1">
        <v>946267</v>
      </c>
      <c r="B2115" s="6" t="s">
        <v>2236</v>
      </c>
      <c r="F2115" s="6" t="s">
        <v>9</v>
      </c>
      <c r="G2115" s="6" t="s">
        <v>38</v>
      </c>
      <c r="H2115" s="9" t="s">
        <v>33</v>
      </c>
      <c r="I2115" s="7" t="str">
        <f t="shared" si="128"/>
        <v>61001005000</v>
      </c>
      <c r="J2115" s="7" t="str">
        <f t="shared" si="129"/>
        <v>Материал по ЕГРН</v>
      </c>
      <c r="K2115" s="7">
        <f>VLOOKUP(J2115,Лист2!A$2:B$4,2,FALSE)</f>
        <v>792</v>
      </c>
      <c r="L2115" s="7" t="str">
        <f t="shared" si="130"/>
        <v>ГОТОВ_ИЗМЕНЕН</v>
      </c>
      <c r="M2115" s="7">
        <f t="shared" si="131"/>
        <v>0</v>
      </c>
    </row>
    <row r="2116" spans="1:13" x14ac:dyDescent="0.25">
      <c r="A2116" s="1">
        <v>946279</v>
      </c>
      <c r="B2116" s="6" t="s">
        <v>2237</v>
      </c>
      <c r="F2116" s="6" t="s">
        <v>9</v>
      </c>
      <c r="G2116" s="6" t="s">
        <v>38</v>
      </c>
      <c r="H2116" s="9" t="s">
        <v>33</v>
      </c>
      <c r="I2116" s="7" t="str">
        <f t="shared" si="128"/>
        <v>61001005000</v>
      </c>
      <c r="J2116" s="7" t="str">
        <f t="shared" si="129"/>
        <v>Материал по ЕГРН</v>
      </c>
      <c r="K2116" s="7">
        <f>VLOOKUP(J2116,Лист2!A$2:B$4,2,FALSE)</f>
        <v>792</v>
      </c>
      <c r="L2116" s="7" t="str">
        <f t="shared" si="130"/>
        <v>ГОТОВ_ИЗМЕНЕН</v>
      </c>
      <c r="M2116" s="7">
        <f t="shared" si="131"/>
        <v>0</v>
      </c>
    </row>
    <row r="2117" spans="1:13" x14ac:dyDescent="0.25">
      <c r="A2117" s="1">
        <v>946291</v>
      </c>
      <c r="B2117" s="6" t="s">
        <v>2238</v>
      </c>
      <c r="F2117" s="6" t="s">
        <v>9</v>
      </c>
      <c r="G2117" s="6" t="s">
        <v>38</v>
      </c>
      <c r="H2117" s="9" t="s">
        <v>33</v>
      </c>
      <c r="I2117" s="7" t="str">
        <f t="shared" ref="I2117:I2180" si="132">IF(LEN(H2117)=11,H2117,IF(LEN(H2117)=0,"61001005000","61001003000"))</f>
        <v>61001005000</v>
      </c>
      <c r="J2117" s="7" t="str">
        <f t="shared" ref="J2117:J2180" si="133">IF(LEN(H2117)=11,"Материал по ЕГРН",IF(LEN(H2117)=0,"Прочие по допущению","Смешанные по допущению"))</f>
        <v>Материал по ЕГРН</v>
      </c>
      <c r="K2117" s="7">
        <f>VLOOKUP(J2117,Лист2!A$2:B$4,2,FALSE)</f>
        <v>792</v>
      </c>
      <c r="L2117" s="7" t="str">
        <f t="shared" ref="L2117:L2180" si="134">IF(I2117=C2117,"ГОТОВ","ГОТОВ_ИЗМЕНЕН")</f>
        <v>ГОТОВ_ИЗМЕНЕН</v>
      </c>
      <c r="M2117" s="7">
        <f t="shared" ref="M2117:M2180" si="135">C2117</f>
        <v>0</v>
      </c>
    </row>
    <row r="2118" spans="1:13" x14ac:dyDescent="0.25">
      <c r="A2118" s="1">
        <v>946303</v>
      </c>
      <c r="B2118" s="6" t="s">
        <v>2239</v>
      </c>
      <c r="F2118" s="6" t="s">
        <v>9</v>
      </c>
      <c r="G2118" s="6" t="s">
        <v>62</v>
      </c>
      <c r="H2118" s="9" t="s">
        <v>63</v>
      </c>
      <c r="I2118" s="7" t="str">
        <f t="shared" si="132"/>
        <v>61001006002</v>
      </c>
      <c r="J2118" s="7" t="str">
        <f t="shared" si="133"/>
        <v>Материал по ЕГРН</v>
      </c>
      <c r="K2118" s="7">
        <f>VLOOKUP(J2118,Лист2!A$2:B$4,2,FALSE)</f>
        <v>792</v>
      </c>
      <c r="L2118" s="7" t="str">
        <f t="shared" si="134"/>
        <v>ГОТОВ_ИЗМЕНЕН</v>
      </c>
      <c r="M2118" s="7">
        <f t="shared" si="135"/>
        <v>0</v>
      </c>
    </row>
    <row r="2119" spans="1:13" x14ac:dyDescent="0.25">
      <c r="A2119" s="1">
        <v>946315</v>
      </c>
      <c r="B2119" s="6" t="s">
        <v>2240</v>
      </c>
      <c r="F2119" s="6" t="s">
        <v>9</v>
      </c>
      <c r="G2119" s="6" t="s">
        <v>62</v>
      </c>
      <c r="H2119" s="9" t="s">
        <v>63</v>
      </c>
      <c r="I2119" s="7" t="str">
        <f t="shared" si="132"/>
        <v>61001006002</v>
      </c>
      <c r="J2119" s="7" t="str">
        <f t="shared" si="133"/>
        <v>Материал по ЕГРН</v>
      </c>
      <c r="K2119" s="7">
        <f>VLOOKUP(J2119,Лист2!A$2:B$4,2,FALSE)</f>
        <v>792</v>
      </c>
      <c r="L2119" s="7" t="str">
        <f t="shared" si="134"/>
        <v>ГОТОВ_ИЗМЕНЕН</v>
      </c>
      <c r="M2119" s="7">
        <f t="shared" si="135"/>
        <v>0</v>
      </c>
    </row>
    <row r="2120" spans="1:13" x14ac:dyDescent="0.25">
      <c r="A2120" s="1">
        <v>946327</v>
      </c>
      <c r="B2120" s="6" t="s">
        <v>2241</v>
      </c>
      <c r="F2120" s="6" t="s">
        <v>9</v>
      </c>
      <c r="G2120" s="6" t="s">
        <v>38</v>
      </c>
      <c r="H2120" s="9" t="s">
        <v>33</v>
      </c>
      <c r="I2120" s="7" t="str">
        <f t="shared" si="132"/>
        <v>61001005000</v>
      </c>
      <c r="J2120" s="7" t="str">
        <f t="shared" si="133"/>
        <v>Материал по ЕГРН</v>
      </c>
      <c r="K2120" s="7">
        <f>VLOOKUP(J2120,Лист2!A$2:B$4,2,FALSE)</f>
        <v>792</v>
      </c>
      <c r="L2120" s="7" t="str">
        <f t="shared" si="134"/>
        <v>ГОТОВ_ИЗМЕНЕН</v>
      </c>
      <c r="M2120" s="7">
        <f t="shared" si="135"/>
        <v>0</v>
      </c>
    </row>
    <row r="2121" spans="1:13" x14ac:dyDescent="0.25">
      <c r="A2121" s="1">
        <v>946339</v>
      </c>
      <c r="B2121" s="6" t="s">
        <v>2242</v>
      </c>
      <c r="F2121" s="6" t="s">
        <v>9</v>
      </c>
      <c r="G2121" s="6" t="s">
        <v>34</v>
      </c>
      <c r="H2121" s="9" t="s">
        <v>35</v>
      </c>
      <c r="I2121" s="7" t="str">
        <f t="shared" si="132"/>
        <v>61001002000</v>
      </c>
      <c r="J2121" s="7" t="str">
        <f t="shared" si="133"/>
        <v>Материал по ЕГРН</v>
      </c>
      <c r="K2121" s="7">
        <f>VLOOKUP(J2121,Лист2!A$2:B$4,2,FALSE)</f>
        <v>792</v>
      </c>
      <c r="L2121" s="7" t="str">
        <f t="shared" si="134"/>
        <v>ГОТОВ_ИЗМЕНЕН</v>
      </c>
      <c r="M2121" s="7">
        <f t="shared" si="135"/>
        <v>0</v>
      </c>
    </row>
    <row r="2122" spans="1:13" x14ac:dyDescent="0.25">
      <c r="A2122" s="1">
        <v>946351</v>
      </c>
      <c r="B2122" s="6" t="s">
        <v>2243</v>
      </c>
      <c r="F2122" s="6" t="s">
        <v>9</v>
      </c>
      <c r="G2122" s="6" t="s">
        <v>125</v>
      </c>
      <c r="H2122" s="9" t="s">
        <v>126</v>
      </c>
      <c r="I2122" s="7" t="str">
        <f t="shared" si="132"/>
        <v>61001007004</v>
      </c>
      <c r="J2122" s="7" t="str">
        <f t="shared" si="133"/>
        <v>Материал по ЕГРН</v>
      </c>
      <c r="K2122" s="7">
        <f>VLOOKUP(J2122,Лист2!A$2:B$4,2,FALSE)</f>
        <v>792</v>
      </c>
      <c r="L2122" s="7" t="str">
        <f t="shared" si="134"/>
        <v>ГОТОВ_ИЗМЕНЕН</v>
      </c>
      <c r="M2122" s="7">
        <f t="shared" si="135"/>
        <v>0</v>
      </c>
    </row>
    <row r="2123" spans="1:13" x14ac:dyDescent="0.25">
      <c r="A2123" s="1">
        <v>946363</v>
      </c>
      <c r="B2123" s="6" t="s">
        <v>2244</v>
      </c>
      <c r="F2123" s="6" t="s">
        <v>9</v>
      </c>
      <c r="G2123" s="6" t="s">
        <v>90</v>
      </c>
      <c r="H2123" s="9" t="s">
        <v>12</v>
      </c>
      <c r="I2123" s="7" t="str">
        <f t="shared" si="132"/>
        <v>61001008000</v>
      </c>
      <c r="J2123" s="7" t="str">
        <f t="shared" si="133"/>
        <v>Материал по ЕГРН</v>
      </c>
      <c r="K2123" s="7">
        <f>VLOOKUP(J2123,Лист2!A$2:B$4,2,FALSE)</f>
        <v>792</v>
      </c>
      <c r="L2123" s="7" t="str">
        <f t="shared" si="134"/>
        <v>ГОТОВ_ИЗМЕНЕН</v>
      </c>
      <c r="M2123" s="7">
        <f t="shared" si="135"/>
        <v>0</v>
      </c>
    </row>
    <row r="2124" spans="1:13" x14ac:dyDescent="0.25">
      <c r="A2124" s="1">
        <v>946375</v>
      </c>
      <c r="B2124" s="6" t="s">
        <v>2245</v>
      </c>
      <c r="F2124" s="6" t="s">
        <v>9</v>
      </c>
      <c r="G2124" s="6" t="s">
        <v>38</v>
      </c>
      <c r="H2124" s="9" t="s">
        <v>33</v>
      </c>
      <c r="I2124" s="7" t="str">
        <f t="shared" si="132"/>
        <v>61001005000</v>
      </c>
      <c r="J2124" s="7" t="str">
        <f t="shared" si="133"/>
        <v>Материал по ЕГРН</v>
      </c>
      <c r="K2124" s="7">
        <f>VLOOKUP(J2124,Лист2!A$2:B$4,2,FALSE)</f>
        <v>792</v>
      </c>
      <c r="L2124" s="7" t="str">
        <f t="shared" si="134"/>
        <v>ГОТОВ_ИЗМЕНЕН</v>
      </c>
      <c r="M2124" s="7">
        <f t="shared" si="135"/>
        <v>0</v>
      </c>
    </row>
    <row r="2125" spans="1:13" x14ac:dyDescent="0.25">
      <c r="A2125" s="1">
        <v>946387</v>
      </c>
      <c r="B2125" s="6" t="s">
        <v>2246</v>
      </c>
      <c r="F2125" s="6" t="s">
        <v>9</v>
      </c>
      <c r="G2125" s="6" t="s">
        <v>59</v>
      </c>
      <c r="H2125" s="9" t="s">
        <v>60</v>
      </c>
      <c r="I2125" s="7" t="str">
        <f t="shared" si="132"/>
        <v>61001001001</v>
      </c>
      <c r="J2125" s="7" t="str">
        <f t="shared" si="133"/>
        <v>Материал по ЕГРН</v>
      </c>
      <c r="K2125" s="7">
        <f>VLOOKUP(J2125,Лист2!A$2:B$4,2,FALSE)</f>
        <v>792</v>
      </c>
      <c r="L2125" s="7" t="str">
        <f t="shared" si="134"/>
        <v>ГОТОВ_ИЗМЕНЕН</v>
      </c>
      <c r="M2125" s="7">
        <f t="shared" si="135"/>
        <v>0</v>
      </c>
    </row>
    <row r="2126" spans="1:13" x14ac:dyDescent="0.25">
      <c r="A2126" s="1">
        <v>93699</v>
      </c>
      <c r="B2126" s="6" t="s">
        <v>2247</v>
      </c>
      <c r="C2126" s="9" t="s">
        <v>33</v>
      </c>
      <c r="D2126" s="6" t="s">
        <v>20</v>
      </c>
      <c r="E2126" s="6" t="s">
        <v>37</v>
      </c>
      <c r="F2126" s="6" t="s">
        <v>9</v>
      </c>
      <c r="G2126" s="6" t="s">
        <v>38</v>
      </c>
      <c r="H2126" s="9" t="s">
        <v>33</v>
      </c>
      <c r="I2126" s="7" t="str">
        <f t="shared" si="132"/>
        <v>61001005000</v>
      </c>
      <c r="J2126" s="7" t="str">
        <f t="shared" si="133"/>
        <v>Материал по ЕГРН</v>
      </c>
      <c r="K2126" s="7">
        <f>VLOOKUP(J2126,Лист2!A$2:B$4,2,FALSE)</f>
        <v>792</v>
      </c>
      <c r="L2126" s="7" t="str">
        <f t="shared" si="134"/>
        <v>ГОТОВ</v>
      </c>
      <c r="M2126" s="7" t="str">
        <f t="shared" si="135"/>
        <v>61001005000</v>
      </c>
    </row>
    <row r="2127" spans="1:13" x14ac:dyDescent="0.25">
      <c r="A2127" s="1">
        <v>436605</v>
      </c>
      <c r="B2127" s="6" t="s">
        <v>2248</v>
      </c>
      <c r="C2127" s="9" t="s">
        <v>33</v>
      </c>
      <c r="D2127" s="6" t="s">
        <v>20</v>
      </c>
      <c r="E2127" s="6" t="s">
        <v>8</v>
      </c>
      <c r="F2127" s="6" t="s">
        <v>9</v>
      </c>
      <c r="G2127" s="6" t="s">
        <v>454</v>
      </c>
      <c r="H2127" s="9" t="s">
        <v>455</v>
      </c>
      <c r="I2127" s="7" t="str">
        <f t="shared" si="132"/>
        <v>61001003000</v>
      </c>
      <c r="J2127" s="7" t="str">
        <f t="shared" si="133"/>
        <v>Смешанные по допущению</v>
      </c>
      <c r="K2127" s="7">
        <f>VLOOKUP(J2127,Лист2!A$2:B$4,2,FALSE)</f>
        <v>793</v>
      </c>
      <c r="L2127" s="7" t="str">
        <f t="shared" si="134"/>
        <v>ГОТОВ_ИЗМЕНЕН</v>
      </c>
      <c r="M2127" s="7" t="str">
        <f t="shared" si="135"/>
        <v>61001005000</v>
      </c>
    </row>
    <row r="2128" spans="1:13" x14ac:dyDescent="0.25">
      <c r="A2128" s="1">
        <v>650430</v>
      </c>
      <c r="B2128" s="6" t="s">
        <v>2249</v>
      </c>
      <c r="C2128" s="9" t="s">
        <v>33</v>
      </c>
      <c r="D2128" s="6" t="s">
        <v>20</v>
      </c>
      <c r="E2128" s="6" t="s">
        <v>37</v>
      </c>
      <c r="F2128" s="6" t="s">
        <v>9</v>
      </c>
      <c r="G2128" s="6" t="s">
        <v>38</v>
      </c>
      <c r="H2128" s="9" t="s">
        <v>33</v>
      </c>
      <c r="I2128" s="7" t="str">
        <f t="shared" si="132"/>
        <v>61001005000</v>
      </c>
      <c r="J2128" s="7" t="str">
        <f t="shared" si="133"/>
        <v>Материал по ЕГРН</v>
      </c>
      <c r="K2128" s="7">
        <f>VLOOKUP(J2128,Лист2!A$2:B$4,2,FALSE)</f>
        <v>792</v>
      </c>
      <c r="L2128" s="7" t="str">
        <f t="shared" si="134"/>
        <v>ГОТОВ</v>
      </c>
      <c r="M2128" s="7" t="str">
        <f t="shared" si="135"/>
        <v>61001005000</v>
      </c>
    </row>
    <row r="2129" spans="1:13" x14ac:dyDescent="0.25">
      <c r="A2129" s="1">
        <v>944911</v>
      </c>
      <c r="B2129" s="6" t="s">
        <v>2250</v>
      </c>
      <c r="F2129" s="6" t="s">
        <v>9</v>
      </c>
      <c r="G2129" s="6" t="s">
        <v>38</v>
      </c>
      <c r="H2129" s="9" t="s">
        <v>33</v>
      </c>
      <c r="I2129" s="7" t="str">
        <f t="shared" si="132"/>
        <v>61001005000</v>
      </c>
      <c r="J2129" s="7" t="str">
        <f t="shared" si="133"/>
        <v>Материал по ЕГРН</v>
      </c>
      <c r="K2129" s="7">
        <f>VLOOKUP(J2129,Лист2!A$2:B$4,2,FALSE)</f>
        <v>792</v>
      </c>
      <c r="L2129" s="7" t="str">
        <f t="shared" si="134"/>
        <v>ГОТОВ_ИЗМЕНЕН</v>
      </c>
      <c r="M2129" s="7">
        <f t="shared" si="135"/>
        <v>0</v>
      </c>
    </row>
    <row r="2130" spans="1:13" x14ac:dyDescent="0.25">
      <c r="A2130" s="1">
        <v>944923</v>
      </c>
      <c r="B2130" s="6" t="s">
        <v>2251</v>
      </c>
      <c r="F2130" s="6" t="s">
        <v>9</v>
      </c>
      <c r="G2130" s="6" t="s">
        <v>38</v>
      </c>
      <c r="H2130" s="9" t="s">
        <v>33</v>
      </c>
      <c r="I2130" s="7" t="str">
        <f t="shared" si="132"/>
        <v>61001005000</v>
      </c>
      <c r="J2130" s="7" t="str">
        <f t="shared" si="133"/>
        <v>Материал по ЕГРН</v>
      </c>
      <c r="K2130" s="7">
        <f>VLOOKUP(J2130,Лист2!A$2:B$4,2,FALSE)</f>
        <v>792</v>
      </c>
      <c r="L2130" s="7" t="str">
        <f t="shared" si="134"/>
        <v>ГОТОВ_ИЗМЕНЕН</v>
      </c>
      <c r="M2130" s="7">
        <f t="shared" si="135"/>
        <v>0</v>
      </c>
    </row>
    <row r="2131" spans="1:13" x14ac:dyDescent="0.25">
      <c r="A2131" s="1">
        <v>944935</v>
      </c>
      <c r="B2131" s="6" t="s">
        <v>2252</v>
      </c>
      <c r="F2131" s="6" t="s">
        <v>9</v>
      </c>
      <c r="G2131" s="6" t="s">
        <v>62</v>
      </c>
      <c r="H2131" s="9" t="s">
        <v>63</v>
      </c>
      <c r="I2131" s="7" t="str">
        <f t="shared" si="132"/>
        <v>61001006002</v>
      </c>
      <c r="J2131" s="7" t="str">
        <f t="shared" si="133"/>
        <v>Материал по ЕГРН</v>
      </c>
      <c r="K2131" s="7">
        <f>VLOOKUP(J2131,Лист2!A$2:B$4,2,FALSE)</f>
        <v>792</v>
      </c>
      <c r="L2131" s="7" t="str">
        <f t="shared" si="134"/>
        <v>ГОТОВ_ИЗМЕНЕН</v>
      </c>
      <c r="M2131" s="7">
        <f t="shared" si="135"/>
        <v>0</v>
      </c>
    </row>
    <row r="2132" spans="1:13" x14ac:dyDescent="0.25">
      <c r="A2132" s="1">
        <v>944947</v>
      </c>
      <c r="B2132" s="6" t="s">
        <v>2253</v>
      </c>
      <c r="F2132" s="6" t="s">
        <v>9</v>
      </c>
      <c r="G2132" s="6" t="s">
        <v>38</v>
      </c>
      <c r="H2132" s="9" t="s">
        <v>33</v>
      </c>
      <c r="I2132" s="7" t="str">
        <f t="shared" si="132"/>
        <v>61001005000</v>
      </c>
      <c r="J2132" s="7" t="str">
        <f t="shared" si="133"/>
        <v>Материал по ЕГРН</v>
      </c>
      <c r="K2132" s="7">
        <f>VLOOKUP(J2132,Лист2!A$2:B$4,2,FALSE)</f>
        <v>792</v>
      </c>
      <c r="L2132" s="7" t="str">
        <f t="shared" si="134"/>
        <v>ГОТОВ_ИЗМЕНЕН</v>
      </c>
      <c r="M2132" s="7">
        <f t="shared" si="135"/>
        <v>0</v>
      </c>
    </row>
    <row r="2133" spans="1:13" x14ac:dyDescent="0.25">
      <c r="A2133" s="1">
        <v>944959</v>
      </c>
      <c r="B2133" s="6" t="s">
        <v>2254</v>
      </c>
      <c r="F2133" s="6" t="s">
        <v>9</v>
      </c>
      <c r="G2133" s="6" t="s">
        <v>38</v>
      </c>
      <c r="H2133" s="9" t="s">
        <v>33</v>
      </c>
      <c r="I2133" s="7" t="str">
        <f t="shared" si="132"/>
        <v>61001005000</v>
      </c>
      <c r="J2133" s="7" t="str">
        <f t="shared" si="133"/>
        <v>Материал по ЕГРН</v>
      </c>
      <c r="K2133" s="7">
        <f>VLOOKUP(J2133,Лист2!A$2:B$4,2,FALSE)</f>
        <v>792</v>
      </c>
      <c r="L2133" s="7" t="str">
        <f t="shared" si="134"/>
        <v>ГОТОВ_ИЗМЕНЕН</v>
      </c>
      <c r="M2133" s="7">
        <f t="shared" si="135"/>
        <v>0</v>
      </c>
    </row>
    <row r="2134" spans="1:13" x14ac:dyDescent="0.25">
      <c r="A2134" s="1">
        <v>944971</v>
      </c>
      <c r="B2134" s="6" t="s">
        <v>2255</v>
      </c>
      <c r="F2134" s="6" t="s">
        <v>9</v>
      </c>
      <c r="G2134" s="6" t="s">
        <v>90</v>
      </c>
      <c r="H2134" s="9" t="s">
        <v>12</v>
      </c>
      <c r="I2134" s="7" t="str">
        <f t="shared" si="132"/>
        <v>61001008000</v>
      </c>
      <c r="J2134" s="7" t="str">
        <f t="shared" si="133"/>
        <v>Материал по ЕГРН</v>
      </c>
      <c r="K2134" s="7">
        <f>VLOOKUP(J2134,Лист2!A$2:B$4,2,FALSE)</f>
        <v>792</v>
      </c>
      <c r="L2134" s="7" t="str">
        <f t="shared" si="134"/>
        <v>ГОТОВ_ИЗМЕНЕН</v>
      </c>
      <c r="M2134" s="7">
        <f t="shared" si="135"/>
        <v>0</v>
      </c>
    </row>
    <row r="2135" spans="1:13" x14ac:dyDescent="0.25">
      <c r="A2135" s="1">
        <v>944983</v>
      </c>
      <c r="B2135" s="6" t="s">
        <v>2256</v>
      </c>
      <c r="F2135" s="6" t="s">
        <v>9</v>
      </c>
      <c r="G2135" s="6" t="s">
        <v>43</v>
      </c>
      <c r="H2135" s="9" t="s">
        <v>42</v>
      </c>
      <c r="I2135" s="7" t="str">
        <f t="shared" si="132"/>
        <v>61001002001</v>
      </c>
      <c r="J2135" s="7" t="str">
        <f t="shared" si="133"/>
        <v>Материал по ЕГРН</v>
      </c>
      <c r="K2135" s="7">
        <f>VLOOKUP(J2135,Лист2!A$2:B$4,2,FALSE)</f>
        <v>792</v>
      </c>
      <c r="L2135" s="7" t="str">
        <f t="shared" si="134"/>
        <v>ГОТОВ_ИЗМЕНЕН</v>
      </c>
      <c r="M2135" s="7">
        <f t="shared" si="135"/>
        <v>0</v>
      </c>
    </row>
    <row r="2136" spans="1:13" x14ac:dyDescent="0.25">
      <c r="A2136" s="1">
        <v>944995</v>
      </c>
      <c r="B2136" s="6" t="s">
        <v>2257</v>
      </c>
      <c r="F2136" s="6" t="s">
        <v>9</v>
      </c>
      <c r="G2136" s="6" t="s">
        <v>38</v>
      </c>
      <c r="H2136" s="9" t="s">
        <v>33</v>
      </c>
      <c r="I2136" s="7" t="str">
        <f t="shared" si="132"/>
        <v>61001005000</v>
      </c>
      <c r="J2136" s="7" t="str">
        <f t="shared" si="133"/>
        <v>Материал по ЕГРН</v>
      </c>
      <c r="K2136" s="7">
        <f>VLOOKUP(J2136,Лист2!A$2:B$4,2,FALSE)</f>
        <v>792</v>
      </c>
      <c r="L2136" s="7" t="str">
        <f t="shared" si="134"/>
        <v>ГОТОВ_ИЗМЕНЕН</v>
      </c>
      <c r="M2136" s="7">
        <f t="shared" si="135"/>
        <v>0</v>
      </c>
    </row>
    <row r="2137" spans="1:13" x14ac:dyDescent="0.25">
      <c r="A2137" s="1">
        <v>945007</v>
      </c>
      <c r="B2137" s="6" t="s">
        <v>2258</v>
      </c>
      <c r="F2137" s="6" t="s">
        <v>9</v>
      </c>
      <c r="G2137" s="6" t="s">
        <v>38</v>
      </c>
      <c r="H2137" s="9" t="s">
        <v>33</v>
      </c>
      <c r="I2137" s="7" t="str">
        <f t="shared" si="132"/>
        <v>61001005000</v>
      </c>
      <c r="J2137" s="7" t="str">
        <f t="shared" si="133"/>
        <v>Материал по ЕГРН</v>
      </c>
      <c r="K2137" s="7">
        <f>VLOOKUP(J2137,Лист2!A$2:B$4,2,FALSE)</f>
        <v>792</v>
      </c>
      <c r="L2137" s="7" t="str">
        <f t="shared" si="134"/>
        <v>ГОТОВ_ИЗМЕНЕН</v>
      </c>
      <c r="M2137" s="7">
        <f t="shared" si="135"/>
        <v>0</v>
      </c>
    </row>
    <row r="2138" spans="1:13" x14ac:dyDescent="0.25">
      <c r="A2138" s="1">
        <v>945019</v>
      </c>
      <c r="B2138" s="6" t="s">
        <v>2259</v>
      </c>
      <c r="F2138" s="6" t="s">
        <v>9</v>
      </c>
      <c r="G2138" s="6" t="s">
        <v>34</v>
      </c>
      <c r="H2138" s="9" t="s">
        <v>35</v>
      </c>
      <c r="I2138" s="7" t="str">
        <f t="shared" si="132"/>
        <v>61001002000</v>
      </c>
      <c r="J2138" s="7" t="str">
        <f t="shared" si="133"/>
        <v>Материал по ЕГРН</v>
      </c>
      <c r="K2138" s="7">
        <f>VLOOKUP(J2138,Лист2!A$2:B$4,2,FALSE)</f>
        <v>792</v>
      </c>
      <c r="L2138" s="7" t="str">
        <f t="shared" si="134"/>
        <v>ГОТОВ_ИЗМЕНЕН</v>
      </c>
      <c r="M2138" s="7">
        <f t="shared" si="135"/>
        <v>0</v>
      </c>
    </row>
    <row r="2139" spans="1:13" x14ac:dyDescent="0.25">
      <c r="A2139" s="1">
        <v>945031</v>
      </c>
      <c r="B2139" s="6" t="s">
        <v>2260</v>
      </c>
      <c r="F2139" s="6" t="s">
        <v>9</v>
      </c>
      <c r="G2139" s="6" t="s">
        <v>90</v>
      </c>
      <c r="H2139" s="9" t="s">
        <v>12</v>
      </c>
      <c r="I2139" s="7" t="str">
        <f t="shared" si="132"/>
        <v>61001008000</v>
      </c>
      <c r="J2139" s="7" t="str">
        <f t="shared" si="133"/>
        <v>Материал по ЕГРН</v>
      </c>
      <c r="K2139" s="7">
        <f>VLOOKUP(J2139,Лист2!A$2:B$4,2,FALSE)</f>
        <v>792</v>
      </c>
      <c r="L2139" s="7" t="str">
        <f t="shared" si="134"/>
        <v>ГОТОВ_ИЗМЕНЕН</v>
      </c>
      <c r="M2139" s="7">
        <f t="shared" si="135"/>
        <v>0</v>
      </c>
    </row>
    <row r="2140" spans="1:13" x14ac:dyDescent="0.25">
      <c r="A2140" s="1">
        <v>945043</v>
      </c>
      <c r="B2140" s="6" t="s">
        <v>2261</v>
      </c>
      <c r="F2140" s="6" t="s">
        <v>9</v>
      </c>
      <c r="G2140" s="6" t="s">
        <v>34</v>
      </c>
      <c r="H2140" s="9" t="s">
        <v>35</v>
      </c>
      <c r="I2140" s="7" t="str">
        <f t="shared" si="132"/>
        <v>61001002000</v>
      </c>
      <c r="J2140" s="7" t="str">
        <f t="shared" si="133"/>
        <v>Материал по ЕГРН</v>
      </c>
      <c r="K2140" s="7">
        <f>VLOOKUP(J2140,Лист2!A$2:B$4,2,FALSE)</f>
        <v>792</v>
      </c>
      <c r="L2140" s="7" t="str">
        <f t="shared" si="134"/>
        <v>ГОТОВ_ИЗМЕНЕН</v>
      </c>
      <c r="M2140" s="7">
        <f t="shared" si="135"/>
        <v>0</v>
      </c>
    </row>
    <row r="2141" spans="1:13" x14ac:dyDescent="0.25">
      <c r="A2141" s="1">
        <v>945055</v>
      </c>
      <c r="B2141" s="6" t="s">
        <v>2262</v>
      </c>
      <c r="F2141" s="6" t="s">
        <v>9</v>
      </c>
      <c r="G2141" s="6" t="s">
        <v>38</v>
      </c>
      <c r="H2141" s="9" t="s">
        <v>33</v>
      </c>
      <c r="I2141" s="7" t="str">
        <f t="shared" si="132"/>
        <v>61001005000</v>
      </c>
      <c r="J2141" s="7" t="str">
        <f t="shared" si="133"/>
        <v>Материал по ЕГРН</v>
      </c>
      <c r="K2141" s="7">
        <f>VLOOKUP(J2141,Лист2!A$2:B$4,2,FALSE)</f>
        <v>792</v>
      </c>
      <c r="L2141" s="7" t="str">
        <f t="shared" si="134"/>
        <v>ГОТОВ_ИЗМЕНЕН</v>
      </c>
      <c r="M2141" s="7">
        <f t="shared" si="135"/>
        <v>0</v>
      </c>
    </row>
    <row r="2142" spans="1:13" x14ac:dyDescent="0.25">
      <c r="A2142" s="1">
        <v>945067</v>
      </c>
      <c r="B2142" s="6" t="s">
        <v>2263</v>
      </c>
      <c r="F2142" s="6" t="s">
        <v>9</v>
      </c>
      <c r="G2142" s="6" t="s">
        <v>38</v>
      </c>
      <c r="H2142" s="9" t="s">
        <v>33</v>
      </c>
      <c r="I2142" s="7" t="str">
        <f t="shared" si="132"/>
        <v>61001005000</v>
      </c>
      <c r="J2142" s="7" t="str">
        <f t="shared" si="133"/>
        <v>Материал по ЕГРН</v>
      </c>
      <c r="K2142" s="7">
        <f>VLOOKUP(J2142,Лист2!A$2:B$4,2,FALSE)</f>
        <v>792</v>
      </c>
      <c r="L2142" s="7" t="str">
        <f t="shared" si="134"/>
        <v>ГОТОВ_ИЗМЕНЕН</v>
      </c>
      <c r="M2142" s="7">
        <f t="shared" si="135"/>
        <v>0</v>
      </c>
    </row>
    <row r="2143" spans="1:13" x14ac:dyDescent="0.25">
      <c r="A2143" s="1">
        <v>945079</v>
      </c>
      <c r="B2143" s="6" t="s">
        <v>2264</v>
      </c>
      <c r="F2143" s="6" t="s">
        <v>9</v>
      </c>
      <c r="G2143" s="6" t="s">
        <v>34</v>
      </c>
      <c r="H2143" s="9" t="s">
        <v>35</v>
      </c>
      <c r="I2143" s="7" t="str">
        <f t="shared" si="132"/>
        <v>61001002000</v>
      </c>
      <c r="J2143" s="7" t="str">
        <f t="shared" si="133"/>
        <v>Материал по ЕГРН</v>
      </c>
      <c r="K2143" s="7">
        <f>VLOOKUP(J2143,Лист2!A$2:B$4,2,FALSE)</f>
        <v>792</v>
      </c>
      <c r="L2143" s="7" t="str">
        <f t="shared" si="134"/>
        <v>ГОТОВ_ИЗМЕНЕН</v>
      </c>
      <c r="M2143" s="7">
        <f t="shared" si="135"/>
        <v>0</v>
      </c>
    </row>
    <row r="2144" spans="1:13" x14ac:dyDescent="0.25">
      <c r="A2144" s="1">
        <v>945091</v>
      </c>
      <c r="B2144" s="6" t="s">
        <v>2265</v>
      </c>
      <c r="F2144" s="6" t="s">
        <v>9</v>
      </c>
      <c r="G2144" s="6" t="s">
        <v>34</v>
      </c>
      <c r="H2144" s="9" t="s">
        <v>35</v>
      </c>
      <c r="I2144" s="7" t="str">
        <f t="shared" si="132"/>
        <v>61001002000</v>
      </c>
      <c r="J2144" s="7" t="str">
        <f t="shared" si="133"/>
        <v>Материал по ЕГРН</v>
      </c>
      <c r="K2144" s="7">
        <f>VLOOKUP(J2144,Лист2!A$2:B$4,2,FALSE)</f>
        <v>792</v>
      </c>
      <c r="L2144" s="7" t="str">
        <f t="shared" si="134"/>
        <v>ГОТОВ_ИЗМЕНЕН</v>
      </c>
      <c r="M2144" s="7">
        <f t="shared" si="135"/>
        <v>0</v>
      </c>
    </row>
    <row r="2145" spans="1:13" x14ac:dyDescent="0.25">
      <c r="A2145" s="1">
        <v>945103</v>
      </c>
      <c r="B2145" s="6" t="s">
        <v>2266</v>
      </c>
      <c r="F2145" s="6" t="s">
        <v>9</v>
      </c>
      <c r="G2145" s="6" t="s">
        <v>38</v>
      </c>
      <c r="H2145" s="9" t="s">
        <v>33</v>
      </c>
      <c r="I2145" s="7" t="str">
        <f t="shared" si="132"/>
        <v>61001005000</v>
      </c>
      <c r="J2145" s="7" t="str">
        <f t="shared" si="133"/>
        <v>Материал по ЕГРН</v>
      </c>
      <c r="K2145" s="7">
        <f>VLOOKUP(J2145,Лист2!A$2:B$4,2,FALSE)</f>
        <v>792</v>
      </c>
      <c r="L2145" s="7" t="str">
        <f t="shared" si="134"/>
        <v>ГОТОВ_ИЗМЕНЕН</v>
      </c>
      <c r="M2145" s="7">
        <f t="shared" si="135"/>
        <v>0</v>
      </c>
    </row>
    <row r="2146" spans="1:13" x14ac:dyDescent="0.25">
      <c r="A2146" s="1">
        <v>945115</v>
      </c>
      <c r="B2146" s="6" t="s">
        <v>2267</v>
      </c>
      <c r="F2146" s="6" t="s">
        <v>9</v>
      </c>
      <c r="G2146" s="6" t="s">
        <v>34</v>
      </c>
      <c r="H2146" s="9" t="s">
        <v>35</v>
      </c>
      <c r="I2146" s="7" t="str">
        <f t="shared" si="132"/>
        <v>61001002000</v>
      </c>
      <c r="J2146" s="7" t="str">
        <f t="shared" si="133"/>
        <v>Материал по ЕГРН</v>
      </c>
      <c r="K2146" s="7">
        <f>VLOOKUP(J2146,Лист2!A$2:B$4,2,FALSE)</f>
        <v>792</v>
      </c>
      <c r="L2146" s="7" t="str">
        <f t="shared" si="134"/>
        <v>ГОТОВ_ИЗМЕНЕН</v>
      </c>
      <c r="M2146" s="7">
        <f t="shared" si="135"/>
        <v>0</v>
      </c>
    </row>
    <row r="2147" spans="1:13" x14ac:dyDescent="0.25">
      <c r="A2147" s="1">
        <v>945127</v>
      </c>
      <c r="B2147" s="6" t="s">
        <v>2268</v>
      </c>
      <c r="F2147" s="6" t="s">
        <v>9</v>
      </c>
      <c r="G2147" s="6" t="s">
        <v>38</v>
      </c>
      <c r="H2147" s="9" t="s">
        <v>33</v>
      </c>
      <c r="I2147" s="7" t="str">
        <f t="shared" si="132"/>
        <v>61001005000</v>
      </c>
      <c r="J2147" s="7" t="str">
        <f t="shared" si="133"/>
        <v>Материал по ЕГРН</v>
      </c>
      <c r="K2147" s="7">
        <f>VLOOKUP(J2147,Лист2!A$2:B$4,2,FALSE)</f>
        <v>792</v>
      </c>
      <c r="L2147" s="7" t="str">
        <f t="shared" si="134"/>
        <v>ГОТОВ_ИЗМЕНЕН</v>
      </c>
      <c r="M2147" s="7">
        <f t="shared" si="135"/>
        <v>0</v>
      </c>
    </row>
    <row r="2148" spans="1:13" x14ac:dyDescent="0.25">
      <c r="A2148" s="1">
        <v>945139</v>
      </c>
      <c r="B2148" s="6" t="s">
        <v>2269</v>
      </c>
      <c r="F2148" s="6" t="s">
        <v>9</v>
      </c>
      <c r="G2148" s="6" t="s">
        <v>149</v>
      </c>
      <c r="H2148" s="9" t="s">
        <v>150</v>
      </c>
      <c r="I2148" s="7" t="str">
        <f t="shared" si="132"/>
        <v>61001007000</v>
      </c>
      <c r="J2148" s="7" t="str">
        <f t="shared" si="133"/>
        <v>Материал по ЕГРН</v>
      </c>
      <c r="K2148" s="7">
        <f>VLOOKUP(J2148,Лист2!A$2:B$4,2,FALSE)</f>
        <v>792</v>
      </c>
      <c r="L2148" s="7" t="str">
        <f t="shared" si="134"/>
        <v>ГОТОВ_ИЗМЕНЕН</v>
      </c>
      <c r="M2148" s="7">
        <f t="shared" si="135"/>
        <v>0</v>
      </c>
    </row>
    <row r="2149" spans="1:13" x14ac:dyDescent="0.25">
      <c r="A2149" s="1">
        <v>945151</v>
      </c>
      <c r="B2149" s="6" t="s">
        <v>2270</v>
      </c>
      <c r="F2149" s="6" t="s">
        <v>9</v>
      </c>
      <c r="G2149" s="6" t="s">
        <v>73</v>
      </c>
      <c r="H2149" s="9" t="s">
        <v>74</v>
      </c>
      <c r="I2149" s="7" t="str">
        <f t="shared" si="132"/>
        <v>61001006000</v>
      </c>
      <c r="J2149" s="7" t="str">
        <f t="shared" si="133"/>
        <v>Материал по ЕГРН</v>
      </c>
      <c r="K2149" s="7">
        <f>VLOOKUP(J2149,Лист2!A$2:B$4,2,FALSE)</f>
        <v>792</v>
      </c>
      <c r="L2149" s="7" t="str">
        <f t="shared" si="134"/>
        <v>ГОТОВ_ИЗМЕНЕН</v>
      </c>
      <c r="M2149" s="7">
        <f t="shared" si="135"/>
        <v>0</v>
      </c>
    </row>
    <row r="2150" spans="1:13" x14ac:dyDescent="0.25">
      <c r="A2150" s="1">
        <v>945163</v>
      </c>
      <c r="B2150" s="6" t="s">
        <v>2271</v>
      </c>
      <c r="F2150" s="6" t="s">
        <v>9</v>
      </c>
      <c r="G2150" s="6" t="s">
        <v>38</v>
      </c>
      <c r="H2150" s="9" t="s">
        <v>33</v>
      </c>
      <c r="I2150" s="7" t="str">
        <f t="shared" si="132"/>
        <v>61001005000</v>
      </c>
      <c r="J2150" s="7" t="str">
        <f t="shared" si="133"/>
        <v>Материал по ЕГРН</v>
      </c>
      <c r="K2150" s="7">
        <f>VLOOKUP(J2150,Лист2!A$2:B$4,2,FALSE)</f>
        <v>792</v>
      </c>
      <c r="L2150" s="7" t="str">
        <f t="shared" si="134"/>
        <v>ГОТОВ_ИЗМЕНЕН</v>
      </c>
      <c r="M2150" s="7">
        <f t="shared" si="135"/>
        <v>0</v>
      </c>
    </row>
    <row r="2151" spans="1:13" x14ac:dyDescent="0.25">
      <c r="A2151" s="1">
        <v>945175</v>
      </c>
      <c r="B2151" s="6" t="s">
        <v>2272</v>
      </c>
      <c r="F2151" s="6" t="s">
        <v>9</v>
      </c>
      <c r="G2151" s="6" t="s">
        <v>43</v>
      </c>
      <c r="H2151" s="9" t="s">
        <v>42</v>
      </c>
      <c r="I2151" s="7" t="str">
        <f t="shared" si="132"/>
        <v>61001002001</v>
      </c>
      <c r="J2151" s="7" t="str">
        <f t="shared" si="133"/>
        <v>Материал по ЕГРН</v>
      </c>
      <c r="K2151" s="7">
        <f>VLOOKUP(J2151,Лист2!A$2:B$4,2,FALSE)</f>
        <v>792</v>
      </c>
      <c r="L2151" s="7" t="str">
        <f t="shared" si="134"/>
        <v>ГОТОВ_ИЗМЕНЕН</v>
      </c>
      <c r="M2151" s="7">
        <f t="shared" si="135"/>
        <v>0</v>
      </c>
    </row>
    <row r="2152" spans="1:13" x14ac:dyDescent="0.25">
      <c r="A2152" s="1">
        <v>945187</v>
      </c>
      <c r="B2152" s="6" t="s">
        <v>2273</v>
      </c>
      <c r="F2152" s="6" t="s">
        <v>9</v>
      </c>
      <c r="G2152" s="6" t="s">
        <v>34</v>
      </c>
      <c r="H2152" s="9" t="s">
        <v>35</v>
      </c>
      <c r="I2152" s="7" t="str">
        <f t="shared" si="132"/>
        <v>61001002000</v>
      </c>
      <c r="J2152" s="7" t="str">
        <f t="shared" si="133"/>
        <v>Материал по ЕГРН</v>
      </c>
      <c r="K2152" s="7">
        <f>VLOOKUP(J2152,Лист2!A$2:B$4,2,FALSE)</f>
        <v>792</v>
      </c>
      <c r="L2152" s="7" t="str">
        <f t="shared" si="134"/>
        <v>ГОТОВ_ИЗМЕНЕН</v>
      </c>
      <c r="M2152" s="7">
        <f t="shared" si="135"/>
        <v>0</v>
      </c>
    </row>
    <row r="2153" spans="1:13" x14ac:dyDescent="0.25">
      <c r="A2153" s="1">
        <v>234303</v>
      </c>
      <c r="B2153" s="6" t="s">
        <v>2274</v>
      </c>
      <c r="C2153" s="9" t="s">
        <v>60</v>
      </c>
      <c r="D2153" s="6" t="s">
        <v>20</v>
      </c>
      <c r="E2153" s="6" t="s">
        <v>37</v>
      </c>
      <c r="F2153" s="6" t="s">
        <v>9</v>
      </c>
      <c r="G2153" s="6" t="s">
        <v>59</v>
      </c>
      <c r="H2153" s="9" t="s">
        <v>60</v>
      </c>
      <c r="I2153" s="7" t="str">
        <f t="shared" si="132"/>
        <v>61001001001</v>
      </c>
      <c r="J2153" s="7" t="str">
        <f t="shared" si="133"/>
        <v>Материал по ЕГРН</v>
      </c>
      <c r="K2153" s="7">
        <f>VLOOKUP(J2153,Лист2!A$2:B$4,2,FALSE)</f>
        <v>792</v>
      </c>
      <c r="L2153" s="7" t="str">
        <f t="shared" si="134"/>
        <v>ГОТОВ</v>
      </c>
      <c r="M2153" s="7" t="str">
        <f t="shared" si="135"/>
        <v>61001001001</v>
      </c>
    </row>
    <row r="2154" spans="1:13" x14ac:dyDescent="0.25">
      <c r="A2154" s="1">
        <v>517502</v>
      </c>
      <c r="B2154" s="6" t="s">
        <v>2275</v>
      </c>
      <c r="C2154" s="9" t="s">
        <v>33</v>
      </c>
      <c r="D2154" s="6" t="s">
        <v>20</v>
      </c>
      <c r="E2154" s="6" t="s">
        <v>37</v>
      </c>
      <c r="F2154" s="6" t="s">
        <v>9</v>
      </c>
      <c r="G2154" s="6" t="s">
        <v>38</v>
      </c>
      <c r="H2154" s="9" t="s">
        <v>33</v>
      </c>
      <c r="I2154" s="7" t="str">
        <f t="shared" si="132"/>
        <v>61001005000</v>
      </c>
      <c r="J2154" s="7" t="str">
        <f t="shared" si="133"/>
        <v>Материал по ЕГРН</v>
      </c>
      <c r="K2154" s="7">
        <f>VLOOKUP(J2154,Лист2!A$2:B$4,2,FALSE)</f>
        <v>792</v>
      </c>
      <c r="L2154" s="7" t="str">
        <f t="shared" si="134"/>
        <v>ГОТОВ</v>
      </c>
      <c r="M2154" s="7" t="str">
        <f t="shared" si="135"/>
        <v>61001005000</v>
      </c>
    </row>
    <row r="2155" spans="1:13" x14ac:dyDescent="0.25">
      <c r="A2155" s="1">
        <v>797122</v>
      </c>
      <c r="B2155" s="6" t="s">
        <v>2276</v>
      </c>
      <c r="C2155" s="9" t="s">
        <v>33</v>
      </c>
      <c r="D2155" s="6" t="s">
        <v>20</v>
      </c>
      <c r="E2155" s="6" t="s">
        <v>37</v>
      </c>
      <c r="F2155" s="6" t="s">
        <v>9</v>
      </c>
      <c r="G2155" s="6" t="s">
        <v>38</v>
      </c>
      <c r="H2155" s="9" t="s">
        <v>33</v>
      </c>
      <c r="I2155" s="7" t="str">
        <f t="shared" si="132"/>
        <v>61001005000</v>
      </c>
      <c r="J2155" s="7" t="str">
        <f t="shared" si="133"/>
        <v>Материал по ЕГРН</v>
      </c>
      <c r="K2155" s="7">
        <f>VLOOKUP(J2155,Лист2!A$2:B$4,2,FALSE)</f>
        <v>792</v>
      </c>
      <c r="L2155" s="7" t="str">
        <f t="shared" si="134"/>
        <v>ГОТОВ</v>
      </c>
      <c r="M2155" s="7" t="str">
        <f t="shared" si="135"/>
        <v>61001005000</v>
      </c>
    </row>
    <row r="2156" spans="1:13" x14ac:dyDescent="0.25">
      <c r="A2156" s="1">
        <v>945202</v>
      </c>
      <c r="B2156" s="6" t="s">
        <v>2277</v>
      </c>
      <c r="F2156" s="6" t="s">
        <v>9</v>
      </c>
      <c r="G2156" s="6" t="s">
        <v>38</v>
      </c>
      <c r="H2156" s="9" t="s">
        <v>33</v>
      </c>
      <c r="I2156" s="7" t="str">
        <f t="shared" si="132"/>
        <v>61001005000</v>
      </c>
      <c r="J2156" s="7" t="str">
        <f t="shared" si="133"/>
        <v>Материал по ЕГРН</v>
      </c>
      <c r="K2156" s="7">
        <f>VLOOKUP(J2156,Лист2!A$2:B$4,2,FALSE)</f>
        <v>792</v>
      </c>
      <c r="L2156" s="7" t="str">
        <f t="shared" si="134"/>
        <v>ГОТОВ_ИЗМЕНЕН</v>
      </c>
      <c r="M2156" s="7">
        <f t="shared" si="135"/>
        <v>0</v>
      </c>
    </row>
    <row r="2157" spans="1:13" x14ac:dyDescent="0.25">
      <c r="A2157" s="1">
        <v>945214</v>
      </c>
      <c r="B2157" s="6" t="s">
        <v>2278</v>
      </c>
      <c r="F2157" s="6" t="s">
        <v>9</v>
      </c>
      <c r="G2157" s="6" t="s">
        <v>38</v>
      </c>
      <c r="H2157" s="9" t="s">
        <v>33</v>
      </c>
      <c r="I2157" s="7" t="str">
        <f t="shared" si="132"/>
        <v>61001005000</v>
      </c>
      <c r="J2157" s="7" t="str">
        <f t="shared" si="133"/>
        <v>Материал по ЕГРН</v>
      </c>
      <c r="K2157" s="7">
        <f>VLOOKUP(J2157,Лист2!A$2:B$4,2,FALSE)</f>
        <v>792</v>
      </c>
      <c r="L2157" s="7" t="str">
        <f t="shared" si="134"/>
        <v>ГОТОВ_ИЗМЕНЕН</v>
      </c>
      <c r="M2157" s="7">
        <f t="shared" si="135"/>
        <v>0</v>
      </c>
    </row>
    <row r="2158" spans="1:13" x14ac:dyDescent="0.25">
      <c r="A2158" s="1">
        <v>945226</v>
      </c>
      <c r="B2158" s="6" t="s">
        <v>2279</v>
      </c>
      <c r="F2158" s="6" t="s">
        <v>9</v>
      </c>
      <c r="G2158" s="6" t="s">
        <v>59</v>
      </c>
      <c r="H2158" s="9" t="s">
        <v>60</v>
      </c>
      <c r="I2158" s="7" t="str">
        <f t="shared" si="132"/>
        <v>61001001001</v>
      </c>
      <c r="J2158" s="7" t="str">
        <f t="shared" si="133"/>
        <v>Материал по ЕГРН</v>
      </c>
      <c r="K2158" s="7">
        <f>VLOOKUP(J2158,Лист2!A$2:B$4,2,FALSE)</f>
        <v>792</v>
      </c>
      <c r="L2158" s="7" t="str">
        <f t="shared" si="134"/>
        <v>ГОТОВ_ИЗМЕНЕН</v>
      </c>
      <c r="M2158" s="7">
        <f t="shared" si="135"/>
        <v>0</v>
      </c>
    </row>
    <row r="2159" spans="1:13" x14ac:dyDescent="0.25">
      <c r="A2159" s="1">
        <v>945238</v>
      </c>
      <c r="B2159" s="6" t="s">
        <v>2280</v>
      </c>
      <c r="F2159" s="6" t="s">
        <v>9</v>
      </c>
      <c r="G2159" s="6" t="s">
        <v>38</v>
      </c>
      <c r="H2159" s="9" t="s">
        <v>33</v>
      </c>
      <c r="I2159" s="7" t="str">
        <f t="shared" si="132"/>
        <v>61001005000</v>
      </c>
      <c r="J2159" s="7" t="str">
        <f t="shared" si="133"/>
        <v>Материал по ЕГРН</v>
      </c>
      <c r="K2159" s="7">
        <f>VLOOKUP(J2159,Лист2!A$2:B$4,2,FALSE)</f>
        <v>792</v>
      </c>
      <c r="L2159" s="7" t="str">
        <f t="shared" si="134"/>
        <v>ГОТОВ_ИЗМЕНЕН</v>
      </c>
      <c r="M2159" s="7">
        <f t="shared" si="135"/>
        <v>0</v>
      </c>
    </row>
    <row r="2160" spans="1:13" x14ac:dyDescent="0.25">
      <c r="A2160" s="1">
        <v>945250</v>
      </c>
      <c r="B2160" s="6" t="s">
        <v>2281</v>
      </c>
      <c r="F2160" s="6" t="s">
        <v>9</v>
      </c>
      <c r="G2160" s="6" t="s">
        <v>10</v>
      </c>
      <c r="H2160" s="9" t="s">
        <v>11</v>
      </c>
      <c r="I2160" s="7" t="str">
        <f t="shared" si="132"/>
        <v>61001003000</v>
      </c>
      <c r="J2160" s="7" t="str">
        <f t="shared" si="133"/>
        <v>Материал по ЕГРН</v>
      </c>
      <c r="K2160" s="7">
        <f>VLOOKUP(J2160,Лист2!A$2:B$4,2,FALSE)</f>
        <v>792</v>
      </c>
      <c r="L2160" s="7" t="str">
        <f t="shared" si="134"/>
        <v>ГОТОВ_ИЗМЕНЕН</v>
      </c>
      <c r="M2160" s="7">
        <f t="shared" si="135"/>
        <v>0</v>
      </c>
    </row>
    <row r="2161" spans="1:13" x14ac:dyDescent="0.25">
      <c r="A2161" s="1">
        <v>945262</v>
      </c>
      <c r="B2161" s="6" t="s">
        <v>2282</v>
      </c>
      <c r="F2161" s="6" t="s">
        <v>9</v>
      </c>
      <c r="G2161" s="6" t="s">
        <v>10</v>
      </c>
      <c r="H2161" s="9" t="s">
        <v>11</v>
      </c>
      <c r="I2161" s="7" t="str">
        <f t="shared" si="132"/>
        <v>61001003000</v>
      </c>
      <c r="J2161" s="7" t="str">
        <f t="shared" si="133"/>
        <v>Материал по ЕГРН</v>
      </c>
      <c r="K2161" s="7">
        <f>VLOOKUP(J2161,Лист2!A$2:B$4,2,FALSE)</f>
        <v>792</v>
      </c>
      <c r="L2161" s="7" t="str">
        <f t="shared" si="134"/>
        <v>ГОТОВ_ИЗМЕНЕН</v>
      </c>
      <c r="M2161" s="7">
        <f t="shared" si="135"/>
        <v>0</v>
      </c>
    </row>
    <row r="2162" spans="1:13" x14ac:dyDescent="0.25">
      <c r="A2162" s="1">
        <v>945274</v>
      </c>
      <c r="B2162" s="6" t="s">
        <v>2283</v>
      </c>
      <c r="F2162" s="6" t="s">
        <v>9</v>
      </c>
      <c r="G2162" s="6" t="s">
        <v>59</v>
      </c>
      <c r="H2162" s="9" t="s">
        <v>60</v>
      </c>
      <c r="I2162" s="7" t="str">
        <f t="shared" si="132"/>
        <v>61001001001</v>
      </c>
      <c r="J2162" s="7" t="str">
        <f t="shared" si="133"/>
        <v>Материал по ЕГРН</v>
      </c>
      <c r="K2162" s="7">
        <f>VLOOKUP(J2162,Лист2!A$2:B$4,2,FALSE)</f>
        <v>792</v>
      </c>
      <c r="L2162" s="7" t="str">
        <f t="shared" si="134"/>
        <v>ГОТОВ_ИЗМЕНЕН</v>
      </c>
      <c r="M2162" s="7">
        <f t="shared" si="135"/>
        <v>0</v>
      </c>
    </row>
    <row r="2163" spans="1:13" x14ac:dyDescent="0.25">
      <c r="A2163" s="1">
        <v>945286</v>
      </c>
      <c r="B2163" s="6" t="s">
        <v>2284</v>
      </c>
      <c r="F2163" s="6" t="s">
        <v>9</v>
      </c>
      <c r="G2163" s="6" t="s">
        <v>38</v>
      </c>
      <c r="H2163" s="9" t="s">
        <v>33</v>
      </c>
      <c r="I2163" s="7" t="str">
        <f t="shared" si="132"/>
        <v>61001005000</v>
      </c>
      <c r="J2163" s="7" t="str">
        <f t="shared" si="133"/>
        <v>Материал по ЕГРН</v>
      </c>
      <c r="K2163" s="7">
        <f>VLOOKUP(J2163,Лист2!A$2:B$4,2,FALSE)</f>
        <v>792</v>
      </c>
      <c r="L2163" s="7" t="str">
        <f t="shared" si="134"/>
        <v>ГОТОВ_ИЗМЕНЕН</v>
      </c>
      <c r="M2163" s="7">
        <f t="shared" si="135"/>
        <v>0</v>
      </c>
    </row>
    <row r="2164" spans="1:13" x14ac:dyDescent="0.25">
      <c r="A2164" s="1">
        <v>945298</v>
      </c>
      <c r="B2164" s="6" t="s">
        <v>2285</v>
      </c>
      <c r="F2164" s="6" t="s">
        <v>9</v>
      </c>
      <c r="G2164" s="6" t="s">
        <v>38</v>
      </c>
      <c r="H2164" s="9" t="s">
        <v>33</v>
      </c>
      <c r="I2164" s="7" t="str">
        <f t="shared" si="132"/>
        <v>61001005000</v>
      </c>
      <c r="J2164" s="7" t="str">
        <f t="shared" si="133"/>
        <v>Материал по ЕГРН</v>
      </c>
      <c r="K2164" s="7">
        <f>VLOOKUP(J2164,Лист2!A$2:B$4,2,FALSE)</f>
        <v>792</v>
      </c>
      <c r="L2164" s="7" t="str">
        <f t="shared" si="134"/>
        <v>ГОТОВ_ИЗМЕНЕН</v>
      </c>
      <c r="M2164" s="7">
        <f t="shared" si="135"/>
        <v>0</v>
      </c>
    </row>
    <row r="2165" spans="1:13" x14ac:dyDescent="0.25">
      <c r="A2165" s="1">
        <v>945310</v>
      </c>
      <c r="B2165" s="6" t="s">
        <v>2286</v>
      </c>
      <c r="F2165" s="6" t="s">
        <v>9</v>
      </c>
      <c r="G2165" s="6" t="s">
        <v>38</v>
      </c>
      <c r="H2165" s="9" t="s">
        <v>33</v>
      </c>
      <c r="I2165" s="7" t="str">
        <f t="shared" si="132"/>
        <v>61001005000</v>
      </c>
      <c r="J2165" s="7" t="str">
        <f t="shared" si="133"/>
        <v>Материал по ЕГРН</v>
      </c>
      <c r="K2165" s="7">
        <f>VLOOKUP(J2165,Лист2!A$2:B$4,2,FALSE)</f>
        <v>792</v>
      </c>
      <c r="L2165" s="7" t="str">
        <f t="shared" si="134"/>
        <v>ГОТОВ_ИЗМЕНЕН</v>
      </c>
      <c r="M2165" s="7">
        <f t="shared" si="135"/>
        <v>0</v>
      </c>
    </row>
    <row r="2166" spans="1:13" x14ac:dyDescent="0.25">
      <c r="A2166" s="1">
        <v>945322</v>
      </c>
      <c r="B2166" s="6" t="s">
        <v>2287</v>
      </c>
      <c r="F2166" s="6" t="s">
        <v>9</v>
      </c>
      <c r="G2166" s="6" t="s">
        <v>59</v>
      </c>
      <c r="H2166" s="9" t="s">
        <v>60</v>
      </c>
      <c r="I2166" s="7" t="str">
        <f t="shared" si="132"/>
        <v>61001001001</v>
      </c>
      <c r="J2166" s="7" t="str">
        <f t="shared" si="133"/>
        <v>Материал по ЕГРН</v>
      </c>
      <c r="K2166" s="7">
        <f>VLOOKUP(J2166,Лист2!A$2:B$4,2,FALSE)</f>
        <v>792</v>
      </c>
      <c r="L2166" s="7" t="str">
        <f t="shared" si="134"/>
        <v>ГОТОВ_ИЗМЕНЕН</v>
      </c>
      <c r="M2166" s="7">
        <f t="shared" si="135"/>
        <v>0</v>
      </c>
    </row>
    <row r="2167" spans="1:13" x14ac:dyDescent="0.25">
      <c r="A2167" s="1">
        <v>945334</v>
      </c>
      <c r="B2167" s="6" t="s">
        <v>2288</v>
      </c>
      <c r="F2167" s="6" t="s">
        <v>9</v>
      </c>
      <c r="G2167" s="6" t="s">
        <v>59</v>
      </c>
      <c r="H2167" s="9" t="s">
        <v>60</v>
      </c>
      <c r="I2167" s="7" t="str">
        <f t="shared" si="132"/>
        <v>61001001001</v>
      </c>
      <c r="J2167" s="7" t="str">
        <f t="shared" si="133"/>
        <v>Материал по ЕГРН</v>
      </c>
      <c r="K2167" s="7">
        <f>VLOOKUP(J2167,Лист2!A$2:B$4,2,FALSE)</f>
        <v>792</v>
      </c>
      <c r="L2167" s="7" t="str">
        <f t="shared" si="134"/>
        <v>ГОТОВ_ИЗМЕНЕН</v>
      </c>
      <c r="M2167" s="7">
        <f t="shared" si="135"/>
        <v>0</v>
      </c>
    </row>
    <row r="2168" spans="1:13" x14ac:dyDescent="0.25">
      <c r="A2168" s="1">
        <v>945346</v>
      </c>
      <c r="B2168" s="6" t="s">
        <v>2289</v>
      </c>
      <c r="F2168" s="6" t="s">
        <v>9</v>
      </c>
      <c r="G2168" s="6" t="s">
        <v>10</v>
      </c>
      <c r="H2168" s="9" t="s">
        <v>11</v>
      </c>
      <c r="I2168" s="7" t="str">
        <f t="shared" si="132"/>
        <v>61001003000</v>
      </c>
      <c r="J2168" s="7" t="str">
        <f t="shared" si="133"/>
        <v>Материал по ЕГРН</v>
      </c>
      <c r="K2168" s="7">
        <f>VLOOKUP(J2168,Лист2!A$2:B$4,2,FALSE)</f>
        <v>792</v>
      </c>
      <c r="L2168" s="7" t="str">
        <f t="shared" si="134"/>
        <v>ГОТОВ_ИЗМЕНЕН</v>
      </c>
      <c r="M2168" s="7">
        <f t="shared" si="135"/>
        <v>0</v>
      </c>
    </row>
    <row r="2169" spans="1:13" x14ac:dyDescent="0.25">
      <c r="A2169" s="1">
        <v>945358</v>
      </c>
      <c r="B2169" s="6" t="s">
        <v>2290</v>
      </c>
      <c r="F2169" s="6" t="s">
        <v>9</v>
      </c>
      <c r="G2169" s="6" t="s">
        <v>38</v>
      </c>
      <c r="H2169" s="9" t="s">
        <v>33</v>
      </c>
      <c r="I2169" s="7" t="str">
        <f t="shared" si="132"/>
        <v>61001005000</v>
      </c>
      <c r="J2169" s="7" t="str">
        <f t="shared" si="133"/>
        <v>Материал по ЕГРН</v>
      </c>
      <c r="K2169" s="7">
        <f>VLOOKUP(J2169,Лист2!A$2:B$4,2,FALSE)</f>
        <v>792</v>
      </c>
      <c r="L2169" s="7" t="str">
        <f t="shared" si="134"/>
        <v>ГОТОВ_ИЗМЕНЕН</v>
      </c>
      <c r="M2169" s="7">
        <f t="shared" si="135"/>
        <v>0</v>
      </c>
    </row>
    <row r="2170" spans="1:13" x14ac:dyDescent="0.25">
      <c r="A2170" s="1">
        <v>945370</v>
      </c>
      <c r="B2170" s="6" t="s">
        <v>2291</v>
      </c>
      <c r="F2170" s="6" t="s">
        <v>9</v>
      </c>
      <c r="G2170" s="6" t="s">
        <v>10</v>
      </c>
      <c r="H2170" s="9" t="s">
        <v>11</v>
      </c>
      <c r="I2170" s="7" t="str">
        <f t="shared" si="132"/>
        <v>61001003000</v>
      </c>
      <c r="J2170" s="7" t="str">
        <f t="shared" si="133"/>
        <v>Материал по ЕГРН</v>
      </c>
      <c r="K2170" s="7">
        <f>VLOOKUP(J2170,Лист2!A$2:B$4,2,FALSE)</f>
        <v>792</v>
      </c>
      <c r="L2170" s="7" t="str">
        <f t="shared" si="134"/>
        <v>ГОТОВ_ИЗМЕНЕН</v>
      </c>
      <c r="M2170" s="7">
        <f t="shared" si="135"/>
        <v>0</v>
      </c>
    </row>
    <row r="2171" spans="1:13" x14ac:dyDescent="0.25">
      <c r="A2171" s="1">
        <v>945382</v>
      </c>
      <c r="B2171" s="6" t="s">
        <v>2292</v>
      </c>
      <c r="F2171" s="6" t="s">
        <v>9</v>
      </c>
      <c r="G2171" s="6" t="s">
        <v>38</v>
      </c>
      <c r="H2171" s="9" t="s">
        <v>33</v>
      </c>
      <c r="I2171" s="7" t="str">
        <f t="shared" si="132"/>
        <v>61001005000</v>
      </c>
      <c r="J2171" s="7" t="str">
        <f t="shared" si="133"/>
        <v>Материал по ЕГРН</v>
      </c>
      <c r="K2171" s="7">
        <f>VLOOKUP(J2171,Лист2!A$2:B$4,2,FALSE)</f>
        <v>792</v>
      </c>
      <c r="L2171" s="7" t="str">
        <f t="shared" si="134"/>
        <v>ГОТОВ_ИЗМЕНЕН</v>
      </c>
      <c r="M2171" s="7">
        <f t="shared" si="135"/>
        <v>0</v>
      </c>
    </row>
    <row r="2172" spans="1:13" x14ac:dyDescent="0.25">
      <c r="A2172" s="1">
        <v>945394</v>
      </c>
      <c r="B2172" s="6" t="s">
        <v>2293</v>
      </c>
      <c r="F2172" s="6" t="s">
        <v>9</v>
      </c>
      <c r="G2172" s="6" t="s">
        <v>59</v>
      </c>
      <c r="H2172" s="9" t="s">
        <v>60</v>
      </c>
      <c r="I2172" s="7" t="str">
        <f t="shared" si="132"/>
        <v>61001001001</v>
      </c>
      <c r="J2172" s="7" t="str">
        <f t="shared" si="133"/>
        <v>Материал по ЕГРН</v>
      </c>
      <c r="K2172" s="7">
        <f>VLOOKUP(J2172,Лист2!A$2:B$4,2,FALSE)</f>
        <v>792</v>
      </c>
      <c r="L2172" s="7" t="str">
        <f t="shared" si="134"/>
        <v>ГОТОВ_ИЗМЕНЕН</v>
      </c>
      <c r="M2172" s="7">
        <f t="shared" si="135"/>
        <v>0</v>
      </c>
    </row>
    <row r="2173" spans="1:13" x14ac:dyDescent="0.25">
      <c r="A2173" s="1">
        <v>945406</v>
      </c>
      <c r="B2173" s="6" t="s">
        <v>2294</v>
      </c>
      <c r="F2173" s="6" t="s">
        <v>9</v>
      </c>
      <c r="G2173" s="6" t="s">
        <v>59</v>
      </c>
      <c r="H2173" s="9" t="s">
        <v>60</v>
      </c>
      <c r="I2173" s="7" t="str">
        <f t="shared" si="132"/>
        <v>61001001001</v>
      </c>
      <c r="J2173" s="7" t="str">
        <f t="shared" si="133"/>
        <v>Материал по ЕГРН</v>
      </c>
      <c r="K2173" s="7">
        <f>VLOOKUP(J2173,Лист2!A$2:B$4,2,FALSE)</f>
        <v>792</v>
      </c>
      <c r="L2173" s="7" t="str">
        <f t="shared" si="134"/>
        <v>ГОТОВ_ИЗМЕНЕН</v>
      </c>
      <c r="M2173" s="7">
        <f t="shared" si="135"/>
        <v>0</v>
      </c>
    </row>
    <row r="2174" spans="1:13" x14ac:dyDescent="0.25">
      <c r="A2174" s="1">
        <v>945418</v>
      </c>
      <c r="B2174" s="6" t="s">
        <v>2295</v>
      </c>
      <c r="F2174" s="6" t="s">
        <v>9</v>
      </c>
      <c r="G2174" s="6" t="s">
        <v>149</v>
      </c>
      <c r="H2174" s="9" t="s">
        <v>150</v>
      </c>
      <c r="I2174" s="7" t="str">
        <f t="shared" si="132"/>
        <v>61001007000</v>
      </c>
      <c r="J2174" s="7" t="str">
        <f t="shared" si="133"/>
        <v>Материал по ЕГРН</v>
      </c>
      <c r="K2174" s="7">
        <f>VLOOKUP(J2174,Лист2!A$2:B$4,2,FALSE)</f>
        <v>792</v>
      </c>
      <c r="L2174" s="7" t="str">
        <f t="shared" si="134"/>
        <v>ГОТОВ_ИЗМЕНЕН</v>
      </c>
      <c r="M2174" s="7">
        <f t="shared" si="135"/>
        <v>0</v>
      </c>
    </row>
    <row r="2175" spans="1:13" x14ac:dyDescent="0.25">
      <c r="A2175" s="1">
        <v>945430</v>
      </c>
      <c r="B2175" s="6" t="s">
        <v>2296</v>
      </c>
      <c r="F2175" s="6" t="s">
        <v>9</v>
      </c>
      <c r="G2175" s="6" t="s">
        <v>804</v>
      </c>
      <c r="H2175" s="9" t="s">
        <v>805</v>
      </c>
      <c r="I2175" s="7" t="str">
        <f t="shared" si="132"/>
        <v>61001003000</v>
      </c>
      <c r="J2175" s="7" t="str">
        <f t="shared" si="133"/>
        <v>Смешанные по допущению</v>
      </c>
      <c r="K2175" s="7">
        <f>VLOOKUP(J2175,Лист2!A$2:B$4,2,FALSE)</f>
        <v>793</v>
      </c>
      <c r="L2175" s="7" t="str">
        <f t="shared" si="134"/>
        <v>ГОТОВ_ИЗМЕНЕН</v>
      </c>
      <c r="M2175" s="7">
        <f t="shared" si="135"/>
        <v>0</v>
      </c>
    </row>
    <row r="2176" spans="1:13" x14ac:dyDescent="0.25">
      <c r="A2176" s="1">
        <v>945442</v>
      </c>
      <c r="B2176" s="6" t="s">
        <v>2297</v>
      </c>
      <c r="F2176" s="6" t="s">
        <v>9</v>
      </c>
      <c r="G2176" s="6" t="s">
        <v>38</v>
      </c>
      <c r="H2176" s="9" t="s">
        <v>33</v>
      </c>
      <c r="I2176" s="7" t="str">
        <f t="shared" si="132"/>
        <v>61001005000</v>
      </c>
      <c r="J2176" s="7" t="str">
        <f t="shared" si="133"/>
        <v>Материал по ЕГРН</v>
      </c>
      <c r="K2176" s="7">
        <f>VLOOKUP(J2176,Лист2!A$2:B$4,2,FALSE)</f>
        <v>792</v>
      </c>
      <c r="L2176" s="7" t="str">
        <f t="shared" si="134"/>
        <v>ГОТОВ_ИЗМЕНЕН</v>
      </c>
      <c r="M2176" s="7">
        <f t="shared" si="135"/>
        <v>0</v>
      </c>
    </row>
    <row r="2177" spans="1:13" x14ac:dyDescent="0.25">
      <c r="A2177" s="1">
        <v>945454</v>
      </c>
      <c r="B2177" s="6" t="s">
        <v>2298</v>
      </c>
      <c r="F2177" s="6" t="s">
        <v>9</v>
      </c>
      <c r="G2177" s="6" t="s">
        <v>59</v>
      </c>
      <c r="H2177" s="9" t="s">
        <v>60</v>
      </c>
      <c r="I2177" s="7" t="str">
        <f t="shared" si="132"/>
        <v>61001001001</v>
      </c>
      <c r="J2177" s="7" t="str">
        <f t="shared" si="133"/>
        <v>Материал по ЕГРН</v>
      </c>
      <c r="K2177" s="7">
        <f>VLOOKUP(J2177,Лист2!A$2:B$4,2,FALSE)</f>
        <v>792</v>
      </c>
      <c r="L2177" s="7" t="str">
        <f t="shared" si="134"/>
        <v>ГОТОВ_ИЗМЕНЕН</v>
      </c>
      <c r="M2177" s="7">
        <f t="shared" si="135"/>
        <v>0</v>
      </c>
    </row>
    <row r="2178" spans="1:13" x14ac:dyDescent="0.25">
      <c r="A2178" s="1">
        <v>945466</v>
      </c>
      <c r="B2178" s="6" t="s">
        <v>2299</v>
      </c>
      <c r="F2178" s="6" t="s">
        <v>9</v>
      </c>
      <c r="G2178" s="6" t="s">
        <v>34</v>
      </c>
      <c r="H2178" s="9" t="s">
        <v>35</v>
      </c>
      <c r="I2178" s="7" t="str">
        <f t="shared" si="132"/>
        <v>61001002000</v>
      </c>
      <c r="J2178" s="7" t="str">
        <f t="shared" si="133"/>
        <v>Материал по ЕГРН</v>
      </c>
      <c r="K2178" s="7">
        <f>VLOOKUP(J2178,Лист2!A$2:B$4,2,FALSE)</f>
        <v>792</v>
      </c>
      <c r="L2178" s="7" t="str">
        <f t="shared" si="134"/>
        <v>ГОТОВ_ИЗМЕНЕН</v>
      </c>
      <c r="M2178" s="7">
        <f t="shared" si="135"/>
        <v>0</v>
      </c>
    </row>
    <row r="2179" spans="1:13" x14ac:dyDescent="0.25">
      <c r="A2179" s="1">
        <v>945478</v>
      </c>
      <c r="B2179" s="6" t="s">
        <v>2300</v>
      </c>
      <c r="F2179" s="6" t="s">
        <v>9</v>
      </c>
      <c r="G2179" s="6" t="s">
        <v>34</v>
      </c>
      <c r="H2179" s="9" t="s">
        <v>35</v>
      </c>
      <c r="I2179" s="7" t="str">
        <f t="shared" si="132"/>
        <v>61001002000</v>
      </c>
      <c r="J2179" s="7" t="str">
        <f t="shared" si="133"/>
        <v>Материал по ЕГРН</v>
      </c>
      <c r="K2179" s="7">
        <f>VLOOKUP(J2179,Лист2!A$2:B$4,2,FALSE)</f>
        <v>792</v>
      </c>
      <c r="L2179" s="7" t="str">
        <f t="shared" si="134"/>
        <v>ГОТОВ_ИЗМЕНЕН</v>
      </c>
      <c r="M2179" s="7">
        <f t="shared" si="135"/>
        <v>0</v>
      </c>
    </row>
    <row r="2180" spans="1:13" x14ac:dyDescent="0.25">
      <c r="A2180" s="1">
        <v>945490</v>
      </c>
      <c r="B2180" s="6" t="s">
        <v>2301</v>
      </c>
      <c r="F2180" s="6" t="s">
        <v>9</v>
      </c>
      <c r="G2180" s="6" t="s">
        <v>38</v>
      </c>
      <c r="H2180" s="9" t="s">
        <v>33</v>
      </c>
      <c r="I2180" s="7" t="str">
        <f t="shared" si="132"/>
        <v>61001005000</v>
      </c>
      <c r="J2180" s="7" t="str">
        <f t="shared" si="133"/>
        <v>Материал по ЕГРН</v>
      </c>
      <c r="K2180" s="7">
        <f>VLOOKUP(J2180,Лист2!A$2:B$4,2,FALSE)</f>
        <v>792</v>
      </c>
      <c r="L2180" s="7" t="str">
        <f t="shared" si="134"/>
        <v>ГОТОВ_ИЗМЕНЕН</v>
      </c>
      <c r="M2180" s="7">
        <f t="shared" si="135"/>
        <v>0</v>
      </c>
    </row>
    <row r="2181" spans="1:13" x14ac:dyDescent="0.25">
      <c r="A2181" s="1">
        <v>200532</v>
      </c>
      <c r="B2181" s="6" t="s">
        <v>2302</v>
      </c>
      <c r="C2181" s="9" t="s">
        <v>33</v>
      </c>
      <c r="D2181" s="6" t="s">
        <v>20</v>
      </c>
      <c r="E2181" s="6" t="s">
        <v>37</v>
      </c>
      <c r="F2181" s="6" t="s">
        <v>9</v>
      </c>
      <c r="G2181" s="6" t="s">
        <v>38</v>
      </c>
      <c r="H2181" s="9" t="s">
        <v>33</v>
      </c>
      <c r="I2181" s="7" t="str">
        <f t="shared" ref="I2181:I2244" si="136">IF(LEN(H2181)=11,H2181,IF(LEN(H2181)=0,"61001005000","61001003000"))</f>
        <v>61001005000</v>
      </c>
      <c r="J2181" s="7" t="str">
        <f t="shared" ref="J2181:J2244" si="137">IF(LEN(H2181)=11,"Материал по ЕГРН",IF(LEN(H2181)=0,"Прочие по допущению","Смешанные по допущению"))</f>
        <v>Материал по ЕГРН</v>
      </c>
      <c r="K2181" s="7">
        <f>VLOOKUP(J2181,Лист2!A$2:B$4,2,FALSE)</f>
        <v>792</v>
      </c>
      <c r="L2181" s="7" t="str">
        <f t="shared" ref="L2181:L2244" si="138">IF(I2181=C2181,"ГОТОВ","ГОТОВ_ИЗМЕНЕН")</f>
        <v>ГОТОВ</v>
      </c>
      <c r="M2181" s="7" t="str">
        <f t="shared" ref="M2181:M2244" si="139">C2181</f>
        <v>61001005000</v>
      </c>
    </row>
    <row r="2182" spans="1:13" x14ac:dyDescent="0.25">
      <c r="A2182" s="1">
        <v>468868</v>
      </c>
      <c r="B2182" s="6" t="s">
        <v>2303</v>
      </c>
      <c r="C2182" s="9" t="s">
        <v>33</v>
      </c>
      <c r="D2182" s="6" t="s">
        <v>20</v>
      </c>
      <c r="E2182" s="6" t="s">
        <v>8</v>
      </c>
      <c r="F2182" s="6" t="s">
        <v>9</v>
      </c>
      <c r="G2182" s="6" t="s">
        <v>10</v>
      </c>
      <c r="H2182" s="9" t="s">
        <v>11</v>
      </c>
      <c r="I2182" s="7" t="str">
        <f t="shared" si="136"/>
        <v>61001003000</v>
      </c>
      <c r="J2182" s="7" t="str">
        <f t="shared" si="137"/>
        <v>Материал по ЕГРН</v>
      </c>
      <c r="K2182" s="7">
        <f>VLOOKUP(J2182,Лист2!A$2:B$4,2,FALSE)</f>
        <v>792</v>
      </c>
      <c r="L2182" s="7" t="str">
        <f t="shared" si="138"/>
        <v>ГОТОВ_ИЗМЕНЕН</v>
      </c>
      <c r="M2182" s="7" t="str">
        <f t="shared" si="139"/>
        <v>61001005000</v>
      </c>
    </row>
    <row r="2183" spans="1:13" x14ac:dyDescent="0.25">
      <c r="A2183" s="1">
        <v>787839</v>
      </c>
      <c r="B2183" s="6" t="s">
        <v>2304</v>
      </c>
      <c r="C2183" s="9" t="s">
        <v>33</v>
      </c>
      <c r="D2183" s="6" t="s">
        <v>20</v>
      </c>
      <c r="E2183" s="6" t="s">
        <v>37</v>
      </c>
      <c r="F2183" s="6" t="s">
        <v>9</v>
      </c>
      <c r="G2183" s="6" t="s">
        <v>38</v>
      </c>
      <c r="H2183" s="9" t="s">
        <v>33</v>
      </c>
      <c r="I2183" s="7" t="str">
        <f t="shared" si="136"/>
        <v>61001005000</v>
      </c>
      <c r="J2183" s="7" t="str">
        <f t="shared" si="137"/>
        <v>Материал по ЕГРН</v>
      </c>
      <c r="K2183" s="7">
        <f>VLOOKUP(J2183,Лист2!A$2:B$4,2,FALSE)</f>
        <v>792</v>
      </c>
      <c r="L2183" s="7" t="str">
        <f t="shared" si="138"/>
        <v>ГОТОВ</v>
      </c>
      <c r="M2183" s="7" t="str">
        <f t="shared" si="139"/>
        <v>61001005000</v>
      </c>
    </row>
    <row r="2184" spans="1:13" x14ac:dyDescent="0.25">
      <c r="A2184" s="1">
        <v>943623</v>
      </c>
      <c r="B2184" s="6" t="s">
        <v>2305</v>
      </c>
      <c r="F2184" s="6" t="s">
        <v>9</v>
      </c>
      <c r="G2184" s="6" t="s">
        <v>38</v>
      </c>
      <c r="H2184" s="9" t="s">
        <v>33</v>
      </c>
      <c r="I2184" s="7" t="str">
        <f t="shared" si="136"/>
        <v>61001005000</v>
      </c>
      <c r="J2184" s="7" t="str">
        <f t="shared" si="137"/>
        <v>Материал по ЕГРН</v>
      </c>
      <c r="K2184" s="7">
        <f>VLOOKUP(J2184,Лист2!A$2:B$4,2,FALSE)</f>
        <v>792</v>
      </c>
      <c r="L2184" s="7" t="str">
        <f t="shared" si="138"/>
        <v>ГОТОВ_ИЗМЕНЕН</v>
      </c>
      <c r="M2184" s="7">
        <f t="shared" si="139"/>
        <v>0</v>
      </c>
    </row>
    <row r="2185" spans="1:13" x14ac:dyDescent="0.25">
      <c r="A2185" s="1">
        <v>943635</v>
      </c>
      <c r="B2185" s="6" t="s">
        <v>2306</v>
      </c>
      <c r="F2185" s="6" t="s">
        <v>9</v>
      </c>
      <c r="G2185" s="6" t="s">
        <v>59</v>
      </c>
      <c r="H2185" s="9" t="s">
        <v>60</v>
      </c>
      <c r="I2185" s="7" t="str">
        <f t="shared" si="136"/>
        <v>61001001001</v>
      </c>
      <c r="J2185" s="7" t="str">
        <f t="shared" si="137"/>
        <v>Материал по ЕГРН</v>
      </c>
      <c r="K2185" s="7">
        <f>VLOOKUP(J2185,Лист2!A$2:B$4,2,FALSE)</f>
        <v>792</v>
      </c>
      <c r="L2185" s="7" t="str">
        <f t="shared" si="138"/>
        <v>ГОТОВ_ИЗМЕНЕН</v>
      </c>
      <c r="M2185" s="7">
        <f t="shared" si="139"/>
        <v>0</v>
      </c>
    </row>
    <row r="2186" spans="1:13" x14ac:dyDescent="0.25">
      <c r="A2186" s="1">
        <v>943647</v>
      </c>
      <c r="B2186" s="6" t="s">
        <v>2307</v>
      </c>
      <c r="F2186" s="6" t="s">
        <v>9</v>
      </c>
      <c r="G2186" s="6" t="s">
        <v>1198</v>
      </c>
      <c r="H2186" s="9" t="s">
        <v>1199</v>
      </c>
      <c r="I2186" s="7" t="str">
        <f t="shared" si="136"/>
        <v>61001003000</v>
      </c>
      <c r="J2186" s="7" t="str">
        <f t="shared" si="137"/>
        <v>Смешанные по допущению</v>
      </c>
      <c r="K2186" s="7">
        <f>VLOOKUP(J2186,Лист2!A$2:B$4,2,FALSE)</f>
        <v>793</v>
      </c>
      <c r="L2186" s="7" t="str">
        <f t="shared" si="138"/>
        <v>ГОТОВ_ИЗМЕНЕН</v>
      </c>
      <c r="M2186" s="7">
        <f t="shared" si="139"/>
        <v>0</v>
      </c>
    </row>
    <row r="2187" spans="1:13" x14ac:dyDescent="0.25">
      <c r="A2187" s="1">
        <v>943659</v>
      </c>
      <c r="B2187" s="6" t="s">
        <v>2308</v>
      </c>
      <c r="F2187" s="6" t="s">
        <v>9</v>
      </c>
      <c r="G2187" s="6" t="s">
        <v>38</v>
      </c>
      <c r="H2187" s="9" t="s">
        <v>33</v>
      </c>
      <c r="I2187" s="7" t="str">
        <f t="shared" si="136"/>
        <v>61001005000</v>
      </c>
      <c r="J2187" s="7" t="str">
        <f t="shared" si="137"/>
        <v>Материал по ЕГРН</v>
      </c>
      <c r="K2187" s="7">
        <f>VLOOKUP(J2187,Лист2!A$2:B$4,2,FALSE)</f>
        <v>792</v>
      </c>
      <c r="L2187" s="7" t="str">
        <f t="shared" si="138"/>
        <v>ГОТОВ_ИЗМЕНЕН</v>
      </c>
      <c r="M2187" s="7">
        <f t="shared" si="139"/>
        <v>0</v>
      </c>
    </row>
    <row r="2188" spans="1:13" x14ac:dyDescent="0.25">
      <c r="A2188" s="1">
        <v>943671</v>
      </c>
      <c r="B2188" s="6" t="s">
        <v>2309</v>
      </c>
      <c r="F2188" s="6" t="s">
        <v>9</v>
      </c>
      <c r="G2188" s="6" t="s">
        <v>62</v>
      </c>
      <c r="H2188" s="9" t="s">
        <v>63</v>
      </c>
      <c r="I2188" s="7" t="str">
        <f t="shared" si="136"/>
        <v>61001006002</v>
      </c>
      <c r="J2188" s="7" t="str">
        <f t="shared" si="137"/>
        <v>Материал по ЕГРН</v>
      </c>
      <c r="K2188" s="7">
        <f>VLOOKUP(J2188,Лист2!A$2:B$4,2,FALSE)</f>
        <v>792</v>
      </c>
      <c r="L2188" s="7" t="str">
        <f t="shared" si="138"/>
        <v>ГОТОВ_ИЗМЕНЕН</v>
      </c>
      <c r="M2188" s="7">
        <f t="shared" si="139"/>
        <v>0</v>
      </c>
    </row>
    <row r="2189" spans="1:13" x14ac:dyDescent="0.25">
      <c r="A2189" s="1">
        <v>943683</v>
      </c>
      <c r="B2189" s="6" t="s">
        <v>2310</v>
      </c>
      <c r="F2189" s="6" t="s">
        <v>9</v>
      </c>
      <c r="G2189" s="6" t="s">
        <v>10</v>
      </c>
      <c r="H2189" s="9" t="s">
        <v>11</v>
      </c>
      <c r="I2189" s="7" t="str">
        <f t="shared" si="136"/>
        <v>61001003000</v>
      </c>
      <c r="J2189" s="7" t="str">
        <f t="shared" si="137"/>
        <v>Материал по ЕГРН</v>
      </c>
      <c r="K2189" s="7">
        <f>VLOOKUP(J2189,Лист2!A$2:B$4,2,FALSE)</f>
        <v>792</v>
      </c>
      <c r="L2189" s="7" t="str">
        <f t="shared" si="138"/>
        <v>ГОТОВ_ИЗМЕНЕН</v>
      </c>
      <c r="M2189" s="7">
        <f t="shared" si="139"/>
        <v>0</v>
      </c>
    </row>
    <row r="2190" spans="1:13" x14ac:dyDescent="0.25">
      <c r="A2190" s="1">
        <v>943695</v>
      </c>
      <c r="B2190" s="6" t="s">
        <v>2311</v>
      </c>
      <c r="F2190" s="6" t="s">
        <v>9</v>
      </c>
      <c r="G2190" s="6" t="s">
        <v>146</v>
      </c>
      <c r="H2190" s="9" t="s">
        <v>147</v>
      </c>
      <c r="I2190" s="7" t="str">
        <f t="shared" si="136"/>
        <v>61001000000</v>
      </c>
      <c r="J2190" s="7" t="str">
        <f t="shared" si="137"/>
        <v>Материал по ЕГРН</v>
      </c>
      <c r="K2190" s="7">
        <f>VLOOKUP(J2190,Лист2!A$2:B$4,2,FALSE)</f>
        <v>792</v>
      </c>
      <c r="L2190" s="7" t="str">
        <f t="shared" si="138"/>
        <v>ГОТОВ_ИЗМЕНЕН</v>
      </c>
      <c r="M2190" s="7">
        <f t="shared" si="139"/>
        <v>0</v>
      </c>
    </row>
    <row r="2191" spans="1:13" x14ac:dyDescent="0.25">
      <c r="A2191" s="1">
        <v>943707</v>
      </c>
      <c r="B2191" s="6" t="s">
        <v>2312</v>
      </c>
      <c r="F2191" s="6" t="s">
        <v>9</v>
      </c>
      <c r="G2191" s="6" t="s">
        <v>10</v>
      </c>
      <c r="H2191" s="9" t="s">
        <v>11</v>
      </c>
      <c r="I2191" s="7" t="str">
        <f t="shared" si="136"/>
        <v>61001003000</v>
      </c>
      <c r="J2191" s="7" t="str">
        <f t="shared" si="137"/>
        <v>Материал по ЕГРН</v>
      </c>
      <c r="K2191" s="7">
        <f>VLOOKUP(J2191,Лист2!A$2:B$4,2,FALSE)</f>
        <v>792</v>
      </c>
      <c r="L2191" s="7" t="str">
        <f t="shared" si="138"/>
        <v>ГОТОВ_ИЗМЕНЕН</v>
      </c>
      <c r="M2191" s="7">
        <f t="shared" si="139"/>
        <v>0</v>
      </c>
    </row>
    <row r="2192" spans="1:13" x14ac:dyDescent="0.25">
      <c r="A2192" s="1">
        <v>943719</v>
      </c>
      <c r="B2192" s="6" t="s">
        <v>2313</v>
      </c>
      <c r="F2192" s="6" t="s">
        <v>9</v>
      </c>
      <c r="G2192" s="6" t="s">
        <v>34</v>
      </c>
      <c r="H2192" s="9" t="s">
        <v>35</v>
      </c>
      <c r="I2192" s="7" t="str">
        <f t="shared" si="136"/>
        <v>61001002000</v>
      </c>
      <c r="J2192" s="7" t="str">
        <f t="shared" si="137"/>
        <v>Материал по ЕГРН</v>
      </c>
      <c r="K2192" s="7">
        <f>VLOOKUP(J2192,Лист2!A$2:B$4,2,FALSE)</f>
        <v>792</v>
      </c>
      <c r="L2192" s="7" t="str">
        <f t="shared" si="138"/>
        <v>ГОТОВ_ИЗМЕНЕН</v>
      </c>
      <c r="M2192" s="7">
        <f t="shared" si="139"/>
        <v>0</v>
      </c>
    </row>
    <row r="2193" spans="1:13" x14ac:dyDescent="0.25">
      <c r="A2193" s="1">
        <v>943731</v>
      </c>
      <c r="B2193" s="6" t="s">
        <v>2314</v>
      </c>
      <c r="F2193" s="6" t="s">
        <v>9</v>
      </c>
      <c r="G2193" s="6" t="s">
        <v>38</v>
      </c>
      <c r="H2193" s="9" t="s">
        <v>33</v>
      </c>
      <c r="I2193" s="7" t="str">
        <f t="shared" si="136"/>
        <v>61001005000</v>
      </c>
      <c r="J2193" s="7" t="str">
        <f t="shared" si="137"/>
        <v>Материал по ЕГРН</v>
      </c>
      <c r="K2193" s="7">
        <f>VLOOKUP(J2193,Лист2!A$2:B$4,2,FALSE)</f>
        <v>792</v>
      </c>
      <c r="L2193" s="7" t="str">
        <f t="shared" si="138"/>
        <v>ГОТОВ_ИЗМЕНЕН</v>
      </c>
      <c r="M2193" s="7">
        <f t="shared" si="139"/>
        <v>0</v>
      </c>
    </row>
    <row r="2194" spans="1:13" x14ac:dyDescent="0.25">
      <c r="A2194" s="1">
        <v>943743</v>
      </c>
      <c r="B2194" s="6" t="s">
        <v>2315</v>
      </c>
      <c r="F2194" s="6" t="s">
        <v>9</v>
      </c>
      <c r="G2194" s="6" t="s">
        <v>43</v>
      </c>
      <c r="H2194" s="9" t="s">
        <v>42</v>
      </c>
      <c r="I2194" s="7" t="str">
        <f t="shared" si="136"/>
        <v>61001002001</v>
      </c>
      <c r="J2194" s="7" t="str">
        <f t="shared" si="137"/>
        <v>Материал по ЕГРН</v>
      </c>
      <c r="K2194" s="7">
        <f>VLOOKUP(J2194,Лист2!A$2:B$4,2,FALSE)</f>
        <v>792</v>
      </c>
      <c r="L2194" s="7" t="str">
        <f t="shared" si="138"/>
        <v>ГОТОВ_ИЗМЕНЕН</v>
      </c>
      <c r="M2194" s="7">
        <f t="shared" si="139"/>
        <v>0</v>
      </c>
    </row>
    <row r="2195" spans="1:13" x14ac:dyDescent="0.25">
      <c r="A2195" s="1">
        <v>943755</v>
      </c>
      <c r="B2195" s="6" t="s">
        <v>2316</v>
      </c>
      <c r="F2195" s="6" t="s">
        <v>9</v>
      </c>
      <c r="G2195" s="6" t="s">
        <v>34</v>
      </c>
      <c r="H2195" s="9" t="s">
        <v>35</v>
      </c>
      <c r="I2195" s="7" t="str">
        <f t="shared" si="136"/>
        <v>61001002000</v>
      </c>
      <c r="J2195" s="7" t="str">
        <f t="shared" si="137"/>
        <v>Материал по ЕГРН</v>
      </c>
      <c r="K2195" s="7">
        <f>VLOOKUP(J2195,Лист2!A$2:B$4,2,FALSE)</f>
        <v>792</v>
      </c>
      <c r="L2195" s="7" t="str">
        <f t="shared" si="138"/>
        <v>ГОТОВ_ИЗМЕНЕН</v>
      </c>
      <c r="M2195" s="7">
        <f t="shared" si="139"/>
        <v>0</v>
      </c>
    </row>
    <row r="2196" spans="1:13" x14ac:dyDescent="0.25">
      <c r="A2196" s="1">
        <v>943767</v>
      </c>
      <c r="B2196" s="6" t="s">
        <v>2317</v>
      </c>
      <c r="F2196" s="6" t="s">
        <v>9</v>
      </c>
      <c r="G2196" s="6" t="s">
        <v>38</v>
      </c>
      <c r="H2196" s="9" t="s">
        <v>33</v>
      </c>
      <c r="I2196" s="7" t="str">
        <f t="shared" si="136"/>
        <v>61001005000</v>
      </c>
      <c r="J2196" s="7" t="str">
        <f t="shared" si="137"/>
        <v>Материал по ЕГРН</v>
      </c>
      <c r="K2196" s="7">
        <f>VLOOKUP(J2196,Лист2!A$2:B$4,2,FALSE)</f>
        <v>792</v>
      </c>
      <c r="L2196" s="7" t="str">
        <f t="shared" si="138"/>
        <v>ГОТОВ_ИЗМЕНЕН</v>
      </c>
      <c r="M2196" s="7">
        <f t="shared" si="139"/>
        <v>0</v>
      </c>
    </row>
    <row r="2197" spans="1:13" x14ac:dyDescent="0.25">
      <c r="A2197" s="1">
        <v>943779</v>
      </c>
      <c r="B2197" s="6" t="s">
        <v>2318</v>
      </c>
      <c r="F2197" s="6" t="s">
        <v>9</v>
      </c>
      <c r="G2197" s="6" t="s">
        <v>170</v>
      </c>
      <c r="H2197" s="9" t="s">
        <v>171</v>
      </c>
      <c r="I2197" s="7" t="str">
        <f t="shared" si="136"/>
        <v>61001001000</v>
      </c>
      <c r="J2197" s="7" t="str">
        <f t="shared" si="137"/>
        <v>Материал по ЕГРН</v>
      </c>
      <c r="K2197" s="7">
        <f>VLOOKUP(J2197,Лист2!A$2:B$4,2,FALSE)</f>
        <v>792</v>
      </c>
      <c r="L2197" s="7" t="str">
        <f t="shared" si="138"/>
        <v>ГОТОВ_ИЗМЕНЕН</v>
      </c>
      <c r="M2197" s="7">
        <f t="shared" si="139"/>
        <v>0</v>
      </c>
    </row>
    <row r="2198" spans="1:13" x14ac:dyDescent="0.25">
      <c r="A2198" s="1">
        <v>943791</v>
      </c>
      <c r="B2198" s="6" t="s">
        <v>2319</v>
      </c>
      <c r="F2198" s="6" t="s">
        <v>9</v>
      </c>
      <c r="G2198" s="6" t="s">
        <v>38</v>
      </c>
      <c r="H2198" s="9" t="s">
        <v>33</v>
      </c>
      <c r="I2198" s="7" t="str">
        <f t="shared" si="136"/>
        <v>61001005000</v>
      </c>
      <c r="J2198" s="7" t="str">
        <f t="shared" si="137"/>
        <v>Материал по ЕГРН</v>
      </c>
      <c r="K2198" s="7">
        <f>VLOOKUP(J2198,Лист2!A$2:B$4,2,FALSE)</f>
        <v>792</v>
      </c>
      <c r="L2198" s="7" t="str">
        <f t="shared" si="138"/>
        <v>ГОТОВ_ИЗМЕНЕН</v>
      </c>
      <c r="M2198" s="7">
        <f t="shared" si="139"/>
        <v>0</v>
      </c>
    </row>
    <row r="2199" spans="1:13" x14ac:dyDescent="0.25">
      <c r="A2199" s="1">
        <v>943803</v>
      </c>
      <c r="B2199" s="6" t="s">
        <v>2320</v>
      </c>
      <c r="F2199" s="6" t="s">
        <v>9</v>
      </c>
      <c r="G2199" s="6" t="s">
        <v>59</v>
      </c>
      <c r="H2199" s="9" t="s">
        <v>60</v>
      </c>
      <c r="I2199" s="7" t="str">
        <f t="shared" si="136"/>
        <v>61001001001</v>
      </c>
      <c r="J2199" s="7" t="str">
        <f t="shared" si="137"/>
        <v>Материал по ЕГРН</v>
      </c>
      <c r="K2199" s="7">
        <f>VLOOKUP(J2199,Лист2!A$2:B$4,2,FALSE)</f>
        <v>792</v>
      </c>
      <c r="L2199" s="7" t="str">
        <f t="shared" si="138"/>
        <v>ГОТОВ_ИЗМЕНЕН</v>
      </c>
      <c r="M2199" s="7">
        <f t="shared" si="139"/>
        <v>0</v>
      </c>
    </row>
    <row r="2200" spans="1:13" x14ac:dyDescent="0.25">
      <c r="A2200" s="1">
        <v>943815</v>
      </c>
      <c r="B2200" s="6" t="s">
        <v>2321</v>
      </c>
      <c r="F2200" s="6" t="s">
        <v>9</v>
      </c>
      <c r="G2200" s="6" t="s">
        <v>10</v>
      </c>
      <c r="H2200" s="9" t="s">
        <v>11</v>
      </c>
      <c r="I2200" s="7" t="str">
        <f t="shared" si="136"/>
        <v>61001003000</v>
      </c>
      <c r="J2200" s="7" t="str">
        <f t="shared" si="137"/>
        <v>Материал по ЕГРН</v>
      </c>
      <c r="K2200" s="7">
        <f>VLOOKUP(J2200,Лист2!A$2:B$4,2,FALSE)</f>
        <v>792</v>
      </c>
      <c r="L2200" s="7" t="str">
        <f t="shared" si="138"/>
        <v>ГОТОВ_ИЗМЕНЕН</v>
      </c>
      <c r="M2200" s="7">
        <f t="shared" si="139"/>
        <v>0</v>
      </c>
    </row>
    <row r="2201" spans="1:13" x14ac:dyDescent="0.25">
      <c r="A2201" s="1">
        <v>943827</v>
      </c>
      <c r="B2201" s="6" t="s">
        <v>2322</v>
      </c>
      <c r="F2201" s="6" t="s">
        <v>9</v>
      </c>
      <c r="G2201" s="6" t="s">
        <v>149</v>
      </c>
      <c r="H2201" s="9" t="s">
        <v>150</v>
      </c>
      <c r="I2201" s="7" t="str">
        <f t="shared" si="136"/>
        <v>61001007000</v>
      </c>
      <c r="J2201" s="7" t="str">
        <f t="shared" si="137"/>
        <v>Материал по ЕГРН</v>
      </c>
      <c r="K2201" s="7">
        <f>VLOOKUP(J2201,Лист2!A$2:B$4,2,FALSE)</f>
        <v>792</v>
      </c>
      <c r="L2201" s="7" t="str">
        <f t="shared" si="138"/>
        <v>ГОТОВ_ИЗМЕНЕН</v>
      </c>
      <c r="M2201" s="7">
        <f t="shared" si="139"/>
        <v>0</v>
      </c>
    </row>
    <row r="2202" spans="1:13" x14ac:dyDescent="0.25">
      <c r="A2202" s="1">
        <v>943839</v>
      </c>
      <c r="B2202" s="6" t="s">
        <v>2323</v>
      </c>
      <c r="F2202" s="6" t="s">
        <v>9</v>
      </c>
      <c r="G2202" s="6" t="s">
        <v>10</v>
      </c>
      <c r="H2202" s="9" t="s">
        <v>11</v>
      </c>
      <c r="I2202" s="7" t="str">
        <f t="shared" si="136"/>
        <v>61001003000</v>
      </c>
      <c r="J2202" s="7" t="str">
        <f t="shared" si="137"/>
        <v>Материал по ЕГРН</v>
      </c>
      <c r="K2202" s="7">
        <f>VLOOKUP(J2202,Лист2!A$2:B$4,2,FALSE)</f>
        <v>792</v>
      </c>
      <c r="L2202" s="7" t="str">
        <f t="shared" si="138"/>
        <v>ГОТОВ_ИЗМЕНЕН</v>
      </c>
      <c r="M2202" s="7">
        <f t="shared" si="139"/>
        <v>0</v>
      </c>
    </row>
    <row r="2203" spans="1:13" x14ac:dyDescent="0.25">
      <c r="A2203" s="1">
        <v>943851</v>
      </c>
      <c r="B2203" s="6" t="s">
        <v>2324</v>
      </c>
      <c r="F2203" s="6" t="s">
        <v>9</v>
      </c>
      <c r="G2203" s="6" t="s">
        <v>34</v>
      </c>
      <c r="H2203" s="9" t="s">
        <v>35</v>
      </c>
      <c r="I2203" s="7" t="str">
        <f t="shared" si="136"/>
        <v>61001002000</v>
      </c>
      <c r="J2203" s="7" t="str">
        <f t="shared" si="137"/>
        <v>Материал по ЕГРН</v>
      </c>
      <c r="K2203" s="7">
        <f>VLOOKUP(J2203,Лист2!A$2:B$4,2,FALSE)</f>
        <v>792</v>
      </c>
      <c r="L2203" s="7" t="str">
        <f t="shared" si="138"/>
        <v>ГОТОВ_ИЗМЕНЕН</v>
      </c>
      <c r="M2203" s="7">
        <f t="shared" si="139"/>
        <v>0</v>
      </c>
    </row>
    <row r="2204" spans="1:13" x14ac:dyDescent="0.25">
      <c r="A2204" s="1">
        <v>943863</v>
      </c>
      <c r="B2204" s="6" t="s">
        <v>2325</v>
      </c>
      <c r="F2204" s="6" t="s">
        <v>9</v>
      </c>
      <c r="G2204" s="6" t="s">
        <v>62</v>
      </c>
      <c r="H2204" s="9" t="s">
        <v>63</v>
      </c>
      <c r="I2204" s="7" t="str">
        <f t="shared" si="136"/>
        <v>61001006002</v>
      </c>
      <c r="J2204" s="7" t="str">
        <f t="shared" si="137"/>
        <v>Материал по ЕГРН</v>
      </c>
      <c r="K2204" s="7">
        <f>VLOOKUP(J2204,Лист2!A$2:B$4,2,FALSE)</f>
        <v>792</v>
      </c>
      <c r="L2204" s="7" t="str">
        <f t="shared" si="138"/>
        <v>ГОТОВ_ИЗМЕНЕН</v>
      </c>
      <c r="M2204" s="7">
        <f t="shared" si="139"/>
        <v>0</v>
      </c>
    </row>
    <row r="2205" spans="1:13" x14ac:dyDescent="0.25">
      <c r="A2205" s="1">
        <v>943875</v>
      </c>
      <c r="B2205" s="6" t="s">
        <v>2326</v>
      </c>
      <c r="F2205" s="6" t="s">
        <v>9</v>
      </c>
      <c r="G2205" s="6" t="s">
        <v>90</v>
      </c>
      <c r="H2205" s="9" t="s">
        <v>12</v>
      </c>
      <c r="I2205" s="7" t="str">
        <f t="shared" si="136"/>
        <v>61001008000</v>
      </c>
      <c r="J2205" s="7" t="str">
        <f t="shared" si="137"/>
        <v>Материал по ЕГРН</v>
      </c>
      <c r="K2205" s="7">
        <f>VLOOKUP(J2205,Лист2!A$2:B$4,2,FALSE)</f>
        <v>792</v>
      </c>
      <c r="L2205" s="7" t="str">
        <f t="shared" si="138"/>
        <v>ГОТОВ_ИЗМЕНЕН</v>
      </c>
      <c r="M2205" s="7">
        <f t="shared" si="139"/>
        <v>0</v>
      </c>
    </row>
    <row r="2206" spans="1:13" x14ac:dyDescent="0.25">
      <c r="A2206" s="1">
        <v>943887</v>
      </c>
      <c r="B2206" s="6" t="s">
        <v>2327</v>
      </c>
      <c r="F2206" s="6" t="s">
        <v>9</v>
      </c>
      <c r="G2206" s="6" t="s">
        <v>62</v>
      </c>
      <c r="H2206" s="9" t="s">
        <v>63</v>
      </c>
      <c r="I2206" s="7" t="str">
        <f t="shared" si="136"/>
        <v>61001006002</v>
      </c>
      <c r="J2206" s="7" t="str">
        <f t="shared" si="137"/>
        <v>Материал по ЕГРН</v>
      </c>
      <c r="K2206" s="7">
        <f>VLOOKUP(J2206,Лист2!A$2:B$4,2,FALSE)</f>
        <v>792</v>
      </c>
      <c r="L2206" s="7" t="str">
        <f t="shared" si="138"/>
        <v>ГОТОВ_ИЗМЕНЕН</v>
      </c>
      <c r="M2206" s="7">
        <f t="shared" si="139"/>
        <v>0</v>
      </c>
    </row>
    <row r="2207" spans="1:13" x14ac:dyDescent="0.25">
      <c r="A2207" s="1">
        <v>943899</v>
      </c>
      <c r="B2207" s="6" t="s">
        <v>2328</v>
      </c>
      <c r="F2207" s="6" t="s">
        <v>9</v>
      </c>
      <c r="G2207" s="6" t="s">
        <v>38</v>
      </c>
      <c r="H2207" s="9" t="s">
        <v>33</v>
      </c>
      <c r="I2207" s="7" t="str">
        <f t="shared" si="136"/>
        <v>61001005000</v>
      </c>
      <c r="J2207" s="7" t="str">
        <f t="shared" si="137"/>
        <v>Материал по ЕГРН</v>
      </c>
      <c r="K2207" s="7">
        <f>VLOOKUP(J2207,Лист2!A$2:B$4,2,FALSE)</f>
        <v>792</v>
      </c>
      <c r="L2207" s="7" t="str">
        <f t="shared" si="138"/>
        <v>ГОТОВ_ИЗМЕНЕН</v>
      </c>
      <c r="M2207" s="7">
        <f t="shared" si="139"/>
        <v>0</v>
      </c>
    </row>
    <row r="2208" spans="1:13" x14ac:dyDescent="0.25">
      <c r="A2208" s="1">
        <v>943911</v>
      </c>
      <c r="B2208" s="6" t="s">
        <v>2329</v>
      </c>
      <c r="F2208" s="6" t="s">
        <v>9</v>
      </c>
      <c r="G2208" s="6" t="s">
        <v>90</v>
      </c>
      <c r="H2208" s="9" t="s">
        <v>12</v>
      </c>
      <c r="I2208" s="7" t="str">
        <f t="shared" si="136"/>
        <v>61001008000</v>
      </c>
      <c r="J2208" s="7" t="str">
        <f t="shared" si="137"/>
        <v>Материал по ЕГРН</v>
      </c>
      <c r="K2208" s="7">
        <f>VLOOKUP(J2208,Лист2!A$2:B$4,2,FALSE)</f>
        <v>792</v>
      </c>
      <c r="L2208" s="7" t="str">
        <f t="shared" si="138"/>
        <v>ГОТОВ_ИЗМЕНЕН</v>
      </c>
      <c r="M2208" s="7">
        <f t="shared" si="139"/>
        <v>0</v>
      </c>
    </row>
    <row r="2209" spans="1:13" x14ac:dyDescent="0.25">
      <c r="A2209" s="1">
        <v>943923</v>
      </c>
      <c r="B2209" s="6" t="s">
        <v>2330</v>
      </c>
      <c r="F2209" s="6" t="s">
        <v>9</v>
      </c>
      <c r="G2209" s="6" t="s">
        <v>38</v>
      </c>
      <c r="H2209" s="9" t="s">
        <v>33</v>
      </c>
      <c r="I2209" s="7" t="str">
        <f t="shared" si="136"/>
        <v>61001005000</v>
      </c>
      <c r="J2209" s="7" t="str">
        <f t="shared" si="137"/>
        <v>Материал по ЕГРН</v>
      </c>
      <c r="K2209" s="7">
        <f>VLOOKUP(J2209,Лист2!A$2:B$4,2,FALSE)</f>
        <v>792</v>
      </c>
      <c r="L2209" s="7" t="str">
        <f t="shared" si="138"/>
        <v>ГОТОВ_ИЗМЕНЕН</v>
      </c>
      <c r="M2209" s="7">
        <f t="shared" si="139"/>
        <v>0</v>
      </c>
    </row>
    <row r="2210" spans="1:13" x14ac:dyDescent="0.25">
      <c r="A2210" s="1">
        <v>943935</v>
      </c>
      <c r="B2210" s="6" t="s">
        <v>2331</v>
      </c>
      <c r="F2210" s="6" t="s">
        <v>9</v>
      </c>
      <c r="G2210" s="6" t="s">
        <v>10</v>
      </c>
      <c r="H2210" s="9" t="s">
        <v>11</v>
      </c>
      <c r="I2210" s="7" t="str">
        <f t="shared" si="136"/>
        <v>61001003000</v>
      </c>
      <c r="J2210" s="7" t="str">
        <f t="shared" si="137"/>
        <v>Материал по ЕГРН</v>
      </c>
      <c r="K2210" s="7">
        <f>VLOOKUP(J2210,Лист2!A$2:B$4,2,FALSE)</f>
        <v>792</v>
      </c>
      <c r="L2210" s="7" t="str">
        <f t="shared" si="138"/>
        <v>ГОТОВ_ИЗМЕНЕН</v>
      </c>
      <c r="M2210" s="7">
        <f t="shared" si="139"/>
        <v>0</v>
      </c>
    </row>
    <row r="2211" spans="1:13" x14ac:dyDescent="0.25">
      <c r="A2211" s="1">
        <v>943947</v>
      </c>
      <c r="B2211" s="6" t="s">
        <v>2332</v>
      </c>
      <c r="F2211" s="6" t="s">
        <v>9</v>
      </c>
      <c r="G2211" s="6" t="s">
        <v>38</v>
      </c>
      <c r="H2211" s="9" t="s">
        <v>33</v>
      </c>
      <c r="I2211" s="7" t="str">
        <f t="shared" si="136"/>
        <v>61001005000</v>
      </c>
      <c r="J2211" s="7" t="str">
        <f t="shared" si="137"/>
        <v>Материал по ЕГРН</v>
      </c>
      <c r="K2211" s="7">
        <f>VLOOKUP(J2211,Лист2!A$2:B$4,2,FALSE)</f>
        <v>792</v>
      </c>
      <c r="L2211" s="7" t="str">
        <f t="shared" si="138"/>
        <v>ГОТОВ_ИЗМЕНЕН</v>
      </c>
      <c r="M2211" s="7">
        <f t="shared" si="139"/>
        <v>0</v>
      </c>
    </row>
    <row r="2212" spans="1:13" x14ac:dyDescent="0.25">
      <c r="A2212" s="1">
        <v>220652</v>
      </c>
      <c r="B2212" s="6" t="s">
        <v>2333</v>
      </c>
      <c r="C2212" s="9" t="s">
        <v>33</v>
      </c>
      <c r="D2212" s="6" t="s">
        <v>20</v>
      </c>
      <c r="E2212" s="6" t="s">
        <v>37</v>
      </c>
      <c r="F2212" s="6" t="s">
        <v>9</v>
      </c>
      <c r="G2212" s="6" t="s">
        <v>38</v>
      </c>
      <c r="H2212" s="9" t="s">
        <v>33</v>
      </c>
      <c r="I2212" s="7" t="str">
        <f t="shared" si="136"/>
        <v>61001005000</v>
      </c>
      <c r="J2212" s="7" t="str">
        <f t="shared" si="137"/>
        <v>Материал по ЕГРН</v>
      </c>
      <c r="K2212" s="7">
        <f>VLOOKUP(J2212,Лист2!A$2:B$4,2,FALSE)</f>
        <v>792</v>
      </c>
      <c r="L2212" s="7" t="str">
        <f t="shared" si="138"/>
        <v>ГОТОВ</v>
      </c>
      <c r="M2212" s="7" t="str">
        <f t="shared" si="139"/>
        <v>61001005000</v>
      </c>
    </row>
    <row r="2213" spans="1:13" x14ac:dyDescent="0.25">
      <c r="A2213" s="1">
        <v>522801</v>
      </c>
      <c r="B2213" s="6" t="s">
        <v>2334</v>
      </c>
      <c r="C2213" s="9" t="s">
        <v>33</v>
      </c>
      <c r="D2213" s="6" t="s">
        <v>20</v>
      </c>
      <c r="E2213" s="6" t="s">
        <v>37</v>
      </c>
      <c r="F2213" s="6" t="s">
        <v>9</v>
      </c>
      <c r="G2213" s="6" t="s">
        <v>38</v>
      </c>
      <c r="H2213" s="9" t="s">
        <v>33</v>
      </c>
      <c r="I2213" s="7" t="str">
        <f t="shared" si="136"/>
        <v>61001005000</v>
      </c>
      <c r="J2213" s="7" t="str">
        <f t="shared" si="137"/>
        <v>Материал по ЕГРН</v>
      </c>
      <c r="K2213" s="7">
        <f>VLOOKUP(J2213,Лист2!A$2:B$4,2,FALSE)</f>
        <v>792</v>
      </c>
      <c r="L2213" s="7" t="str">
        <f t="shared" si="138"/>
        <v>ГОТОВ</v>
      </c>
      <c r="M2213" s="7" t="str">
        <f t="shared" si="139"/>
        <v>61001005000</v>
      </c>
    </row>
    <row r="2214" spans="1:13" x14ac:dyDescent="0.25">
      <c r="A2214" s="1">
        <v>532636</v>
      </c>
      <c r="B2214" s="6" t="s">
        <v>2335</v>
      </c>
      <c r="C2214" s="9" t="s">
        <v>33</v>
      </c>
      <c r="D2214" s="6" t="s">
        <v>20</v>
      </c>
      <c r="E2214" s="6" t="s">
        <v>37</v>
      </c>
      <c r="F2214" s="6" t="s">
        <v>9</v>
      </c>
      <c r="G2214" s="6" t="s">
        <v>38</v>
      </c>
      <c r="H2214" s="9" t="s">
        <v>33</v>
      </c>
      <c r="I2214" s="7" t="str">
        <f t="shared" si="136"/>
        <v>61001005000</v>
      </c>
      <c r="J2214" s="7" t="str">
        <f t="shared" si="137"/>
        <v>Материал по ЕГРН</v>
      </c>
      <c r="K2214" s="7">
        <f>VLOOKUP(J2214,Лист2!A$2:B$4,2,FALSE)</f>
        <v>792</v>
      </c>
      <c r="L2214" s="7" t="str">
        <f t="shared" si="138"/>
        <v>ГОТОВ</v>
      </c>
      <c r="M2214" s="7" t="str">
        <f t="shared" si="139"/>
        <v>61001005000</v>
      </c>
    </row>
    <row r="2215" spans="1:13" x14ac:dyDescent="0.25">
      <c r="A2215" s="1">
        <v>797548</v>
      </c>
      <c r="B2215" s="6" t="s">
        <v>2336</v>
      </c>
      <c r="C2215" s="9" t="s">
        <v>33</v>
      </c>
      <c r="D2215" s="6" t="s">
        <v>20</v>
      </c>
      <c r="E2215" s="6" t="s">
        <v>37</v>
      </c>
      <c r="F2215" s="6" t="s">
        <v>9</v>
      </c>
      <c r="G2215" s="6" t="s">
        <v>38</v>
      </c>
      <c r="H2215" s="9" t="s">
        <v>33</v>
      </c>
      <c r="I2215" s="7" t="str">
        <f t="shared" si="136"/>
        <v>61001005000</v>
      </c>
      <c r="J2215" s="7" t="str">
        <f t="shared" si="137"/>
        <v>Материал по ЕГРН</v>
      </c>
      <c r="K2215" s="7">
        <f>VLOOKUP(J2215,Лист2!A$2:B$4,2,FALSE)</f>
        <v>792</v>
      </c>
      <c r="L2215" s="7" t="str">
        <f t="shared" si="138"/>
        <v>ГОТОВ</v>
      </c>
      <c r="M2215" s="7" t="str">
        <f t="shared" si="139"/>
        <v>61001005000</v>
      </c>
    </row>
    <row r="2216" spans="1:13" x14ac:dyDescent="0.25">
      <c r="A2216" s="1">
        <v>943959</v>
      </c>
      <c r="B2216" s="6" t="s">
        <v>2337</v>
      </c>
      <c r="F2216" s="6" t="s">
        <v>9</v>
      </c>
      <c r="G2216" s="6" t="s">
        <v>10</v>
      </c>
      <c r="H2216" s="9" t="s">
        <v>11</v>
      </c>
      <c r="I2216" s="7" t="str">
        <f t="shared" si="136"/>
        <v>61001003000</v>
      </c>
      <c r="J2216" s="7" t="str">
        <f t="shared" si="137"/>
        <v>Материал по ЕГРН</v>
      </c>
      <c r="K2216" s="7">
        <f>VLOOKUP(J2216,Лист2!A$2:B$4,2,FALSE)</f>
        <v>792</v>
      </c>
      <c r="L2216" s="7" t="str">
        <f t="shared" si="138"/>
        <v>ГОТОВ_ИЗМЕНЕН</v>
      </c>
      <c r="M2216" s="7">
        <f t="shared" si="139"/>
        <v>0</v>
      </c>
    </row>
    <row r="2217" spans="1:13" x14ac:dyDescent="0.25">
      <c r="A2217" s="1">
        <v>943971</v>
      </c>
      <c r="B2217" s="6" t="s">
        <v>2338</v>
      </c>
      <c r="F2217" s="6" t="s">
        <v>9</v>
      </c>
      <c r="G2217" s="6" t="s">
        <v>62</v>
      </c>
      <c r="H2217" s="9" t="s">
        <v>63</v>
      </c>
      <c r="I2217" s="7" t="str">
        <f t="shared" si="136"/>
        <v>61001006002</v>
      </c>
      <c r="J2217" s="7" t="str">
        <f t="shared" si="137"/>
        <v>Материал по ЕГРН</v>
      </c>
      <c r="K2217" s="7">
        <f>VLOOKUP(J2217,Лист2!A$2:B$4,2,FALSE)</f>
        <v>792</v>
      </c>
      <c r="L2217" s="7" t="str">
        <f t="shared" si="138"/>
        <v>ГОТОВ_ИЗМЕНЕН</v>
      </c>
      <c r="M2217" s="7">
        <f t="shared" si="139"/>
        <v>0</v>
      </c>
    </row>
    <row r="2218" spans="1:13" x14ac:dyDescent="0.25">
      <c r="A2218" s="1">
        <v>943983</v>
      </c>
      <c r="B2218" s="6" t="s">
        <v>2339</v>
      </c>
      <c r="F2218" s="6" t="s">
        <v>9</v>
      </c>
      <c r="G2218" s="6" t="s">
        <v>38</v>
      </c>
      <c r="H2218" s="9" t="s">
        <v>33</v>
      </c>
      <c r="I2218" s="7" t="str">
        <f t="shared" si="136"/>
        <v>61001005000</v>
      </c>
      <c r="J2218" s="7" t="str">
        <f t="shared" si="137"/>
        <v>Материал по ЕГРН</v>
      </c>
      <c r="K2218" s="7">
        <f>VLOOKUP(J2218,Лист2!A$2:B$4,2,FALSE)</f>
        <v>792</v>
      </c>
      <c r="L2218" s="7" t="str">
        <f t="shared" si="138"/>
        <v>ГОТОВ_ИЗМЕНЕН</v>
      </c>
      <c r="M2218" s="7">
        <f t="shared" si="139"/>
        <v>0</v>
      </c>
    </row>
    <row r="2219" spans="1:13" x14ac:dyDescent="0.25">
      <c r="A2219" s="1">
        <v>943995</v>
      </c>
      <c r="B2219" s="6" t="s">
        <v>2340</v>
      </c>
      <c r="F2219" s="6" t="s">
        <v>9</v>
      </c>
      <c r="G2219" s="6" t="s">
        <v>38</v>
      </c>
      <c r="H2219" s="9" t="s">
        <v>33</v>
      </c>
      <c r="I2219" s="7" t="str">
        <f t="shared" si="136"/>
        <v>61001005000</v>
      </c>
      <c r="J2219" s="7" t="str">
        <f t="shared" si="137"/>
        <v>Материал по ЕГРН</v>
      </c>
      <c r="K2219" s="7">
        <f>VLOOKUP(J2219,Лист2!A$2:B$4,2,FALSE)</f>
        <v>792</v>
      </c>
      <c r="L2219" s="7" t="str">
        <f t="shared" si="138"/>
        <v>ГОТОВ_ИЗМЕНЕН</v>
      </c>
      <c r="M2219" s="7">
        <f t="shared" si="139"/>
        <v>0</v>
      </c>
    </row>
    <row r="2220" spans="1:13" x14ac:dyDescent="0.25">
      <c r="A2220" s="1">
        <v>944007</v>
      </c>
      <c r="B2220" s="6" t="s">
        <v>2341</v>
      </c>
      <c r="F2220" s="6" t="s">
        <v>9</v>
      </c>
      <c r="G2220" s="6" t="s">
        <v>38</v>
      </c>
      <c r="H2220" s="9" t="s">
        <v>33</v>
      </c>
      <c r="I2220" s="7" t="str">
        <f t="shared" si="136"/>
        <v>61001005000</v>
      </c>
      <c r="J2220" s="7" t="str">
        <f t="shared" si="137"/>
        <v>Материал по ЕГРН</v>
      </c>
      <c r="K2220" s="7">
        <f>VLOOKUP(J2220,Лист2!A$2:B$4,2,FALSE)</f>
        <v>792</v>
      </c>
      <c r="L2220" s="7" t="str">
        <f t="shared" si="138"/>
        <v>ГОТОВ_ИЗМЕНЕН</v>
      </c>
      <c r="M2220" s="7">
        <f t="shared" si="139"/>
        <v>0</v>
      </c>
    </row>
    <row r="2221" spans="1:13" x14ac:dyDescent="0.25">
      <c r="A2221" s="1">
        <v>944019</v>
      </c>
      <c r="B2221" s="6" t="s">
        <v>2342</v>
      </c>
      <c r="F2221" s="6" t="s">
        <v>9</v>
      </c>
      <c r="G2221" s="6" t="s">
        <v>34</v>
      </c>
      <c r="H2221" s="9" t="s">
        <v>35</v>
      </c>
      <c r="I2221" s="7" t="str">
        <f t="shared" si="136"/>
        <v>61001002000</v>
      </c>
      <c r="J2221" s="7" t="str">
        <f t="shared" si="137"/>
        <v>Материал по ЕГРН</v>
      </c>
      <c r="K2221" s="7">
        <f>VLOOKUP(J2221,Лист2!A$2:B$4,2,FALSE)</f>
        <v>792</v>
      </c>
      <c r="L2221" s="7" t="str">
        <f t="shared" si="138"/>
        <v>ГОТОВ_ИЗМЕНЕН</v>
      </c>
      <c r="M2221" s="7">
        <f t="shared" si="139"/>
        <v>0</v>
      </c>
    </row>
    <row r="2222" spans="1:13" x14ac:dyDescent="0.25">
      <c r="A2222" s="1">
        <v>944031</v>
      </c>
      <c r="B2222" s="6" t="s">
        <v>2343</v>
      </c>
      <c r="F2222" s="6" t="s">
        <v>9</v>
      </c>
      <c r="G2222" s="6" t="s">
        <v>34</v>
      </c>
      <c r="H2222" s="9" t="s">
        <v>35</v>
      </c>
      <c r="I2222" s="7" t="str">
        <f t="shared" si="136"/>
        <v>61001002000</v>
      </c>
      <c r="J2222" s="7" t="str">
        <f t="shared" si="137"/>
        <v>Материал по ЕГРН</v>
      </c>
      <c r="K2222" s="7">
        <f>VLOOKUP(J2222,Лист2!A$2:B$4,2,FALSE)</f>
        <v>792</v>
      </c>
      <c r="L2222" s="7" t="str">
        <f t="shared" si="138"/>
        <v>ГОТОВ_ИЗМЕНЕН</v>
      </c>
      <c r="M2222" s="7">
        <f t="shared" si="139"/>
        <v>0</v>
      </c>
    </row>
    <row r="2223" spans="1:13" x14ac:dyDescent="0.25">
      <c r="A2223" s="1">
        <v>944043</v>
      </c>
      <c r="B2223" s="6" t="s">
        <v>2344</v>
      </c>
      <c r="F2223" s="6" t="s">
        <v>9</v>
      </c>
      <c r="G2223" s="6" t="s">
        <v>38</v>
      </c>
      <c r="H2223" s="9" t="s">
        <v>33</v>
      </c>
      <c r="I2223" s="7" t="str">
        <f t="shared" si="136"/>
        <v>61001005000</v>
      </c>
      <c r="J2223" s="7" t="str">
        <f t="shared" si="137"/>
        <v>Материал по ЕГРН</v>
      </c>
      <c r="K2223" s="7">
        <f>VLOOKUP(J2223,Лист2!A$2:B$4,2,FALSE)</f>
        <v>792</v>
      </c>
      <c r="L2223" s="7" t="str">
        <f t="shared" si="138"/>
        <v>ГОТОВ_ИЗМЕНЕН</v>
      </c>
      <c r="M2223" s="7">
        <f t="shared" si="139"/>
        <v>0</v>
      </c>
    </row>
    <row r="2224" spans="1:13" x14ac:dyDescent="0.25">
      <c r="A2224" s="1">
        <v>944055</v>
      </c>
      <c r="B2224" s="6" t="s">
        <v>2345</v>
      </c>
      <c r="F2224" s="6" t="s">
        <v>9</v>
      </c>
      <c r="G2224" s="6" t="s">
        <v>1371</v>
      </c>
      <c r="H2224" s="9" t="s">
        <v>1372</v>
      </c>
      <c r="I2224" s="7" t="str">
        <f t="shared" si="136"/>
        <v>61001007002</v>
      </c>
      <c r="J2224" s="7" t="str">
        <f t="shared" si="137"/>
        <v>Материал по ЕГРН</v>
      </c>
      <c r="K2224" s="7">
        <f>VLOOKUP(J2224,Лист2!A$2:B$4,2,FALSE)</f>
        <v>792</v>
      </c>
      <c r="L2224" s="7" t="str">
        <f t="shared" si="138"/>
        <v>ГОТОВ_ИЗМЕНЕН</v>
      </c>
      <c r="M2224" s="7">
        <f t="shared" si="139"/>
        <v>0</v>
      </c>
    </row>
    <row r="2225" spans="1:13" x14ac:dyDescent="0.25">
      <c r="A2225" s="1">
        <v>944067</v>
      </c>
      <c r="B2225" s="6" t="s">
        <v>2346</v>
      </c>
      <c r="F2225" s="6" t="s">
        <v>9</v>
      </c>
      <c r="G2225" s="6" t="s">
        <v>34</v>
      </c>
      <c r="H2225" s="9" t="s">
        <v>35</v>
      </c>
      <c r="I2225" s="7" t="str">
        <f t="shared" si="136"/>
        <v>61001002000</v>
      </c>
      <c r="J2225" s="7" t="str">
        <f t="shared" si="137"/>
        <v>Материал по ЕГРН</v>
      </c>
      <c r="K2225" s="7">
        <f>VLOOKUP(J2225,Лист2!A$2:B$4,2,FALSE)</f>
        <v>792</v>
      </c>
      <c r="L2225" s="7" t="str">
        <f t="shared" si="138"/>
        <v>ГОТОВ_ИЗМЕНЕН</v>
      </c>
      <c r="M2225" s="7">
        <f t="shared" si="139"/>
        <v>0</v>
      </c>
    </row>
    <row r="2226" spans="1:13" x14ac:dyDescent="0.25">
      <c r="A2226" s="1">
        <v>944079</v>
      </c>
      <c r="B2226" s="6" t="s">
        <v>2347</v>
      </c>
      <c r="F2226" s="6" t="s">
        <v>9</v>
      </c>
      <c r="G2226" s="6" t="s">
        <v>38</v>
      </c>
      <c r="H2226" s="9" t="s">
        <v>33</v>
      </c>
      <c r="I2226" s="7" t="str">
        <f t="shared" si="136"/>
        <v>61001005000</v>
      </c>
      <c r="J2226" s="7" t="str">
        <f t="shared" si="137"/>
        <v>Материал по ЕГРН</v>
      </c>
      <c r="K2226" s="7">
        <f>VLOOKUP(J2226,Лист2!A$2:B$4,2,FALSE)</f>
        <v>792</v>
      </c>
      <c r="L2226" s="7" t="str">
        <f t="shared" si="138"/>
        <v>ГОТОВ_ИЗМЕНЕН</v>
      </c>
      <c r="M2226" s="7">
        <f t="shared" si="139"/>
        <v>0</v>
      </c>
    </row>
    <row r="2227" spans="1:13" x14ac:dyDescent="0.25">
      <c r="A2227" s="1">
        <v>944091</v>
      </c>
      <c r="B2227" s="6" t="s">
        <v>2348</v>
      </c>
      <c r="F2227" s="6" t="s">
        <v>9</v>
      </c>
      <c r="G2227" s="6" t="s">
        <v>34</v>
      </c>
      <c r="H2227" s="9" t="s">
        <v>35</v>
      </c>
      <c r="I2227" s="7" t="str">
        <f t="shared" si="136"/>
        <v>61001002000</v>
      </c>
      <c r="J2227" s="7" t="str">
        <f t="shared" si="137"/>
        <v>Материал по ЕГРН</v>
      </c>
      <c r="K2227" s="7">
        <f>VLOOKUP(J2227,Лист2!A$2:B$4,2,FALSE)</f>
        <v>792</v>
      </c>
      <c r="L2227" s="7" t="str">
        <f t="shared" si="138"/>
        <v>ГОТОВ_ИЗМЕНЕН</v>
      </c>
      <c r="M2227" s="7">
        <f t="shared" si="139"/>
        <v>0</v>
      </c>
    </row>
    <row r="2228" spans="1:13" x14ac:dyDescent="0.25">
      <c r="A2228" s="1">
        <v>944103</v>
      </c>
      <c r="B2228" s="6" t="s">
        <v>2349</v>
      </c>
      <c r="F2228" s="6" t="s">
        <v>9</v>
      </c>
      <c r="G2228" s="6" t="s">
        <v>38</v>
      </c>
      <c r="H2228" s="9" t="s">
        <v>33</v>
      </c>
      <c r="I2228" s="7" t="str">
        <f t="shared" si="136"/>
        <v>61001005000</v>
      </c>
      <c r="J2228" s="7" t="str">
        <f t="shared" si="137"/>
        <v>Материал по ЕГРН</v>
      </c>
      <c r="K2228" s="7">
        <f>VLOOKUP(J2228,Лист2!A$2:B$4,2,FALSE)</f>
        <v>792</v>
      </c>
      <c r="L2228" s="7" t="str">
        <f t="shared" si="138"/>
        <v>ГОТОВ_ИЗМЕНЕН</v>
      </c>
      <c r="M2228" s="7">
        <f t="shared" si="139"/>
        <v>0</v>
      </c>
    </row>
    <row r="2229" spans="1:13" x14ac:dyDescent="0.25">
      <c r="A2229" s="1">
        <v>944115</v>
      </c>
      <c r="B2229" s="6" t="s">
        <v>2350</v>
      </c>
      <c r="F2229" s="6" t="s">
        <v>9</v>
      </c>
      <c r="G2229" s="6" t="s">
        <v>34</v>
      </c>
      <c r="H2229" s="9" t="s">
        <v>35</v>
      </c>
      <c r="I2229" s="7" t="str">
        <f t="shared" si="136"/>
        <v>61001002000</v>
      </c>
      <c r="J2229" s="7" t="str">
        <f t="shared" si="137"/>
        <v>Материал по ЕГРН</v>
      </c>
      <c r="K2229" s="7">
        <f>VLOOKUP(J2229,Лист2!A$2:B$4,2,FALSE)</f>
        <v>792</v>
      </c>
      <c r="L2229" s="7" t="str">
        <f t="shared" si="138"/>
        <v>ГОТОВ_ИЗМЕНЕН</v>
      </c>
      <c r="M2229" s="7">
        <f t="shared" si="139"/>
        <v>0</v>
      </c>
    </row>
    <row r="2230" spans="1:13" x14ac:dyDescent="0.25">
      <c r="A2230" s="1">
        <v>944127</v>
      </c>
      <c r="B2230" s="6" t="s">
        <v>2351</v>
      </c>
      <c r="F2230" s="6" t="s">
        <v>9</v>
      </c>
      <c r="G2230" s="6" t="s">
        <v>38</v>
      </c>
      <c r="H2230" s="9" t="s">
        <v>33</v>
      </c>
      <c r="I2230" s="7" t="str">
        <f t="shared" si="136"/>
        <v>61001005000</v>
      </c>
      <c r="J2230" s="7" t="str">
        <f t="shared" si="137"/>
        <v>Материал по ЕГРН</v>
      </c>
      <c r="K2230" s="7">
        <f>VLOOKUP(J2230,Лист2!A$2:B$4,2,FALSE)</f>
        <v>792</v>
      </c>
      <c r="L2230" s="7" t="str">
        <f t="shared" si="138"/>
        <v>ГОТОВ_ИЗМЕНЕН</v>
      </c>
      <c r="M2230" s="7">
        <f t="shared" si="139"/>
        <v>0</v>
      </c>
    </row>
    <row r="2231" spans="1:13" x14ac:dyDescent="0.25">
      <c r="A2231" s="1">
        <v>944139</v>
      </c>
      <c r="B2231" s="6" t="s">
        <v>2352</v>
      </c>
      <c r="F2231" s="6" t="s">
        <v>9</v>
      </c>
      <c r="G2231" s="6" t="s">
        <v>38</v>
      </c>
      <c r="H2231" s="9" t="s">
        <v>33</v>
      </c>
      <c r="I2231" s="7" t="str">
        <f t="shared" si="136"/>
        <v>61001005000</v>
      </c>
      <c r="J2231" s="7" t="str">
        <f t="shared" si="137"/>
        <v>Материал по ЕГРН</v>
      </c>
      <c r="K2231" s="7">
        <f>VLOOKUP(J2231,Лист2!A$2:B$4,2,FALSE)</f>
        <v>792</v>
      </c>
      <c r="L2231" s="7" t="str">
        <f t="shared" si="138"/>
        <v>ГОТОВ_ИЗМЕНЕН</v>
      </c>
      <c r="M2231" s="7">
        <f t="shared" si="139"/>
        <v>0</v>
      </c>
    </row>
    <row r="2232" spans="1:13" x14ac:dyDescent="0.25">
      <c r="A2232" s="1">
        <v>944151</v>
      </c>
      <c r="B2232" s="6" t="s">
        <v>2353</v>
      </c>
      <c r="F2232" s="6" t="s">
        <v>9</v>
      </c>
      <c r="G2232" s="6" t="s">
        <v>73</v>
      </c>
      <c r="H2232" s="9" t="s">
        <v>74</v>
      </c>
      <c r="I2232" s="7" t="str">
        <f t="shared" si="136"/>
        <v>61001006000</v>
      </c>
      <c r="J2232" s="7" t="str">
        <f t="shared" si="137"/>
        <v>Материал по ЕГРН</v>
      </c>
      <c r="K2232" s="7">
        <f>VLOOKUP(J2232,Лист2!A$2:B$4,2,FALSE)</f>
        <v>792</v>
      </c>
      <c r="L2232" s="7" t="str">
        <f t="shared" si="138"/>
        <v>ГОТОВ_ИЗМЕНЕН</v>
      </c>
      <c r="M2232" s="7">
        <f t="shared" si="139"/>
        <v>0</v>
      </c>
    </row>
    <row r="2233" spans="1:13" x14ac:dyDescent="0.25">
      <c r="A2233" s="1">
        <v>944163</v>
      </c>
      <c r="B2233" s="6" t="s">
        <v>2354</v>
      </c>
      <c r="F2233" s="6" t="s">
        <v>9</v>
      </c>
      <c r="G2233" s="6" t="s">
        <v>62</v>
      </c>
      <c r="H2233" s="9" t="s">
        <v>63</v>
      </c>
      <c r="I2233" s="7" t="str">
        <f t="shared" si="136"/>
        <v>61001006002</v>
      </c>
      <c r="J2233" s="7" t="str">
        <f t="shared" si="137"/>
        <v>Материал по ЕГРН</v>
      </c>
      <c r="K2233" s="7">
        <f>VLOOKUP(J2233,Лист2!A$2:B$4,2,FALSE)</f>
        <v>792</v>
      </c>
      <c r="L2233" s="7" t="str">
        <f t="shared" si="138"/>
        <v>ГОТОВ_ИЗМЕНЕН</v>
      </c>
      <c r="M2233" s="7">
        <f t="shared" si="139"/>
        <v>0</v>
      </c>
    </row>
    <row r="2234" spans="1:13" x14ac:dyDescent="0.25">
      <c r="A2234" s="1">
        <v>944175</v>
      </c>
      <c r="B2234" s="6" t="s">
        <v>2355</v>
      </c>
      <c r="F2234" s="6" t="s">
        <v>9</v>
      </c>
      <c r="G2234" s="6" t="s">
        <v>38</v>
      </c>
      <c r="H2234" s="9" t="s">
        <v>33</v>
      </c>
      <c r="I2234" s="7" t="str">
        <f t="shared" si="136"/>
        <v>61001005000</v>
      </c>
      <c r="J2234" s="7" t="str">
        <f t="shared" si="137"/>
        <v>Материал по ЕГРН</v>
      </c>
      <c r="K2234" s="7">
        <f>VLOOKUP(J2234,Лист2!A$2:B$4,2,FALSE)</f>
        <v>792</v>
      </c>
      <c r="L2234" s="7" t="str">
        <f t="shared" si="138"/>
        <v>ГОТОВ_ИЗМЕНЕН</v>
      </c>
      <c r="M2234" s="7">
        <f t="shared" si="139"/>
        <v>0</v>
      </c>
    </row>
    <row r="2235" spans="1:13" x14ac:dyDescent="0.25">
      <c r="A2235" s="1">
        <v>944187</v>
      </c>
      <c r="B2235" s="6" t="s">
        <v>2356</v>
      </c>
      <c r="F2235" s="6" t="s">
        <v>9</v>
      </c>
      <c r="G2235" s="6" t="s">
        <v>59</v>
      </c>
      <c r="H2235" s="9" t="s">
        <v>60</v>
      </c>
      <c r="I2235" s="7" t="str">
        <f t="shared" si="136"/>
        <v>61001001001</v>
      </c>
      <c r="J2235" s="7" t="str">
        <f t="shared" si="137"/>
        <v>Материал по ЕГРН</v>
      </c>
      <c r="K2235" s="7">
        <f>VLOOKUP(J2235,Лист2!A$2:B$4,2,FALSE)</f>
        <v>792</v>
      </c>
      <c r="L2235" s="7" t="str">
        <f t="shared" si="138"/>
        <v>ГОТОВ_ИЗМЕНЕН</v>
      </c>
      <c r="M2235" s="7">
        <f t="shared" si="139"/>
        <v>0</v>
      </c>
    </row>
    <row r="2236" spans="1:13" x14ac:dyDescent="0.25">
      <c r="A2236" s="1">
        <v>944199</v>
      </c>
      <c r="B2236" s="6" t="s">
        <v>2357</v>
      </c>
      <c r="F2236" s="6" t="s">
        <v>9</v>
      </c>
      <c r="G2236" s="6" t="s">
        <v>149</v>
      </c>
      <c r="H2236" s="9" t="s">
        <v>150</v>
      </c>
      <c r="I2236" s="7" t="str">
        <f t="shared" si="136"/>
        <v>61001007000</v>
      </c>
      <c r="J2236" s="7" t="str">
        <f t="shared" si="137"/>
        <v>Материал по ЕГРН</v>
      </c>
      <c r="K2236" s="7">
        <f>VLOOKUP(J2236,Лист2!A$2:B$4,2,FALSE)</f>
        <v>792</v>
      </c>
      <c r="L2236" s="7" t="str">
        <f t="shared" si="138"/>
        <v>ГОТОВ_ИЗМЕНЕН</v>
      </c>
      <c r="M2236" s="7">
        <f t="shared" si="139"/>
        <v>0</v>
      </c>
    </row>
    <row r="2237" spans="1:13" x14ac:dyDescent="0.25">
      <c r="A2237" s="1">
        <v>944211</v>
      </c>
      <c r="B2237" s="6" t="s">
        <v>2358</v>
      </c>
      <c r="F2237" s="6" t="s">
        <v>9</v>
      </c>
      <c r="G2237" s="6" t="s">
        <v>608</v>
      </c>
      <c r="H2237" s="9" t="s">
        <v>366</v>
      </c>
      <c r="I2237" s="7" t="str">
        <f t="shared" si="136"/>
        <v>61001003000</v>
      </c>
      <c r="J2237" s="7" t="str">
        <f t="shared" si="137"/>
        <v>Смешанные по допущению</v>
      </c>
      <c r="K2237" s="7">
        <f>VLOOKUP(J2237,Лист2!A$2:B$4,2,FALSE)</f>
        <v>793</v>
      </c>
      <c r="L2237" s="7" t="str">
        <f t="shared" si="138"/>
        <v>ГОТОВ_ИЗМЕНЕН</v>
      </c>
      <c r="M2237" s="7">
        <f t="shared" si="139"/>
        <v>0</v>
      </c>
    </row>
    <row r="2238" spans="1:13" x14ac:dyDescent="0.25">
      <c r="A2238" s="1">
        <v>944223</v>
      </c>
      <c r="B2238" s="6" t="s">
        <v>2359</v>
      </c>
      <c r="F2238" s="6" t="s">
        <v>9</v>
      </c>
      <c r="G2238" s="6" t="s">
        <v>38</v>
      </c>
      <c r="H2238" s="9" t="s">
        <v>33</v>
      </c>
      <c r="I2238" s="7" t="str">
        <f t="shared" si="136"/>
        <v>61001005000</v>
      </c>
      <c r="J2238" s="7" t="str">
        <f t="shared" si="137"/>
        <v>Материал по ЕГРН</v>
      </c>
      <c r="K2238" s="7">
        <f>VLOOKUP(J2238,Лист2!A$2:B$4,2,FALSE)</f>
        <v>792</v>
      </c>
      <c r="L2238" s="7" t="str">
        <f t="shared" si="138"/>
        <v>ГОТОВ_ИЗМЕНЕН</v>
      </c>
      <c r="M2238" s="7">
        <f t="shared" si="139"/>
        <v>0</v>
      </c>
    </row>
    <row r="2239" spans="1:13" x14ac:dyDescent="0.25">
      <c r="A2239" s="1">
        <v>944235</v>
      </c>
      <c r="B2239" s="6" t="s">
        <v>2360</v>
      </c>
      <c r="F2239" s="6" t="s">
        <v>9</v>
      </c>
      <c r="G2239" s="6" t="s">
        <v>38</v>
      </c>
      <c r="H2239" s="9" t="s">
        <v>33</v>
      </c>
      <c r="I2239" s="7" t="str">
        <f t="shared" si="136"/>
        <v>61001005000</v>
      </c>
      <c r="J2239" s="7" t="str">
        <f t="shared" si="137"/>
        <v>Материал по ЕГРН</v>
      </c>
      <c r="K2239" s="7">
        <f>VLOOKUP(J2239,Лист2!A$2:B$4,2,FALSE)</f>
        <v>792</v>
      </c>
      <c r="L2239" s="7" t="str">
        <f t="shared" si="138"/>
        <v>ГОТОВ_ИЗМЕНЕН</v>
      </c>
      <c r="M2239" s="7">
        <f t="shared" si="139"/>
        <v>0</v>
      </c>
    </row>
    <row r="2240" spans="1:13" x14ac:dyDescent="0.25">
      <c r="A2240" s="1">
        <v>944247</v>
      </c>
      <c r="B2240" s="6" t="s">
        <v>2361</v>
      </c>
      <c r="F2240" s="6" t="s">
        <v>9</v>
      </c>
      <c r="G2240" s="6" t="s">
        <v>34</v>
      </c>
      <c r="H2240" s="9" t="s">
        <v>35</v>
      </c>
      <c r="I2240" s="7" t="str">
        <f t="shared" si="136"/>
        <v>61001002000</v>
      </c>
      <c r="J2240" s="7" t="str">
        <f t="shared" si="137"/>
        <v>Материал по ЕГРН</v>
      </c>
      <c r="K2240" s="7">
        <f>VLOOKUP(J2240,Лист2!A$2:B$4,2,FALSE)</f>
        <v>792</v>
      </c>
      <c r="L2240" s="7" t="str">
        <f t="shared" si="138"/>
        <v>ГОТОВ_ИЗМЕНЕН</v>
      </c>
      <c r="M2240" s="7">
        <f t="shared" si="139"/>
        <v>0</v>
      </c>
    </row>
    <row r="2241" spans="1:13" x14ac:dyDescent="0.25">
      <c r="A2241" s="1">
        <v>944259</v>
      </c>
      <c r="B2241" s="6" t="s">
        <v>2362</v>
      </c>
      <c r="F2241" s="6" t="s">
        <v>9</v>
      </c>
      <c r="G2241" s="6" t="s">
        <v>170</v>
      </c>
      <c r="H2241" s="9" t="s">
        <v>171</v>
      </c>
      <c r="I2241" s="7" t="str">
        <f t="shared" si="136"/>
        <v>61001001000</v>
      </c>
      <c r="J2241" s="7" t="str">
        <f t="shared" si="137"/>
        <v>Материал по ЕГРН</v>
      </c>
      <c r="K2241" s="7">
        <f>VLOOKUP(J2241,Лист2!A$2:B$4,2,FALSE)</f>
        <v>792</v>
      </c>
      <c r="L2241" s="7" t="str">
        <f t="shared" si="138"/>
        <v>ГОТОВ_ИЗМЕНЕН</v>
      </c>
      <c r="M2241" s="7">
        <f t="shared" si="139"/>
        <v>0</v>
      </c>
    </row>
    <row r="2242" spans="1:13" x14ac:dyDescent="0.25">
      <c r="A2242" s="1">
        <v>944271</v>
      </c>
      <c r="B2242" s="6" t="s">
        <v>2363</v>
      </c>
      <c r="F2242" s="6" t="s">
        <v>9</v>
      </c>
      <c r="G2242" s="6" t="s">
        <v>73</v>
      </c>
      <c r="H2242" s="9" t="s">
        <v>74</v>
      </c>
      <c r="I2242" s="7" t="str">
        <f t="shared" si="136"/>
        <v>61001006000</v>
      </c>
      <c r="J2242" s="7" t="str">
        <f t="shared" si="137"/>
        <v>Материал по ЕГРН</v>
      </c>
      <c r="K2242" s="7">
        <f>VLOOKUP(J2242,Лист2!A$2:B$4,2,FALSE)</f>
        <v>792</v>
      </c>
      <c r="L2242" s="7" t="str">
        <f t="shared" si="138"/>
        <v>ГОТОВ_ИЗМЕНЕН</v>
      </c>
      <c r="M2242" s="7">
        <f t="shared" si="139"/>
        <v>0</v>
      </c>
    </row>
    <row r="2243" spans="1:13" x14ac:dyDescent="0.25">
      <c r="A2243" s="1">
        <v>378698</v>
      </c>
      <c r="B2243" s="6" t="s">
        <v>2364</v>
      </c>
      <c r="C2243" s="9" t="s">
        <v>42</v>
      </c>
      <c r="D2243" s="6" t="s">
        <v>20</v>
      </c>
      <c r="E2243" s="6" t="s">
        <v>37</v>
      </c>
      <c r="F2243" s="6" t="s">
        <v>9</v>
      </c>
      <c r="G2243" s="6" t="s">
        <v>43</v>
      </c>
      <c r="H2243" s="9" t="s">
        <v>42</v>
      </c>
      <c r="I2243" s="7" t="str">
        <f t="shared" si="136"/>
        <v>61001002001</v>
      </c>
      <c r="J2243" s="7" t="str">
        <f t="shared" si="137"/>
        <v>Материал по ЕГРН</v>
      </c>
      <c r="K2243" s="7">
        <f>VLOOKUP(J2243,Лист2!A$2:B$4,2,FALSE)</f>
        <v>792</v>
      </c>
      <c r="L2243" s="7" t="str">
        <f t="shared" si="138"/>
        <v>ГОТОВ</v>
      </c>
      <c r="M2243" s="7" t="str">
        <f t="shared" si="139"/>
        <v>61001002001</v>
      </c>
    </row>
    <row r="2244" spans="1:13" x14ac:dyDescent="0.25">
      <c r="A2244" s="1">
        <v>461738</v>
      </c>
      <c r="B2244" s="6" t="s">
        <v>2365</v>
      </c>
      <c r="C2244" s="9" t="s">
        <v>33</v>
      </c>
      <c r="D2244" s="6" t="s">
        <v>20</v>
      </c>
      <c r="E2244" s="6" t="s">
        <v>8</v>
      </c>
      <c r="F2244" s="6" t="s">
        <v>9</v>
      </c>
      <c r="G2244" s="6" t="s">
        <v>10</v>
      </c>
      <c r="H2244" s="9" t="s">
        <v>11</v>
      </c>
      <c r="I2244" s="7" t="str">
        <f t="shared" si="136"/>
        <v>61001003000</v>
      </c>
      <c r="J2244" s="7" t="str">
        <f t="shared" si="137"/>
        <v>Материал по ЕГРН</v>
      </c>
      <c r="K2244" s="7">
        <f>VLOOKUP(J2244,Лист2!A$2:B$4,2,FALSE)</f>
        <v>792</v>
      </c>
      <c r="L2244" s="7" t="str">
        <f t="shared" si="138"/>
        <v>ГОТОВ_ИЗМЕНЕН</v>
      </c>
      <c r="M2244" s="7" t="str">
        <f t="shared" si="139"/>
        <v>61001005000</v>
      </c>
    </row>
    <row r="2245" spans="1:13" x14ac:dyDescent="0.25">
      <c r="A2245" s="1">
        <v>839695</v>
      </c>
      <c r="B2245" s="6" t="s">
        <v>2366</v>
      </c>
      <c r="C2245" s="9" t="s">
        <v>33</v>
      </c>
      <c r="D2245" s="6" t="s">
        <v>20</v>
      </c>
      <c r="E2245" s="6" t="s">
        <v>37</v>
      </c>
      <c r="F2245" s="6" t="s">
        <v>9</v>
      </c>
      <c r="G2245" s="6" t="s">
        <v>38</v>
      </c>
      <c r="H2245" s="9" t="s">
        <v>33</v>
      </c>
      <c r="I2245" s="7" t="str">
        <f t="shared" ref="I2245:I2308" si="140">IF(LEN(H2245)=11,H2245,IF(LEN(H2245)=0,"61001005000","61001003000"))</f>
        <v>61001005000</v>
      </c>
      <c r="J2245" s="7" t="str">
        <f t="shared" ref="J2245:J2308" si="141">IF(LEN(H2245)=11,"Материал по ЕГРН",IF(LEN(H2245)=0,"Прочие по допущению","Смешанные по допущению"))</f>
        <v>Материал по ЕГРН</v>
      </c>
      <c r="K2245" s="7">
        <f>VLOOKUP(J2245,Лист2!A$2:B$4,2,FALSE)</f>
        <v>792</v>
      </c>
      <c r="L2245" s="7" t="str">
        <f t="shared" ref="L2245:L2308" si="142">IF(I2245=C2245,"ГОТОВ","ГОТОВ_ИЗМЕНЕН")</f>
        <v>ГОТОВ</v>
      </c>
      <c r="M2245" s="7" t="str">
        <f t="shared" ref="M2245:M2308" si="143">C2245</f>
        <v>61001005000</v>
      </c>
    </row>
    <row r="2246" spans="1:13" x14ac:dyDescent="0.25">
      <c r="A2246" s="1">
        <v>945788</v>
      </c>
      <c r="B2246" s="6" t="s">
        <v>2367</v>
      </c>
      <c r="F2246" s="6" t="s">
        <v>9</v>
      </c>
      <c r="G2246" s="6" t="s">
        <v>306</v>
      </c>
      <c r="H2246" s="9" t="s">
        <v>307</v>
      </c>
      <c r="I2246" s="7" t="str">
        <f t="shared" si="140"/>
        <v>61001002002</v>
      </c>
      <c r="J2246" s="7" t="str">
        <f t="shared" si="141"/>
        <v>Материал по ЕГРН</v>
      </c>
      <c r="K2246" s="7">
        <f>VLOOKUP(J2246,Лист2!A$2:B$4,2,FALSE)</f>
        <v>792</v>
      </c>
      <c r="L2246" s="7" t="str">
        <f t="shared" si="142"/>
        <v>ГОТОВ_ИЗМЕНЕН</v>
      </c>
      <c r="M2246" s="7">
        <f t="shared" si="143"/>
        <v>0</v>
      </c>
    </row>
    <row r="2247" spans="1:13" x14ac:dyDescent="0.25">
      <c r="A2247" s="1">
        <v>945800</v>
      </c>
      <c r="B2247" s="6" t="s">
        <v>2368</v>
      </c>
      <c r="F2247" s="6" t="s">
        <v>9</v>
      </c>
      <c r="G2247" s="6" t="s">
        <v>38</v>
      </c>
      <c r="H2247" s="9" t="s">
        <v>33</v>
      </c>
      <c r="I2247" s="7" t="str">
        <f t="shared" si="140"/>
        <v>61001005000</v>
      </c>
      <c r="J2247" s="7" t="str">
        <f t="shared" si="141"/>
        <v>Материал по ЕГРН</v>
      </c>
      <c r="K2247" s="7">
        <f>VLOOKUP(J2247,Лист2!A$2:B$4,2,FALSE)</f>
        <v>792</v>
      </c>
      <c r="L2247" s="7" t="str">
        <f t="shared" si="142"/>
        <v>ГОТОВ_ИЗМЕНЕН</v>
      </c>
      <c r="M2247" s="7">
        <f t="shared" si="143"/>
        <v>0</v>
      </c>
    </row>
    <row r="2248" spans="1:13" x14ac:dyDescent="0.25">
      <c r="A2248" s="1">
        <v>306822</v>
      </c>
      <c r="B2248" s="6" t="s">
        <v>2369</v>
      </c>
      <c r="C2248" s="9" t="s">
        <v>60</v>
      </c>
      <c r="D2248" s="6" t="s">
        <v>20</v>
      </c>
      <c r="E2248" s="6" t="s">
        <v>37</v>
      </c>
      <c r="F2248" s="6" t="s">
        <v>9</v>
      </c>
      <c r="G2248" s="6" t="s">
        <v>59</v>
      </c>
      <c r="H2248" s="9" t="s">
        <v>60</v>
      </c>
      <c r="I2248" s="7" t="str">
        <f t="shared" si="140"/>
        <v>61001001001</v>
      </c>
      <c r="J2248" s="7" t="str">
        <f t="shared" si="141"/>
        <v>Материал по ЕГРН</v>
      </c>
      <c r="K2248" s="7">
        <f>VLOOKUP(J2248,Лист2!A$2:B$4,2,FALSE)</f>
        <v>792</v>
      </c>
      <c r="L2248" s="7" t="str">
        <f t="shared" si="142"/>
        <v>ГОТОВ</v>
      </c>
      <c r="M2248" s="7" t="str">
        <f t="shared" si="143"/>
        <v>61001001001</v>
      </c>
    </row>
    <row r="2249" spans="1:13" x14ac:dyDescent="0.25">
      <c r="A2249" s="1">
        <v>515676</v>
      </c>
      <c r="B2249" s="6" t="s">
        <v>2370</v>
      </c>
      <c r="C2249" s="9" t="s">
        <v>33</v>
      </c>
      <c r="D2249" s="6" t="s">
        <v>20</v>
      </c>
      <c r="E2249" s="6" t="s">
        <v>37</v>
      </c>
      <c r="F2249" s="6" t="s">
        <v>9</v>
      </c>
      <c r="G2249" s="6" t="s">
        <v>38</v>
      </c>
      <c r="H2249" s="9" t="s">
        <v>33</v>
      </c>
      <c r="I2249" s="7" t="str">
        <f t="shared" si="140"/>
        <v>61001005000</v>
      </c>
      <c r="J2249" s="7" t="str">
        <f t="shared" si="141"/>
        <v>Материал по ЕГРН</v>
      </c>
      <c r="K2249" s="7">
        <f>VLOOKUP(J2249,Лист2!A$2:B$4,2,FALSE)</f>
        <v>792</v>
      </c>
      <c r="L2249" s="7" t="str">
        <f t="shared" si="142"/>
        <v>ГОТОВ</v>
      </c>
      <c r="M2249" s="7" t="str">
        <f t="shared" si="143"/>
        <v>61001005000</v>
      </c>
    </row>
    <row r="2250" spans="1:13" x14ac:dyDescent="0.25">
      <c r="A2250" s="1">
        <v>524306</v>
      </c>
      <c r="B2250" s="6" t="s">
        <v>2371</v>
      </c>
      <c r="C2250" s="9" t="s">
        <v>33</v>
      </c>
      <c r="D2250" s="6" t="s">
        <v>20</v>
      </c>
      <c r="E2250" s="6" t="s">
        <v>37</v>
      </c>
      <c r="F2250" s="6" t="s">
        <v>9</v>
      </c>
      <c r="G2250" s="6" t="s">
        <v>38</v>
      </c>
      <c r="H2250" s="9" t="s">
        <v>33</v>
      </c>
      <c r="I2250" s="7" t="str">
        <f t="shared" si="140"/>
        <v>61001005000</v>
      </c>
      <c r="J2250" s="7" t="str">
        <f t="shared" si="141"/>
        <v>Материал по ЕГРН</v>
      </c>
      <c r="K2250" s="7">
        <f>VLOOKUP(J2250,Лист2!A$2:B$4,2,FALSE)</f>
        <v>792</v>
      </c>
      <c r="L2250" s="7" t="str">
        <f t="shared" si="142"/>
        <v>ГОТОВ</v>
      </c>
      <c r="M2250" s="7" t="str">
        <f t="shared" si="143"/>
        <v>61001005000</v>
      </c>
    </row>
    <row r="2251" spans="1:13" x14ac:dyDescent="0.25">
      <c r="A2251" s="1">
        <v>531008</v>
      </c>
      <c r="B2251" s="6" t="s">
        <v>2372</v>
      </c>
      <c r="C2251" s="9" t="s">
        <v>33</v>
      </c>
      <c r="D2251" s="6" t="s">
        <v>20</v>
      </c>
      <c r="E2251" s="6" t="s">
        <v>37</v>
      </c>
      <c r="F2251" s="6" t="s">
        <v>9</v>
      </c>
      <c r="G2251" s="6" t="s">
        <v>38</v>
      </c>
      <c r="H2251" s="9" t="s">
        <v>33</v>
      </c>
      <c r="I2251" s="7" t="str">
        <f t="shared" si="140"/>
        <v>61001005000</v>
      </c>
      <c r="J2251" s="7" t="str">
        <f t="shared" si="141"/>
        <v>Материал по ЕГРН</v>
      </c>
      <c r="K2251" s="7">
        <f>VLOOKUP(J2251,Лист2!A$2:B$4,2,FALSE)</f>
        <v>792</v>
      </c>
      <c r="L2251" s="7" t="str">
        <f t="shared" si="142"/>
        <v>ГОТОВ</v>
      </c>
      <c r="M2251" s="7" t="str">
        <f t="shared" si="143"/>
        <v>61001005000</v>
      </c>
    </row>
    <row r="2252" spans="1:13" x14ac:dyDescent="0.25">
      <c r="A2252" s="1">
        <v>726319</v>
      </c>
      <c r="B2252" s="6" t="s">
        <v>2373</v>
      </c>
      <c r="C2252" s="9" t="s">
        <v>33</v>
      </c>
      <c r="D2252" s="6" t="s">
        <v>20</v>
      </c>
      <c r="E2252" s="6" t="s">
        <v>8</v>
      </c>
      <c r="F2252" s="6" t="s">
        <v>9</v>
      </c>
      <c r="G2252" s="6" t="s">
        <v>365</v>
      </c>
      <c r="H2252" s="9" t="s">
        <v>366</v>
      </c>
      <c r="I2252" s="7" t="str">
        <f t="shared" si="140"/>
        <v>61001003000</v>
      </c>
      <c r="J2252" s="7" t="str">
        <f t="shared" si="141"/>
        <v>Смешанные по допущению</v>
      </c>
      <c r="K2252" s="7">
        <f>VLOOKUP(J2252,Лист2!A$2:B$4,2,FALSE)</f>
        <v>793</v>
      </c>
      <c r="L2252" s="7" t="str">
        <f t="shared" si="142"/>
        <v>ГОТОВ_ИЗМЕНЕН</v>
      </c>
      <c r="M2252" s="7" t="str">
        <f t="shared" si="143"/>
        <v>61001005000</v>
      </c>
    </row>
    <row r="2253" spans="1:13" x14ac:dyDescent="0.25">
      <c r="A2253" s="1">
        <v>942913</v>
      </c>
      <c r="B2253" s="6" t="s">
        <v>2374</v>
      </c>
      <c r="C2253" s="9" t="s">
        <v>33</v>
      </c>
      <c r="D2253" s="6" t="s">
        <v>14</v>
      </c>
      <c r="E2253" s="6" t="s">
        <v>37</v>
      </c>
      <c r="F2253" s="6" t="s">
        <v>9</v>
      </c>
      <c r="G2253" s="6" t="s">
        <v>146</v>
      </c>
      <c r="H2253" s="9" t="s">
        <v>147</v>
      </c>
      <c r="I2253" s="7" t="str">
        <f t="shared" si="140"/>
        <v>61001000000</v>
      </c>
      <c r="J2253" s="7" t="str">
        <f t="shared" si="141"/>
        <v>Материал по ЕГРН</v>
      </c>
      <c r="K2253" s="7">
        <f>VLOOKUP(J2253,Лист2!A$2:B$4,2,FALSE)</f>
        <v>792</v>
      </c>
      <c r="L2253" s="7" t="str">
        <f t="shared" si="142"/>
        <v>ГОТОВ_ИЗМЕНЕН</v>
      </c>
      <c r="M2253" s="7" t="str">
        <f t="shared" si="143"/>
        <v>61001005000</v>
      </c>
    </row>
    <row r="2254" spans="1:13" x14ac:dyDescent="0.25">
      <c r="A2254" s="1">
        <v>221445</v>
      </c>
      <c r="B2254" s="6" t="s">
        <v>2375</v>
      </c>
      <c r="C2254" s="9" t="s">
        <v>33</v>
      </c>
      <c r="D2254" s="6" t="s">
        <v>20</v>
      </c>
      <c r="E2254" s="6" t="s">
        <v>37</v>
      </c>
      <c r="F2254" s="6" t="s">
        <v>9</v>
      </c>
      <c r="G2254" s="6" t="s">
        <v>38</v>
      </c>
      <c r="H2254" s="9" t="s">
        <v>33</v>
      </c>
      <c r="I2254" s="7" t="str">
        <f t="shared" si="140"/>
        <v>61001005000</v>
      </c>
      <c r="J2254" s="7" t="str">
        <f t="shared" si="141"/>
        <v>Материал по ЕГРН</v>
      </c>
      <c r="K2254" s="7">
        <f>VLOOKUP(J2254,Лист2!A$2:B$4,2,FALSE)</f>
        <v>792</v>
      </c>
      <c r="L2254" s="7" t="str">
        <f t="shared" si="142"/>
        <v>ГОТОВ</v>
      </c>
      <c r="M2254" s="7" t="str">
        <f t="shared" si="143"/>
        <v>61001005000</v>
      </c>
    </row>
    <row r="2255" spans="1:13" x14ac:dyDescent="0.25">
      <c r="A2255" s="1">
        <v>291552</v>
      </c>
      <c r="B2255" s="6" t="s">
        <v>2376</v>
      </c>
      <c r="C2255" s="9" t="s">
        <v>60</v>
      </c>
      <c r="D2255" s="6" t="s">
        <v>20</v>
      </c>
      <c r="E2255" s="6" t="s">
        <v>37</v>
      </c>
      <c r="F2255" s="6" t="s">
        <v>9</v>
      </c>
      <c r="G2255" s="6" t="s">
        <v>59</v>
      </c>
      <c r="H2255" s="9" t="s">
        <v>60</v>
      </c>
      <c r="I2255" s="7" t="str">
        <f t="shared" si="140"/>
        <v>61001001001</v>
      </c>
      <c r="J2255" s="7" t="str">
        <f t="shared" si="141"/>
        <v>Материал по ЕГРН</v>
      </c>
      <c r="K2255" s="7">
        <f>VLOOKUP(J2255,Лист2!A$2:B$4,2,FALSE)</f>
        <v>792</v>
      </c>
      <c r="L2255" s="7" t="str">
        <f t="shared" si="142"/>
        <v>ГОТОВ</v>
      </c>
      <c r="M2255" s="7" t="str">
        <f t="shared" si="143"/>
        <v>61001001001</v>
      </c>
    </row>
    <row r="2256" spans="1:13" x14ac:dyDescent="0.25">
      <c r="A2256" s="1">
        <v>541018</v>
      </c>
      <c r="B2256" s="6" t="s">
        <v>2377</v>
      </c>
      <c r="C2256" s="9" t="s">
        <v>33</v>
      </c>
      <c r="D2256" s="6" t="s">
        <v>20</v>
      </c>
      <c r="E2256" s="6" t="s">
        <v>37</v>
      </c>
      <c r="F2256" s="6" t="s">
        <v>9</v>
      </c>
      <c r="G2256" s="6" t="s">
        <v>38</v>
      </c>
      <c r="H2256" s="9" t="s">
        <v>33</v>
      </c>
      <c r="I2256" s="7" t="str">
        <f t="shared" si="140"/>
        <v>61001005000</v>
      </c>
      <c r="J2256" s="7" t="str">
        <f t="shared" si="141"/>
        <v>Материал по ЕГРН</v>
      </c>
      <c r="K2256" s="7">
        <f>VLOOKUP(J2256,Лист2!A$2:B$4,2,FALSE)</f>
        <v>792</v>
      </c>
      <c r="L2256" s="7" t="str">
        <f t="shared" si="142"/>
        <v>ГОТОВ</v>
      </c>
      <c r="M2256" s="7" t="str">
        <f t="shared" si="143"/>
        <v>61001005000</v>
      </c>
    </row>
    <row r="2257" spans="1:13" x14ac:dyDescent="0.25">
      <c r="A2257" s="1">
        <v>774622</v>
      </c>
      <c r="B2257" s="6" t="s">
        <v>2378</v>
      </c>
      <c r="C2257" s="9" t="s">
        <v>60</v>
      </c>
      <c r="D2257" s="6" t="s">
        <v>20</v>
      </c>
      <c r="E2257" s="6" t="s">
        <v>37</v>
      </c>
      <c r="F2257" s="6" t="s">
        <v>9</v>
      </c>
      <c r="G2257" s="6" t="s">
        <v>59</v>
      </c>
      <c r="H2257" s="9" t="s">
        <v>60</v>
      </c>
      <c r="I2257" s="7" t="str">
        <f t="shared" si="140"/>
        <v>61001001001</v>
      </c>
      <c r="J2257" s="7" t="str">
        <f t="shared" si="141"/>
        <v>Материал по ЕГРН</v>
      </c>
      <c r="K2257" s="7">
        <f>VLOOKUP(J2257,Лист2!A$2:B$4,2,FALSE)</f>
        <v>792</v>
      </c>
      <c r="L2257" s="7" t="str">
        <f t="shared" si="142"/>
        <v>ГОТОВ</v>
      </c>
      <c r="M2257" s="7" t="str">
        <f t="shared" si="143"/>
        <v>61001001001</v>
      </c>
    </row>
    <row r="2258" spans="1:13" x14ac:dyDescent="0.25">
      <c r="A2258" s="1">
        <v>299519</v>
      </c>
      <c r="B2258" s="6" t="s">
        <v>2379</v>
      </c>
      <c r="C2258" s="9" t="s">
        <v>60</v>
      </c>
      <c r="D2258" s="6" t="s">
        <v>20</v>
      </c>
      <c r="E2258" s="6" t="s">
        <v>37</v>
      </c>
      <c r="F2258" s="6" t="s">
        <v>9</v>
      </c>
      <c r="G2258" s="6" t="s">
        <v>59</v>
      </c>
      <c r="H2258" s="9" t="s">
        <v>60</v>
      </c>
      <c r="I2258" s="7" t="str">
        <f t="shared" si="140"/>
        <v>61001001001</v>
      </c>
      <c r="J2258" s="7" t="str">
        <f t="shared" si="141"/>
        <v>Материал по ЕГРН</v>
      </c>
      <c r="K2258" s="7">
        <f>VLOOKUP(J2258,Лист2!A$2:B$4,2,FALSE)</f>
        <v>792</v>
      </c>
      <c r="L2258" s="7" t="str">
        <f t="shared" si="142"/>
        <v>ГОТОВ</v>
      </c>
      <c r="M2258" s="7" t="str">
        <f t="shared" si="143"/>
        <v>61001001001</v>
      </c>
    </row>
    <row r="2259" spans="1:13" x14ac:dyDescent="0.25">
      <c r="A2259" s="1">
        <v>666525</v>
      </c>
      <c r="B2259" s="6" t="s">
        <v>2380</v>
      </c>
      <c r="C2259" s="9" t="s">
        <v>33</v>
      </c>
      <c r="D2259" s="6" t="s">
        <v>20</v>
      </c>
      <c r="E2259" s="6" t="s">
        <v>37</v>
      </c>
      <c r="F2259" s="6" t="s">
        <v>9</v>
      </c>
      <c r="G2259" s="6" t="s">
        <v>38</v>
      </c>
      <c r="H2259" s="9" t="s">
        <v>33</v>
      </c>
      <c r="I2259" s="7" t="str">
        <f t="shared" si="140"/>
        <v>61001005000</v>
      </c>
      <c r="J2259" s="7" t="str">
        <f t="shared" si="141"/>
        <v>Материал по ЕГРН</v>
      </c>
      <c r="K2259" s="7">
        <f>VLOOKUP(J2259,Лист2!A$2:B$4,2,FALSE)</f>
        <v>792</v>
      </c>
      <c r="L2259" s="7" t="str">
        <f t="shared" si="142"/>
        <v>ГОТОВ</v>
      </c>
      <c r="M2259" s="7" t="str">
        <f t="shared" si="143"/>
        <v>61001005000</v>
      </c>
    </row>
    <row r="2260" spans="1:13" x14ac:dyDescent="0.25">
      <c r="A2260" s="1">
        <v>787640</v>
      </c>
      <c r="B2260" s="6" t="s">
        <v>2381</v>
      </c>
      <c r="C2260" s="9" t="s">
        <v>33</v>
      </c>
      <c r="D2260" s="6" t="s">
        <v>20</v>
      </c>
      <c r="E2260" s="6" t="s">
        <v>37</v>
      </c>
      <c r="F2260" s="6" t="s">
        <v>9</v>
      </c>
      <c r="G2260" s="6" t="s">
        <v>38</v>
      </c>
      <c r="H2260" s="9" t="s">
        <v>33</v>
      </c>
      <c r="I2260" s="7" t="str">
        <f t="shared" si="140"/>
        <v>61001005000</v>
      </c>
      <c r="J2260" s="7" t="str">
        <f t="shared" si="141"/>
        <v>Материал по ЕГРН</v>
      </c>
      <c r="K2260" s="7">
        <f>VLOOKUP(J2260,Лист2!A$2:B$4,2,FALSE)</f>
        <v>792</v>
      </c>
      <c r="L2260" s="7" t="str">
        <f t="shared" si="142"/>
        <v>ГОТОВ</v>
      </c>
      <c r="M2260" s="7" t="str">
        <f t="shared" si="143"/>
        <v>61001005000</v>
      </c>
    </row>
    <row r="2261" spans="1:13" x14ac:dyDescent="0.25">
      <c r="A2261" s="1">
        <v>943416</v>
      </c>
      <c r="B2261" s="6" t="s">
        <v>2382</v>
      </c>
      <c r="F2261" s="6" t="s">
        <v>9</v>
      </c>
      <c r="G2261" s="6" t="s">
        <v>73</v>
      </c>
      <c r="H2261" s="9" t="s">
        <v>74</v>
      </c>
      <c r="I2261" s="7" t="str">
        <f t="shared" si="140"/>
        <v>61001006000</v>
      </c>
      <c r="J2261" s="7" t="str">
        <f t="shared" si="141"/>
        <v>Материал по ЕГРН</v>
      </c>
      <c r="K2261" s="7">
        <f>VLOOKUP(J2261,Лист2!A$2:B$4,2,FALSE)</f>
        <v>792</v>
      </c>
      <c r="L2261" s="7" t="str">
        <f t="shared" si="142"/>
        <v>ГОТОВ_ИЗМЕНЕН</v>
      </c>
      <c r="M2261" s="7">
        <f t="shared" si="143"/>
        <v>0</v>
      </c>
    </row>
    <row r="2262" spans="1:13" x14ac:dyDescent="0.25">
      <c r="A2262" s="1">
        <v>943428</v>
      </c>
      <c r="B2262" s="6" t="s">
        <v>2383</v>
      </c>
      <c r="F2262" s="6" t="s">
        <v>9</v>
      </c>
      <c r="G2262" s="6" t="s">
        <v>10</v>
      </c>
      <c r="H2262" s="9" t="s">
        <v>11</v>
      </c>
      <c r="I2262" s="7" t="str">
        <f t="shared" si="140"/>
        <v>61001003000</v>
      </c>
      <c r="J2262" s="7" t="str">
        <f t="shared" si="141"/>
        <v>Материал по ЕГРН</v>
      </c>
      <c r="K2262" s="7">
        <f>VLOOKUP(J2262,Лист2!A$2:B$4,2,FALSE)</f>
        <v>792</v>
      </c>
      <c r="L2262" s="7" t="str">
        <f t="shared" si="142"/>
        <v>ГОТОВ_ИЗМЕНЕН</v>
      </c>
      <c r="M2262" s="7">
        <f t="shared" si="143"/>
        <v>0</v>
      </c>
    </row>
    <row r="2263" spans="1:13" x14ac:dyDescent="0.25">
      <c r="A2263" s="1">
        <v>943440</v>
      </c>
      <c r="B2263" s="6" t="s">
        <v>2384</v>
      </c>
      <c r="F2263" s="6" t="s">
        <v>9</v>
      </c>
      <c r="G2263" s="6" t="s">
        <v>34</v>
      </c>
      <c r="H2263" s="9" t="s">
        <v>35</v>
      </c>
      <c r="I2263" s="7" t="str">
        <f t="shared" si="140"/>
        <v>61001002000</v>
      </c>
      <c r="J2263" s="7" t="str">
        <f t="shared" si="141"/>
        <v>Материал по ЕГРН</v>
      </c>
      <c r="K2263" s="7">
        <f>VLOOKUP(J2263,Лист2!A$2:B$4,2,FALSE)</f>
        <v>792</v>
      </c>
      <c r="L2263" s="7" t="str">
        <f t="shared" si="142"/>
        <v>ГОТОВ_ИЗМЕНЕН</v>
      </c>
      <c r="M2263" s="7">
        <f t="shared" si="143"/>
        <v>0</v>
      </c>
    </row>
    <row r="2264" spans="1:13" x14ac:dyDescent="0.25">
      <c r="A2264" s="1">
        <v>943452</v>
      </c>
      <c r="B2264" s="6" t="s">
        <v>2385</v>
      </c>
      <c r="F2264" s="6" t="s">
        <v>9</v>
      </c>
      <c r="G2264" s="6" t="s">
        <v>34</v>
      </c>
      <c r="H2264" s="9" t="s">
        <v>35</v>
      </c>
      <c r="I2264" s="7" t="str">
        <f t="shared" si="140"/>
        <v>61001002000</v>
      </c>
      <c r="J2264" s="7" t="str">
        <f t="shared" si="141"/>
        <v>Материал по ЕГРН</v>
      </c>
      <c r="K2264" s="7">
        <f>VLOOKUP(J2264,Лист2!A$2:B$4,2,FALSE)</f>
        <v>792</v>
      </c>
      <c r="L2264" s="7" t="str">
        <f t="shared" si="142"/>
        <v>ГОТОВ_ИЗМЕНЕН</v>
      </c>
      <c r="M2264" s="7">
        <f t="shared" si="143"/>
        <v>0</v>
      </c>
    </row>
    <row r="2265" spans="1:13" x14ac:dyDescent="0.25">
      <c r="A2265" s="1">
        <v>943464</v>
      </c>
      <c r="B2265" s="6" t="s">
        <v>2386</v>
      </c>
      <c r="F2265" s="6" t="s">
        <v>9</v>
      </c>
      <c r="G2265" s="6" t="s">
        <v>59</v>
      </c>
      <c r="H2265" s="9" t="s">
        <v>60</v>
      </c>
      <c r="I2265" s="7" t="str">
        <f t="shared" si="140"/>
        <v>61001001001</v>
      </c>
      <c r="J2265" s="7" t="str">
        <f t="shared" si="141"/>
        <v>Материал по ЕГРН</v>
      </c>
      <c r="K2265" s="7">
        <f>VLOOKUP(J2265,Лист2!A$2:B$4,2,FALSE)</f>
        <v>792</v>
      </c>
      <c r="L2265" s="7" t="str">
        <f t="shared" si="142"/>
        <v>ГОТОВ_ИЗМЕНЕН</v>
      </c>
      <c r="M2265" s="7">
        <f t="shared" si="143"/>
        <v>0</v>
      </c>
    </row>
    <row r="2266" spans="1:13" x14ac:dyDescent="0.25">
      <c r="A2266" s="1">
        <v>943476</v>
      </c>
      <c r="B2266" s="6" t="s">
        <v>2387</v>
      </c>
      <c r="F2266" s="6" t="s">
        <v>9</v>
      </c>
      <c r="G2266" s="6" t="s">
        <v>34</v>
      </c>
      <c r="H2266" s="9" t="s">
        <v>35</v>
      </c>
      <c r="I2266" s="7" t="str">
        <f t="shared" si="140"/>
        <v>61001002000</v>
      </c>
      <c r="J2266" s="7" t="str">
        <f t="shared" si="141"/>
        <v>Материал по ЕГРН</v>
      </c>
      <c r="K2266" s="7">
        <f>VLOOKUP(J2266,Лист2!A$2:B$4,2,FALSE)</f>
        <v>792</v>
      </c>
      <c r="L2266" s="7" t="str">
        <f t="shared" si="142"/>
        <v>ГОТОВ_ИЗМЕНЕН</v>
      </c>
      <c r="M2266" s="7">
        <f t="shared" si="143"/>
        <v>0</v>
      </c>
    </row>
    <row r="2267" spans="1:13" x14ac:dyDescent="0.25">
      <c r="A2267" s="1">
        <v>943488</v>
      </c>
      <c r="B2267" s="6" t="s">
        <v>2388</v>
      </c>
      <c r="F2267" s="6" t="s">
        <v>9</v>
      </c>
      <c r="G2267" s="6" t="s">
        <v>139</v>
      </c>
      <c r="H2267" s="9" t="s">
        <v>140</v>
      </c>
      <c r="I2267" s="7" t="str">
        <f t="shared" si="140"/>
        <v>61001999000</v>
      </c>
      <c r="J2267" s="7" t="str">
        <f t="shared" si="141"/>
        <v>Материал по ЕГРН</v>
      </c>
      <c r="K2267" s="7">
        <f>VLOOKUP(J2267,Лист2!A$2:B$4,2,FALSE)</f>
        <v>792</v>
      </c>
      <c r="L2267" s="7" t="str">
        <f t="shared" si="142"/>
        <v>ГОТОВ_ИЗМЕНЕН</v>
      </c>
      <c r="M2267" s="7">
        <f t="shared" si="143"/>
        <v>0</v>
      </c>
    </row>
    <row r="2268" spans="1:13" x14ac:dyDescent="0.25">
      <c r="A2268" s="1">
        <v>943500</v>
      </c>
      <c r="B2268" s="6" t="s">
        <v>2389</v>
      </c>
      <c r="F2268" s="6" t="s">
        <v>9</v>
      </c>
      <c r="G2268" s="6" t="s">
        <v>10</v>
      </c>
      <c r="H2268" s="9" t="s">
        <v>11</v>
      </c>
      <c r="I2268" s="7" t="str">
        <f t="shared" si="140"/>
        <v>61001003000</v>
      </c>
      <c r="J2268" s="7" t="str">
        <f t="shared" si="141"/>
        <v>Материал по ЕГРН</v>
      </c>
      <c r="K2268" s="7">
        <f>VLOOKUP(J2268,Лист2!A$2:B$4,2,FALSE)</f>
        <v>792</v>
      </c>
      <c r="L2268" s="7" t="str">
        <f t="shared" si="142"/>
        <v>ГОТОВ_ИЗМЕНЕН</v>
      </c>
      <c r="M2268" s="7">
        <f t="shared" si="143"/>
        <v>0</v>
      </c>
    </row>
    <row r="2269" spans="1:13" x14ac:dyDescent="0.25">
      <c r="A2269" s="1">
        <v>943512</v>
      </c>
      <c r="B2269" s="6" t="s">
        <v>2390</v>
      </c>
      <c r="F2269" s="6" t="s">
        <v>9</v>
      </c>
      <c r="G2269" s="6" t="s">
        <v>34</v>
      </c>
      <c r="H2269" s="9" t="s">
        <v>35</v>
      </c>
      <c r="I2269" s="7" t="str">
        <f t="shared" si="140"/>
        <v>61001002000</v>
      </c>
      <c r="J2269" s="7" t="str">
        <f t="shared" si="141"/>
        <v>Материал по ЕГРН</v>
      </c>
      <c r="K2269" s="7">
        <f>VLOOKUP(J2269,Лист2!A$2:B$4,2,FALSE)</f>
        <v>792</v>
      </c>
      <c r="L2269" s="7" t="str">
        <f t="shared" si="142"/>
        <v>ГОТОВ_ИЗМЕНЕН</v>
      </c>
      <c r="M2269" s="7">
        <f t="shared" si="143"/>
        <v>0</v>
      </c>
    </row>
    <row r="2270" spans="1:13" x14ac:dyDescent="0.25">
      <c r="A2270" s="1">
        <v>943524</v>
      </c>
      <c r="B2270" s="6" t="s">
        <v>2391</v>
      </c>
      <c r="F2270" s="6" t="s">
        <v>9</v>
      </c>
      <c r="G2270" s="6" t="s">
        <v>139</v>
      </c>
      <c r="H2270" s="9" t="s">
        <v>140</v>
      </c>
      <c r="I2270" s="7" t="str">
        <f t="shared" si="140"/>
        <v>61001999000</v>
      </c>
      <c r="J2270" s="7" t="str">
        <f t="shared" si="141"/>
        <v>Материал по ЕГРН</v>
      </c>
      <c r="K2270" s="7">
        <f>VLOOKUP(J2270,Лист2!A$2:B$4,2,FALSE)</f>
        <v>792</v>
      </c>
      <c r="L2270" s="7" t="str">
        <f t="shared" si="142"/>
        <v>ГОТОВ_ИЗМЕНЕН</v>
      </c>
      <c r="M2270" s="7">
        <f t="shared" si="143"/>
        <v>0</v>
      </c>
    </row>
    <row r="2271" spans="1:13" x14ac:dyDescent="0.25">
      <c r="A2271" s="1">
        <v>943536</v>
      </c>
      <c r="B2271" s="6" t="s">
        <v>2392</v>
      </c>
      <c r="F2271" s="6" t="s">
        <v>9</v>
      </c>
      <c r="G2271" s="6" t="s">
        <v>38</v>
      </c>
      <c r="H2271" s="9" t="s">
        <v>33</v>
      </c>
      <c r="I2271" s="7" t="str">
        <f t="shared" si="140"/>
        <v>61001005000</v>
      </c>
      <c r="J2271" s="7" t="str">
        <f t="shared" si="141"/>
        <v>Материал по ЕГРН</v>
      </c>
      <c r="K2271" s="7">
        <f>VLOOKUP(J2271,Лист2!A$2:B$4,2,FALSE)</f>
        <v>792</v>
      </c>
      <c r="L2271" s="7" t="str">
        <f t="shared" si="142"/>
        <v>ГОТОВ_ИЗМЕНЕН</v>
      </c>
      <c r="M2271" s="7">
        <f t="shared" si="143"/>
        <v>0</v>
      </c>
    </row>
    <row r="2272" spans="1:13" x14ac:dyDescent="0.25">
      <c r="A2272" s="1">
        <v>943548</v>
      </c>
      <c r="B2272" s="6" t="s">
        <v>2393</v>
      </c>
      <c r="F2272" s="6" t="s">
        <v>9</v>
      </c>
      <c r="G2272" s="6" t="s">
        <v>34</v>
      </c>
      <c r="H2272" s="9" t="s">
        <v>35</v>
      </c>
      <c r="I2272" s="7" t="str">
        <f t="shared" si="140"/>
        <v>61001002000</v>
      </c>
      <c r="J2272" s="7" t="str">
        <f t="shared" si="141"/>
        <v>Материал по ЕГРН</v>
      </c>
      <c r="K2272" s="7">
        <f>VLOOKUP(J2272,Лист2!A$2:B$4,2,FALSE)</f>
        <v>792</v>
      </c>
      <c r="L2272" s="7" t="str">
        <f t="shared" si="142"/>
        <v>ГОТОВ_ИЗМЕНЕН</v>
      </c>
      <c r="M2272" s="7">
        <f t="shared" si="143"/>
        <v>0</v>
      </c>
    </row>
    <row r="2273" spans="1:13" x14ac:dyDescent="0.25">
      <c r="A2273" s="1">
        <v>943560</v>
      </c>
      <c r="B2273" s="6" t="s">
        <v>2394</v>
      </c>
      <c r="F2273" s="6" t="s">
        <v>9</v>
      </c>
      <c r="G2273" s="6" t="s">
        <v>59</v>
      </c>
      <c r="H2273" s="9" t="s">
        <v>60</v>
      </c>
      <c r="I2273" s="7" t="str">
        <f t="shared" si="140"/>
        <v>61001001001</v>
      </c>
      <c r="J2273" s="7" t="str">
        <f t="shared" si="141"/>
        <v>Материал по ЕГРН</v>
      </c>
      <c r="K2273" s="7">
        <f>VLOOKUP(J2273,Лист2!A$2:B$4,2,FALSE)</f>
        <v>792</v>
      </c>
      <c r="L2273" s="7" t="str">
        <f t="shared" si="142"/>
        <v>ГОТОВ_ИЗМЕНЕН</v>
      </c>
      <c r="M2273" s="7">
        <f t="shared" si="143"/>
        <v>0</v>
      </c>
    </row>
    <row r="2274" spans="1:13" x14ac:dyDescent="0.25">
      <c r="A2274" s="1">
        <v>943572</v>
      </c>
      <c r="B2274" s="6" t="s">
        <v>2395</v>
      </c>
      <c r="F2274" s="6" t="s">
        <v>9</v>
      </c>
      <c r="G2274" s="6" t="s">
        <v>38</v>
      </c>
      <c r="H2274" s="9" t="s">
        <v>33</v>
      </c>
      <c r="I2274" s="7" t="str">
        <f t="shared" si="140"/>
        <v>61001005000</v>
      </c>
      <c r="J2274" s="7" t="str">
        <f t="shared" si="141"/>
        <v>Материал по ЕГРН</v>
      </c>
      <c r="K2274" s="7">
        <f>VLOOKUP(J2274,Лист2!A$2:B$4,2,FALSE)</f>
        <v>792</v>
      </c>
      <c r="L2274" s="7" t="str">
        <f t="shared" si="142"/>
        <v>ГОТОВ_ИЗМЕНЕН</v>
      </c>
      <c r="M2274" s="7">
        <f t="shared" si="143"/>
        <v>0</v>
      </c>
    </row>
    <row r="2275" spans="1:13" x14ac:dyDescent="0.25">
      <c r="A2275" s="1">
        <v>943584</v>
      </c>
      <c r="B2275" s="6" t="s">
        <v>2396</v>
      </c>
      <c r="F2275" s="6" t="s">
        <v>9</v>
      </c>
      <c r="G2275" s="6" t="s">
        <v>34</v>
      </c>
      <c r="H2275" s="9" t="s">
        <v>35</v>
      </c>
      <c r="I2275" s="7" t="str">
        <f t="shared" si="140"/>
        <v>61001002000</v>
      </c>
      <c r="J2275" s="7" t="str">
        <f t="shared" si="141"/>
        <v>Материал по ЕГРН</v>
      </c>
      <c r="K2275" s="7">
        <f>VLOOKUP(J2275,Лист2!A$2:B$4,2,FALSE)</f>
        <v>792</v>
      </c>
      <c r="L2275" s="7" t="str">
        <f t="shared" si="142"/>
        <v>ГОТОВ_ИЗМЕНЕН</v>
      </c>
      <c r="M2275" s="7">
        <f t="shared" si="143"/>
        <v>0</v>
      </c>
    </row>
    <row r="2276" spans="1:13" x14ac:dyDescent="0.25">
      <c r="A2276" s="1">
        <v>943596</v>
      </c>
      <c r="B2276" s="6" t="s">
        <v>2397</v>
      </c>
      <c r="F2276" s="6" t="s">
        <v>9</v>
      </c>
      <c r="G2276" s="6" t="s">
        <v>73</v>
      </c>
      <c r="H2276" s="9" t="s">
        <v>74</v>
      </c>
      <c r="I2276" s="7" t="str">
        <f t="shared" si="140"/>
        <v>61001006000</v>
      </c>
      <c r="J2276" s="7" t="str">
        <f t="shared" si="141"/>
        <v>Материал по ЕГРН</v>
      </c>
      <c r="K2276" s="7">
        <f>VLOOKUP(J2276,Лист2!A$2:B$4,2,FALSE)</f>
        <v>792</v>
      </c>
      <c r="L2276" s="7" t="str">
        <f t="shared" si="142"/>
        <v>ГОТОВ_ИЗМЕНЕН</v>
      </c>
      <c r="M2276" s="7">
        <f t="shared" si="143"/>
        <v>0</v>
      </c>
    </row>
    <row r="2277" spans="1:13" x14ac:dyDescent="0.25">
      <c r="A2277" s="1">
        <v>943608</v>
      </c>
      <c r="B2277" s="6" t="s">
        <v>2398</v>
      </c>
      <c r="F2277" s="6" t="s">
        <v>9</v>
      </c>
      <c r="G2277" s="6" t="s">
        <v>1183</v>
      </c>
      <c r="H2277" s="9" t="s">
        <v>1182</v>
      </c>
      <c r="I2277" s="7" t="str">
        <f t="shared" si="140"/>
        <v>61001002004</v>
      </c>
      <c r="J2277" s="7" t="str">
        <f t="shared" si="141"/>
        <v>Материал по ЕГРН</v>
      </c>
      <c r="K2277" s="7">
        <f>VLOOKUP(J2277,Лист2!A$2:B$4,2,FALSE)</f>
        <v>792</v>
      </c>
      <c r="L2277" s="7" t="str">
        <f t="shared" si="142"/>
        <v>ГОТОВ_ИЗМЕНЕН</v>
      </c>
      <c r="M2277" s="7">
        <f t="shared" si="143"/>
        <v>0</v>
      </c>
    </row>
    <row r="2278" spans="1:13" x14ac:dyDescent="0.25">
      <c r="A2278" s="1">
        <v>120540</v>
      </c>
      <c r="B2278" s="6" t="s">
        <v>2399</v>
      </c>
      <c r="C2278" s="9" t="s">
        <v>42</v>
      </c>
      <c r="D2278" s="6" t="s">
        <v>20</v>
      </c>
      <c r="E2278" s="6" t="s">
        <v>37</v>
      </c>
      <c r="F2278" s="6" t="s">
        <v>9</v>
      </c>
      <c r="G2278" s="6" t="s">
        <v>43</v>
      </c>
      <c r="H2278" s="9" t="s">
        <v>42</v>
      </c>
      <c r="I2278" s="7" t="str">
        <f t="shared" si="140"/>
        <v>61001002001</v>
      </c>
      <c r="J2278" s="7" t="str">
        <f t="shared" si="141"/>
        <v>Материал по ЕГРН</v>
      </c>
      <c r="K2278" s="7">
        <f>VLOOKUP(J2278,Лист2!A$2:B$4,2,FALSE)</f>
        <v>792</v>
      </c>
      <c r="L2278" s="7" t="str">
        <f t="shared" si="142"/>
        <v>ГОТОВ</v>
      </c>
      <c r="M2278" s="7" t="str">
        <f t="shared" si="143"/>
        <v>61001002001</v>
      </c>
    </row>
    <row r="2279" spans="1:13" x14ac:dyDescent="0.25">
      <c r="A2279" s="1">
        <v>322980</v>
      </c>
      <c r="B2279" s="6" t="s">
        <v>2400</v>
      </c>
      <c r="C2279" s="9" t="s">
        <v>110</v>
      </c>
      <c r="D2279" s="6" t="s">
        <v>20</v>
      </c>
      <c r="E2279" s="6" t="s">
        <v>37</v>
      </c>
      <c r="F2279" s="6" t="s">
        <v>9</v>
      </c>
      <c r="G2279" s="6" t="s">
        <v>111</v>
      </c>
      <c r="H2279" s="9" t="s">
        <v>110</v>
      </c>
      <c r="I2279" s="7" t="str">
        <f t="shared" si="140"/>
        <v>61001007001</v>
      </c>
      <c r="J2279" s="7" t="str">
        <f t="shared" si="141"/>
        <v>Материал по ЕГРН</v>
      </c>
      <c r="K2279" s="7">
        <f>VLOOKUP(J2279,Лист2!A$2:B$4,2,FALSE)</f>
        <v>792</v>
      </c>
      <c r="L2279" s="7" t="str">
        <f t="shared" si="142"/>
        <v>ГОТОВ</v>
      </c>
      <c r="M2279" s="7" t="str">
        <f t="shared" si="143"/>
        <v>61001007001</v>
      </c>
    </row>
    <row r="2280" spans="1:13" x14ac:dyDescent="0.25">
      <c r="A2280" s="1">
        <v>520880</v>
      </c>
      <c r="B2280" s="6" t="s">
        <v>2401</v>
      </c>
      <c r="C2280" s="9" t="s">
        <v>33</v>
      </c>
      <c r="D2280" s="6" t="s">
        <v>20</v>
      </c>
      <c r="E2280" s="6" t="s">
        <v>37</v>
      </c>
      <c r="F2280" s="6" t="s">
        <v>9</v>
      </c>
      <c r="G2280" s="6" t="s">
        <v>38</v>
      </c>
      <c r="H2280" s="9" t="s">
        <v>33</v>
      </c>
      <c r="I2280" s="7" t="str">
        <f t="shared" si="140"/>
        <v>61001005000</v>
      </c>
      <c r="J2280" s="7" t="str">
        <f t="shared" si="141"/>
        <v>Материал по ЕГРН</v>
      </c>
      <c r="K2280" s="7">
        <f>VLOOKUP(J2280,Лист2!A$2:B$4,2,FALSE)</f>
        <v>792</v>
      </c>
      <c r="L2280" s="7" t="str">
        <f t="shared" si="142"/>
        <v>ГОТОВ</v>
      </c>
      <c r="M2280" s="7" t="str">
        <f t="shared" si="143"/>
        <v>61001005000</v>
      </c>
    </row>
    <row r="2281" spans="1:13" x14ac:dyDescent="0.25">
      <c r="A2281" s="1">
        <v>527693</v>
      </c>
      <c r="B2281" s="6" t="s">
        <v>2402</v>
      </c>
      <c r="C2281" s="9" t="s">
        <v>33</v>
      </c>
      <c r="D2281" s="6" t="s">
        <v>20</v>
      </c>
      <c r="E2281" s="6" t="s">
        <v>37</v>
      </c>
      <c r="F2281" s="6" t="s">
        <v>9</v>
      </c>
      <c r="G2281" s="6" t="s">
        <v>38</v>
      </c>
      <c r="H2281" s="9" t="s">
        <v>33</v>
      </c>
      <c r="I2281" s="7" t="str">
        <f t="shared" si="140"/>
        <v>61001005000</v>
      </c>
      <c r="J2281" s="7" t="str">
        <f t="shared" si="141"/>
        <v>Материал по ЕГРН</v>
      </c>
      <c r="K2281" s="7">
        <f>VLOOKUP(J2281,Лист2!A$2:B$4,2,FALSE)</f>
        <v>792</v>
      </c>
      <c r="L2281" s="7" t="str">
        <f t="shared" si="142"/>
        <v>ГОТОВ</v>
      </c>
      <c r="M2281" s="7" t="str">
        <f t="shared" si="143"/>
        <v>61001005000</v>
      </c>
    </row>
    <row r="2282" spans="1:13" x14ac:dyDescent="0.25">
      <c r="A2282" s="1">
        <v>804841</v>
      </c>
      <c r="B2282" s="6" t="s">
        <v>2403</v>
      </c>
      <c r="C2282" s="9" t="s">
        <v>60</v>
      </c>
      <c r="D2282" s="6" t="s">
        <v>20</v>
      </c>
      <c r="E2282" s="6" t="s">
        <v>37</v>
      </c>
      <c r="F2282" s="6" t="s">
        <v>9</v>
      </c>
      <c r="G2282" s="6" t="s">
        <v>59</v>
      </c>
      <c r="H2282" s="9" t="s">
        <v>60</v>
      </c>
      <c r="I2282" s="7" t="str">
        <f t="shared" si="140"/>
        <v>61001001001</v>
      </c>
      <c r="J2282" s="7" t="str">
        <f t="shared" si="141"/>
        <v>Материал по ЕГРН</v>
      </c>
      <c r="K2282" s="7">
        <f>VLOOKUP(J2282,Лист2!A$2:B$4,2,FALSE)</f>
        <v>792</v>
      </c>
      <c r="L2282" s="7" t="str">
        <f t="shared" si="142"/>
        <v>ГОТОВ</v>
      </c>
      <c r="M2282" s="7" t="str">
        <f t="shared" si="143"/>
        <v>61001001001</v>
      </c>
    </row>
    <row r="2283" spans="1:13" x14ac:dyDescent="0.25">
      <c r="A2283" s="1">
        <v>944645</v>
      </c>
      <c r="B2283" s="6" t="s">
        <v>2404</v>
      </c>
      <c r="F2283" s="6" t="s">
        <v>9</v>
      </c>
      <c r="G2283" s="6" t="s">
        <v>34</v>
      </c>
      <c r="H2283" s="9" t="s">
        <v>35</v>
      </c>
      <c r="I2283" s="7" t="str">
        <f t="shared" si="140"/>
        <v>61001002000</v>
      </c>
      <c r="J2283" s="7" t="str">
        <f t="shared" si="141"/>
        <v>Материал по ЕГРН</v>
      </c>
      <c r="K2283" s="7">
        <f>VLOOKUP(J2283,Лист2!A$2:B$4,2,FALSE)</f>
        <v>792</v>
      </c>
      <c r="L2283" s="7" t="str">
        <f t="shared" si="142"/>
        <v>ГОТОВ_ИЗМЕНЕН</v>
      </c>
      <c r="M2283" s="7">
        <f t="shared" si="143"/>
        <v>0</v>
      </c>
    </row>
    <row r="2284" spans="1:13" x14ac:dyDescent="0.25">
      <c r="A2284" s="1">
        <v>944657</v>
      </c>
      <c r="B2284" s="6" t="s">
        <v>2405</v>
      </c>
      <c r="F2284" s="6" t="s">
        <v>9</v>
      </c>
      <c r="G2284" s="6" t="s">
        <v>62</v>
      </c>
      <c r="H2284" s="9" t="s">
        <v>63</v>
      </c>
      <c r="I2284" s="7" t="str">
        <f t="shared" si="140"/>
        <v>61001006002</v>
      </c>
      <c r="J2284" s="7" t="str">
        <f t="shared" si="141"/>
        <v>Материал по ЕГРН</v>
      </c>
      <c r="K2284" s="7">
        <f>VLOOKUP(J2284,Лист2!A$2:B$4,2,FALSE)</f>
        <v>792</v>
      </c>
      <c r="L2284" s="7" t="str">
        <f t="shared" si="142"/>
        <v>ГОТОВ_ИЗМЕНЕН</v>
      </c>
      <c r="M2284" s="7">
        <f t="shared" si="143"/>
        <v>0</v>
      </c>
    </row>
    <row r="2285" spans="1:13" x14ac:dyDescent="0.25">
      <c r="A2285" s="1">
        <v>944669</v>
      </c>
      <c r="B2285" s="6" t="s">
        <v>2406</v>
      </c>
      <c r="F2285" s="6" t="s">
        <v>9</v>
      </c>
      <c r="G2285" s="6" t="s">
        <v>111</v>
      </c>
      <c r="H2285" s="9" t="s">
        <v>110</v>
      </c>
      <c r="I2285" s="7" t="str">
        <f t="shared" si="140"/>
        <v>61001007001</v>
      </c>
      <c r="J2285" s="7" t="str">
        <f t="shared" si="141"/>
        <v>Материал по ЕГРН</v>
      </c>
      <c r="K2285" s="7">
        <f>VLOOKUP(J2285,Лист2!A$2:B$4,2,FALSE)</f>
        <v>792</v>
      </c>
      <c r="L2285" s="7" t="str">
        <f t="shared" si="142"/>
        <v>ГОТОВ_ИЗМЕНЕН</v>
      </c>
      <c r="M2285" s="7">
        <f t="shared" si="143"/>
        <v>0</v>
      </c>
    </row>
    <row r="2286" spans="1:13" x14ac:dyDescent="0.25">
      <c r="A2286" s="1">
        <v>944681</v>
      </c>
      <c r="B2286" s="6" t="s">
        <v>2407</v>
      </c>
      <c r="F2286" s="6" t="s">
        <v>9</v>
      </c>
      <c r="G2286" s="6" t="s">
        <v>59</v>
      </c>
      <c r="H2286" s="9" t="s">
        <v>60</v>
      </c>
      <c r="I2286" s="7" t="str">
        <f t="shared" si="140"/>
        <v>61001001001</v>
      </c>
      <c r="J2286" s="7" t="str">
        <f t="shared" si="141"/>
        <v>Материал по ЕГРН</v>
      </c>
      <c r="K2286" s="7">
        <f>VLOOKUP(J2286,Лист2!A$2:B$4,2,FALSE)</f>
        <v>792</v>
      </c>
      <c r="L2286" s="7" t="str">
        <f t="shared" si="142"/>
        <v>ГОТОВ_ИЗМЕНЕН</v>
      </c>
      <c r="M2286" s="7">
        <f t="shared" si="143"/>
        <v>0</v>
      </c>
    </row>
    <row r="2287" spans="1:13" x14ac:dyDescent="0.25">
      <c r="A2287" s="1">
        <v>944693</v>
      </c>
      <c r="B2287" s="6" t="s">
        <v>2408</v>
      </c>
      <c r="F2287" s="6" t="s">
        <v>9</v>
      </c>
      <c r="G2287" s="6" t="s">
        <v>34</v>
      </c>
      <c r="H2287" s="9" t="s">
        <v>35</v>
      </c>
      <c r="I2287" s="7" t="str">
        <f t="shared" si="140"/>
        <v>61001002000</v>
      </c>
      <c r="J2287" s="7" t="str">
        <f t="shared" si="141"/>
        <v>Материал по ЕГРН</v>
      </c>
      <c r="K2287" s="7">
        <f>VLOOKUP(J2287,Лист2!A$2:B$4,2,FALSE)</f>
        <v>792</v>
      </c>
      <c r="L2287" s="7" t="str">
        <f t="shared" si="142"/>
        <v>ГОТОВ_ИЗМЕНЕН</v>
      </c>
      <c r="M2287" s="7">
        <f t="shared" si="143"/>
        <v>0</v>
      </c>
    </row>
    <row r="2288" spans="1:13" x14ac:dyDescent="0.25">
      <c r="A2288" s="1">
        <v>944705</v>
      </c>
      <c r="B2288" s="6" t="s">
        <v>2409</v>
      </c>
      <c r="F2288" s="6" t="s">
        <v>9</v>
      </c>
      <c r="G2288" s="6" t="s">
        <v>90</v>
      </c>
      <c r="H2288" s="9" t="s">
        <v>12</v>
      </c>
      <c r="I2288" s="7" t="str">
        <f t="shared" si="140"/>
        <v>61001008000</v>
      </c>
      <c r="J2288" s="7" t="str">
        <f t="shared" si="141"/>
        <v>Материал по ЕГРН</v>
      </c>
      <c r="K2288" s="7">
        <f>VLOOKUP(J2288,Лист2!A$2:B$4,2,FALSE)</f>
        <v>792</v>
      </c>
      <c r="L2288" s="7" t="str">
        <f t="shared" si="142"/>
        <v>ГОТОВ_ИЗМЕНЕН</v>
      </c>
      <c r="M2288" s="7">
        <f t="shared" si="143"/>
        <v>0</v>
      </c>
    </row>
    <row r="2289" spans="1:13" x14ac:dyDescent="0.25">
      <c r="A2289" s="1">
        <v>944717</v>
      </c>
      <c r="B2289" s="6" t="s">
        <v>2410</v>
      </c>
      <c r="F2289" s="6" t="s">
        <v>9</v>
      </c>
      <c r="G2289" s="6" t="s">
        <v>59</v>
      </c>
      <c r="H2289" s="9" t="s">
        <v>60</v>
      </c>
      <c r="I2289" s="7" t="str">
        <f t="shared" si="140"/>
        <v>61001001001</v>
      </c>
      <c r="J2289" s="7" t="str">
        <f t="shared" si="141"/>
        <v>Материал по ЕГРН</v>
      </c>
      <c r="K2289" s="7">
        <f>VLOOKUP(J2289,Лист2!A$2:B$4,2,FALSE)</f>
        <v>792</v>
      </c>
      <c r="L2289" s="7" t="str">
        <f t="shared" si="142"/>
        <v>ГОТОВ_ИЗМЕНЕН</v>
      </c>
      <c r="M2289" s="7">
        <f t="shared" si="143"/>
        <v>0</v>
      </c>
    </row>
    <row r="2290" spans="1:13" x14ac:dyDescent="0.25">
      <c r="A2290" s="1">
        <v>944729</v>
      </c>
      <c r="B2290" s="6" t="s">
        <v>2411</v>
      </c>
      <c r="F2290" s="6" t="s">
        <v>9</v>
      </c>
      <c r="G2290" s="6" t="s">
        <v>38</v>
      </c>
      <c r="H2290" s="9" t="s">
        <v>33</v>
      </c>
      <c r="I2290" s="7" t="str">
        <f t="shared" si="140"/>
        <v>61001005000</v>
      </c>
      <c r="J2290" s="7" t="str">
        <f t="shared" si="141"/>
        <v>Материал по ЕГРН</v>
      </c>
      <c r="K2290" s="7">
        <f>VLOOKUP(J2290,Лист2!A$2:B$4,2,FALSE)</f>
        <v>792</v>
      </c>
      <c r="L2290" s="7" t="str">
        <f t="shared" si="142"/>
        <v>ГОТОВ_ИЗМЕНЕН</v>
      </c>
      <c r="M2290" s="7">
        <f t="shared" si="143"/>
        <v>0</v>
      </c>
    </row>
    <row r="2291" spans="1:13" x14ac:dyDescent="0.25">
      <c r="A2291" s="1">
        <v>944741</v>
      </c>
      <c r="B2291" s="6" t="s">
        <v>2412</v>
      </c>
      <c r="F2291" s="6" t="s">
        <v>9</v>
      </c>
      <c r="G2291" s="6" t="s">
        <v>38</v>
      </c>
      <c r="H2291" s="9" t="s">
        <v>33</v>
      </c>
      <c r="I2291" s="7" t="str">
        <f t="shared" si="140"/>
        <v>61001005000</v>
      </c>
      <c r="J2291" s="7" t="str">
        <f t="shared" si="141"/>
        <v>Материал по ЕГРН</v>
      </c>
      <c r="K2291" s="7">
        <f>VLOOKUP(J2291,Лист2!A$2:B$4,2,FALSE)</f>
        <v>792</v>
      </c>
      <c r="L2291" s="7" t="str">
        <f t="shared" si="142"/>
        <v>ГОТОВ_ИЗМЕНЕН</v>
      </c>
      <c r="M2291" s="7">
        <f t="shared" si="143"/>
        <v>0</v>
      </c>
    </row>
    <row r="2292" spans="1:13" x14ac:dyDescent="0.25">
      <c r="A2292" s="1">
        <v>944753</v>
      </c>
      <c r="B2292" s="6" t="s">
        <v>2413</v>
      </c>
      <c r="F2292" s="6" t="s">
        <v>9</v>
      </c>
      <c r="G2292" s="6" t="s">
        <v>59</v>
      </c>
      <c r="H2292" s="9" t="s">
        <v>60</v>
      </c>
      <c r="I2292" s="7" t="str">
        <f t="shared" si="140"/>
        <v>61001001001</v>
      </c>
      <c r="J2292" s="7" t="str">
        <f t="shared" si="141"/>
        <v>Материал по ЕГРН</v>
      </c>
      <c r="K2292" s="7">
        <f>VLOOKUP(J2292,Лист2!A$2:B$4,2,FALSE)</f>
        <v>792</v>
      </c>
      <c r="L2292" s="7" t="str">
        <f t="shared" si="142"/>
        <v>ГОТОВ_ИЗМЕНЕН</v>
      </c>
      <c r="M2292" s="7">
        <f t="shared" si="143"/>
        <v>0</v>
      </c>
    </row>
    <row r="2293" spans="1:13" x14ac:dyDescent="0.25">
      <c r="A2293" s="1">
        <v>944765</v>
      </c>
      <c r="B2293" s="6" t="s">
        <v>2414</v>
      </c>
      <c r="F2293" s="6" t="s">
        <v>9</v>
      </c>
      <c r="G2293" s="6" t="s">
        <v>38</v>
      </c>
      <c r="H2293" s="9" t="s">
        <v>33</v>
      </c>
      <c r="I2293" s="7" t="str">
        <f t="shared" si="140"/>
        <v>61001005000</v>
      </c>
      <c r="J2293" s="7" t="str">
        <f t="shared" si="141"/>
        <v>Материал по ЕГРН</v>
      </c>
      <c r="K2293" s="7">
        <f>VLOOKUP(J2293,Лист2!A$2:B$4,2,FALSE)</f>
        <v>792</v>
      </c>
      <c r="L2293" s="7" t="str">
        <f t="shared" si="142"/>
        <v>ГОТОВ_ИЗМЕНЕН</v>
      </c>
      <c r="M2293" s="7">
        <f t="shared" si="143"/>
        <v>0</v>
      </c>
    </row>
    <row r="2294" spans="1:13" x14ac:dyDescent="0.25">
      <c r="A2294" s="1">
        <v>944777</v>
      </c>
      <c r="B2294" s="6" t="s">
        <v>2415</v>
      </c>
      <c r="F2294" s="6" t="s">
        <v>9</v>
      </c>
      <c r="G2294" s="6" t="s">
        <v>10</v>
      </c>
      <c r="H2294" s="9" t="s">
        <v>11</v>
      </c>
      <c r="I2294" s="7" t="str">
        <f t="shared" si="140"/>
        <v>61001003000</v>
      </c>
      <c r="J2294" s="7" t="str">
        <f t="shared" si="141"/>
        <v>Материал по ЕГРН</v>
      </c>
      <c r="K2294" s="7">
        <f>VLOOKUP(J2294,Лист2!A$2:B$4,2,FALSE)</f>
        <v>792</v>
      </c>
      <c r="L2294" s="7" t="str">
        <f t="shared" si="142"/>
        <v>ГОТОВ_ИЗМЕНЕН</v>
      </c>
      <c r="M2294" s="7">
        <f t="shared" si="143"/>
        <v>0</v>
      </c>
    </row>
    <row r="2295" spans="1:13" x14ac:dyDescent="0.25">
      <c r="A2295" s="1">
        <v>944789</v>
      </c>
      <c r="B2295" s="6" t="s">
        <v>2416</v>
      </c>
      <c r="F2295" s="6" t="s">
        <v>9</v>
      </c>
      <c r="G2295" s="6" t="s">
        <v>62</v>
      </c>
      <c r="H2295" s="9" t="s">
        <v>63</v>
      </c>
      <c r="I2295" s="7" t="str">
        <f t="shared" si="140"/>
        <v>61001006002</v>
      </c>
      <c r="J2295" s="7" t="str">
        <f t="shared" si="141"/>
        <v>Материал по ЕГРН</v>
      </c>
      <c r="K2295" s="7">
        <f>VLOOKUP(J2295,Лист2!A$2:B$4,2,FALSE)</f>
        <v>792</v>
      </c>
      <c r="L2295" s="7" t="str">
        <f t="shared" si="142"/>
        <v>ГОТОВ_ИЗМЕНЕН</v>
      </c>
      <c r="M2295" s="7">
        <f t="shared" si="143"/>
        <v>0</v>
      </c>
    </row>
    <row r="2296" spans="1:13" x14ac:dyDescent="0.25">
      <c r="A2296" s="1">
        <v>944801</v>
      </c>
      <c r="B2296" s="6" t="s">
        <v>2417</v>
      </c>
      <c r="F2296" s="6" t="s">
        <v>9</v>
      </c>
      <c r="G2296" s="6" t="s">
        <v>34</v>
      </c>
      <c r="H2296" s="9" t="s">
        <v>35</v>
      </c>
      <c r="I2296" s="7" t="str">
        <f t="shared" si="140"/>
        <v>61001002000</v>
      </c>
      <c r="J2296" s="7" t="str">
        <f t="shared" si="141"/>
        <v>Материал по ЕГРН</v>
      </c>
      <c r="K2296" s="7">
        <f>VLOOKUP(J2296,Лист2!A$2:B$4,2,FALSE)</f>
        <v>792</v>
      </c>
      <c r="L2296" s="7" t="str">
        <f t="shared" si="142"/>
        <v>ГОТОВ_ИЗМЕНЕН</v>
      </c>
      <c r="M2296" s="7">
        <f t="shared" si="143"/>
        <v>0</v>
      </c>
    </row>
    <row r="2297" spans="1:13" x14ac:dyDescent="0.25">
      <c r="A2297" s="1">
        <v>944813</v>
      </c>
      <c r="B2297" s="6" t="s">
        <v>2418</v>
      </c>
      <c r="F2297" s="6" t="s">
        <v>9</v>
      </c>
      <c r="G2297" s="6" t="s">
        <v>62</v>
      </c>
      <c r="H2297" s="9" t="s">
        <v>63</v>
      </c>
      <c r="I2297" s="7" t="str">
        <f t="shared" si="140"/>
        <v>61001006002</v>
      </c>
      <c r="J2297" s="7" t="str">
        <f t="shared" si="141"/>
        <v>Материал по ЕГРН</v>
      </c>
      <c r="K2297" s="7">
        <f>VLOOKUP(J2297,Лист2!A$2:B$4,2,FALSE)</f>
        <v>792</v>
      </c>
      <c r="L2297" s="7" t="str">
        <f t="shared" si="142"/>
        <v>ГОТОВ_ИЗМЕНЕН</v>
      </c>
      <c r="M2297" s="7">
        <f t="shared" si="143"/>
        <v>0</v>
      </c>
    </row>
    <row r="2298" spans="1:13" x14ac:dyDescent="0.25">
      <c r="A2298" s="1">
        <v>944825</v>
      </c>
      <c r="B2298" s="6" t="s">
        <v>2419</v>
      </c>
      <c r="F2298" s="6" t="s">
        <v>9</v>
      </c>
      <c r="G2298" s="6" t="s">
        <v>38</v>
      </c>
      <c r="H2298" s="9" t="s">
        <v>33</v>
      </c>
      <c r="I2298" s="7" t="str">
        <f t="shared" si="140"/>
        <v>61001005000</v>
      </c>
      <c r="J2298" s="7" t="str">
        <f t="shared" si="141"/>
        <v>Материал по ЕГРН</v>
      </c>
      <c r="K2298" s="7">
        <f>VLOOKUP(J2298,Лист2!A$2:B$4,2,FALSE)</f>
        <v>792</v>
      </c>
      <c r="L2298" s="7" t="str">
        <f t="shared" si="142"/>
        <v>ГОТОВ_ИЗМЕНЕН</v>
      </c>
      <c r="M2298" s="7">
        <f t="shared" si="143"/>
        <v>0</v>
      </c>
    </row>
    <row r="2299" spans="1:13" x14ac:dyDescent="0.25">
      <c r="A2299" s="1">
        <v>944837</v>
      </c>
      <c r="B2299" s="6" t="s">
        <v>2420</v>
      </c>
      <c r="F2299" s="6" t="s">
        <v>9</v>
      </c>
      <c r="G2299" s="6" t="s">
        <v>59</v>
      </c>
      <c r="H2299" s="9" t="s">
        <v>60</v>
      </c>
      <c r="I2299" s="7" t="str">
        <f t="shared" si="140"/>
        <v>61001001001</v>
      </c>
      <c r="J2299" s="7" t="str">
        <f t="shared" si="141"/>
        <v>Материал по ЕГРН</v>
      </c>
      <c r="K2299" s="7">
        <f>VLOOKUP(J2299,Лист2!A$2:B$4,2,FALSE)</f>
        <v>792</v>
      </c>
      <c r="L2299" s="7" t="str">
        <f t="shared" si="142"/>
        <v>ГОТОВ_ИЗМЕНЕН</v>
      </c>
      <c r="M2299" s="7">
        <f t="shared" si="143"/>
        <v>0</v>
      </c>
    </row>
    <row r="2300" spans="1:13" x14ac:dyDescent="0.25">
      <c r="A2300" s="1">
        <v>944849</v>
      </c>
      <c r="B2300" s="6" t="s">
        <v>2421</v>
      </c>
      <c r="F2300" s="6" t="s">
        <v>9</v>
      </c>
      <c r="G2300" s="6" t="s">
        <v>38</v>
      </c>
      <c r="H2300" s="9" t="s">
        <v>33</v>
      </c>
      <c r="I2300" s="7" t="str">
        <f t="shared" si="140"/>
        <v>61001005000</v>
      </c>
      <c r="J2300" s="7" t="str">
        <f t="shared" si="141"/>
        <v>Материал по ЕГРН</v>
      </c>
      <c r="K2300" s="7">
        <f>VLOOKUP(J2300,Лист2!A$2:B$4,2,FALSE)</f>
        <v>792</v>
      </c>
      <c r="L2300" s="7" t="str">
        <f t="shared" si="142"/>
        <v>ГОТОВ_ИЗМЕНЕН</v>
      </c>
      <c r="M2300" s="7">
        <f t="shared" si="143"/>
        <v>0</v>
      </c>
    </row>
    <row r="2301" spans="1:13" x14ac:dyDescent="0.25">
      <c r="A2301" s="1">
        <v>944861</v>
      </c>
      <c r="B2301" s="6" t="s">
        <v>2422</v>
      </c>
      <c r="F2301" s="6" t="s">
        <v>9</v>
      </c>
      <c r="G2301" s="6" t="s">
        <v>38</v>
      </c>
      <c r="H2301" s="9" t="s">
        <v>33</v>
      </c>
      <c r="I2301" s="7" t="str">
        <f t="shared" si="140"/>
        <v>61001005000</v>
      </c>
      <c r="J2301" s="7" t="str">
        <f t="shared" si="141"/>
        <v>Материал по ЕГРН</v>
      </c>
      <c r="K2301" s="7">
        <f>VLOOKUP(J2301,Лист2!A$2:B$4,2,FALSE)</f>
        <v>792</v>
      </c>
      <c r="L2301" s="7" t="str">
        <f t="shared" si="142"/>
        <v>ГОТОВ_ИЗМЕНЕН</v>
      </c>
      <c r="M2301" s="7">
        <f t="shared" si="143"/>
        <v>0</v>
      </c>
    </row>
    <row r="2302" spans="1:13" x14ac:dyDescent="0.25">
      <c r="A2302" s="1">
        <v>944873</v>
      </c>
      <c r="B2302" s="6" t="s">
        <v>2423</v>
      </c>
      <c r="F2302" s="6" t="s">
        <v>9</v>
      </c>
      <c r="G2302" s="6" t="s">
        <v>38</v>
      </c>
      <c r="H2302" s="9" t="s">
        <v>33</v>
      </c>
      <c r="I2302" s="7" t="str">
        <f t="shared" si="140"/>
        <v>61001005000</v>
      </c>
      <c r="J2302" s="7" t="str">
        <f t="shared" si="141"/>
        <v>Материал по ЕГРН</v>
      </c>
      <c r="K2302" s="7">
        <f>VLOOKUP(J2302,Лист2!A$2:B$4,2,FALSE)</f>
        <v>792</v>
      </c>
      <c r="L2302" s="7" t="str">
        <f t="shared" si="142"/>
        <v>ГОТОВ_ИЗМЕНЕН</v>
      </c>
      <c r="M2302" s="7">
        <f t="shared" si="143"/>
        <v>0</v>
      </c>
    </row>
    <row r="2303" spans="1:13" x14ac:dyDescent="0.25">
      <c r="A2303" s="1">
        <v>944885</v>
      </c>
      <c r="B2303" s="6" t="s">
        <v>2424</v>
      </c>
      <c r="F2303" s="6" t="s">
        <v>9</v>
      </c>
      <c r="G2303" s="6" t="s">
        <v>38</v>
      </c>
      <c r="H2303" s="9" t="s">
        <v>33</v>
      </c>
      <c r="I2303" s="7" t="str">
        <f t="shared" si="140"/>
        <v>61001005000</v>
      </c>
      <c r="J2303" s="7" t="str">
        <f t="shared" si="141"/>
        <v>Материал по ЕГРН</v>
      </c>
      <c r="K2303" s="7">
        <f>VLOOKUP(J2303,Лист2!A$2:B$4,2,FALSE)</f>
        <v>792</v>
      </c>
      <c r="L2303" s="7" t="str">
        <f t="shared" si="142"/>
        <v>ГОТОВ_ИЗМЕНЕН</v>
      </c>
      <c r="M2303" s="7">
        <f t="shared" si="143"/>
        <v>0</v>
      </c>
    </row>
    <row r="2304" spans="1:13" x14ac:dyDescent="0.25">
      <c r="A2304" s="1">
        <v>944897</v>
      </c>
      <c r="B2304" s="6" t="s">
        <v>2425</v>
      </c>
      <c r="F2304" s="6" t="s">
        <v>9</v>
      </c>
      <c r="G2304" s="6" t="s">
        <v>38</v>
      </c>
      <c r="H2304" s="9" t="s">
        <v>33</v>
      </c>
      <c r="I2304" s="7" t="str">
        <f t="shared" si="140"/>
        <v>61001005000</v>
      </c>
      <c r="J2304" s="7" t="str">
        <f t="shared" si="141"/>
        <v>Материал по ЕГРН</v>
      </c>
      <c r="K2304" s="7">
        <f>VLOOKUP(J2304,Лист2!A$2:B$4,2,FALSE)</f>
        <v>792</v>
      </c>
      <c r="L2304" s="7" t="str">
        <f t="shared" si="142"/>
        <v>ГОТОВ_ИЗМЕНЕН</v>
      </c>
      <c r="M2304" s="7">
        <f t="shared" si="143"/>
        <v>0</v>
      </c>
    </row>
    <row r="2305" spans="1:13" x14ac:dyDescent="0.25">
      <c r="A2305" s="1">
        <v>333784</v>
      </c>
      <c r="B2305" s="6" t="s">
        <v>2426</v>
      </c>
      <c r="C2305" s="9" t="s">
        <v>42</v>
      </c>
      <c r="D2305" s="6" t="s">
        <v>20</v>
      </c>
      <c r="E2305" s="6" t="s">
        <v>37</v>
      </c>
      <c r="F2305" s="6" t="s">
        <v>9</v>
      </c>
      <c r="G2305" s="6" t="s">
        <v>43</v>
      </c>
      <c r="H2305" s="9" t="s">
        <v>42</v>
      </c>
      <c r="I2305" s="7" t="str">
        <f t="shared" si="140"/>
        <v>61001002001</v>
      </c>
      <c r="J2305" s="7" t="str">
        <f t="shared" si="141"/>
        <v>Материал по ЕГРН</v>
      </c>
      <c r="K2305" s="7">
        <f>VLOOKUP(J2305,Лист2!A$2:B$4,2,FALSE)</f>
        <v>792</v>
      </c>
      <c r="L2305" s="7" t="str">
        <f t="shared" si="142"/>
        <v>ГОТОВ</v>
      </c>
      <c r="M2305" s="7" t="str">
        <f t="shared" si="143"/>
        <v>61001002001</v>
      </c>
    </row>
    <row r="2306" spans="1:13" x14ac:dyDescent="0.25">
      <c r="A2306" s="1">
        <v>379130</v>
      </c>
      <c r="B2306" s="6" t="s">
        <v>2427</v>
      </c>
      <c r="C2306" s="9" t="s">
        <v>63</v>
      </c>
      <c r="D2306" s="6" t="s">
        <v>20</v>
      </c>
      <c r="E2306" s="6" t="s">
        <v>37</v>
      </c>
      <c r="F2306" s="6" t="s">
        <v>9</v>
      </c>
      <c r="G2306" s="6" t="s">
        <v>62</v>
      </c>
      <c r="H2306" s="9" t="s">
        <v>63</v>
      </c>
      <c r="I2306" s="7" t="str">
        <f t="shared" si="140"/>
        <v>61001006002</v>
      </c>
      <c r="J2306" s="7" t="str">
        <f t="shared" si="141"/>
        <v>Материал по ЕГРН</v>
      </c>
      <c r="K2306" s="7">
        <f>VLOOKUP(J2306,Лист2!A$2:B$4,2,FALSE)</f>
        <v>792</v>
      </c>
      <c r="L2306" s="7" t="str">
        <f t="shared" si="142"/>
        <v>ГОТОВ</v>
      </c>
      <c r="M2306" s="7" t="str">
        <f t="shared" si="143"/>
        <v>61001006002</v>
      </c>
    </row>
    <row r="2307" spans="1:13" x14ac:dyDescent="0.25">
      <c r="A2307" s="1">
        <v>719843</v>
      </c>
      <c r="B2307" s="6" t="s">
        <v>2428</v>
      </c>
      <c r="C2307" s="9" t="s">
        <v>33</v>
      </c>
      <c r="D2307" s="6" t="s">
        <v>20</v>
      </c>
      <c r="E2307" s="6" t="s">
        <v>37</v>
      </c>
      <c r="F2307" s="6" t="s">
        <v>9</v>
      </c>
      <c r="G2307" s="6" t="s">
        <v>38</v>
      </c>
      <c r="H2307" s="9" t="s">
        <v>33</v>
      </c>
      <c r="I2307" s="7" t="str">
        <f t="shared" si="140"/>
        <v>61001005000</v>
      </c>
      <c r="J2307" s="7" t="str">
        <f t="shared" si="141"/>
        <v>Материал по ЕГРН</v>
      </c>
      <c r="K2307" s="7">
        <f>VLOOKUP(J2307,Лист2!A$2:B$4,2,FALSE)</f>
        <v>792</v>
      </c>
      <c r="L2307" s="7" t="str">
        <f t="shared" si="142"/>
        <v>ГОТОВ</v>
      </c>
      <c r="M2307" s="7" t="str">
        <f t="shared" si="143"/>
        <v>61001005000</v>
      </c>
    </row>
    <row r="2308" spans="1:13" x14ac:dyDescent="0.25">
      <c r="A2308" s="1">
        <v>906452</v>
      </c>
      <c r="B2308" s="6" t="s">
        <v>2429</v>
      </c>
      <c r="C2308" s="9" t="s">
        <v>42</v>
      </c>
      <c r="D2308" s="6" t="s">
        <v>14</v>
      </c>
      <c r="E2308" s="6" t="s">
        <v>37</v>
      </c>
      <c r="F2308" s="6" t="s">
        <v>9</v>
      </c>
      <c r="G2308" s="6" t="s">
        <v>43</v>
      </c>
      <c r="H2308" s="9" t="s">
        <v>42</v>
      </c>
      <c r="I2308" s="7" t="str">
        <f t="shared" si="140"/>
        <v>61001002001</v>
      </c>
      <c r="J2308" s="7" t="str">
        <f t="shared" si="141"/>
        <v>Материал по ЕГРН</v>
      </c>
      <c r="K2308" s="7">
        <f>VLOOKUP(J2308,Лист2!A$2:B$4,2,FALSE)</f>
        <v>792</v>
      </c>
      <c r="L2308" s="7" t="str">
        <f t="shared" si="142"/>
        <v>ГОТОВ</v>
      </c>
      <c r="M2308" s="7" t="str">
        <f t="shared" si="143"/>
        <v>61001002001</v>
      </c>
    </row>
    <row r="2309" spans="1:13" x14ac:dyDescent="0.25">
      <c r="A2309" s="1">
        <v>946173</v>
      </c>
      <c r="B2309" s="6" t="s">
        <v>2430</v>
      </c>
      <c r="F2309" s="6" t="s">
        <v>9</v>
      </c>
      <c r="G2309" s="6" t="s">
        <v>38</v>
      </c>
      <c r="H2309" s="9" t="s">
        <v>33</v>
      </c>
      <c r="I2309" s="7" t="str">
        <f t="shared" ref="I2309:I2372" si="144">IF(LEN(H2309)=11,H2309,IF(LEN(H2309)=0,"61001005000","61001003000"))</f>
        <v>61001005000</v>
      </c>
      <c r="J2309" s="7" t="str">
        <f t="shared" ref="J2309:J2372" si="145">IF(LEN(H2309)=11,"Материал по ЕГРН",IF(LEN(H2309)=0,"Прочие по допущению","Смешанные по допущению"))</f>
        <v>Материал по ЕГРН</v>
      </c>
      <c r="K2309" s="7">
        <f>VLOOKUP(J2309,Лист2!A$2:B$4,2,FALSE)</f>
        <v>792</v>
      </c>
      <c r="L2309" s="7" t="str">
        <f t="shared" ref="L2309:L2372" si="146">IF(I2309=C2309,"ГОТОВ","ГОТОВ_ИЗМЕНЕН")</f>
        <v>ГОТОВ_ИЗМЕНЕН</v>
      </c>
      <c r="M2309" s="7">
        <f t="shared" ref="M2309:M2372" si="147">C2309</f>
        <v>0</v>
      </c>
    </row>
    <row r="2310" spans="1:13" x14ac:dyDescent="0.25">
      <c r="A2310" s="1">
        <v>946185</v>
      </c>
      <c r="B2310" s="6" t="s">
        <v>2431</v>
      </c>
      <c r="F2310" s="6" t="s">
        <v>9</v>
      </c>
      <c r="G2310" s="6" t="s">
        <v>34</v>
      </c>
      <c r="H2310" s="9" t="s">
        <v>35</v>
      </c>
      <c r="I2310" s="7" t="str">
        <f t="shared" si="144"/>
        <v>61001002000</v>
      </c>
      <c r="J2310" s="7" t="str">
        <f t="shared" si="145"/>
        <v>Материал по ЕГРН</v>
      </c>
      <c r="K2310" s="7">
        <f>VLOOKUP(J2310,Лист2!A$2:B$4,2,FALSE)</f>
        <v>792</v>
      </c>
      <c r="L2310" s="7" t="str">
        <f t="shared" si="146"/>
        <v>ГОТОВ_ИЗМЕНЕН</v>
      </c>
      <c r="M2310" s="7">
        <f t="shared" si="147"/>
        <v>0</v>
      </c>
    </row>
    <row r="2311" spans="1:13" x14ac:dyDescent="0.25">
      <c r="A2311" s="1">
        <v>946197</v>
      </c>
      <c r="B2311" s="6" t="s">
        <v>2432</v>
      </c>
      <c r="F2311" s="6" t="s">
        <v>9</v>
      </c>
      <c r="G2311" s="6" t="s">
        <v>43</v>
      </c>
      <c r="H2311" s="9" t="s">
        <v>42</v>
      </c>
      <c r="I2311" s="7" t="str">
        <f t="shared" si="144"/>
        <v>61001002001</v>
      </c>
      <c r="J2311" s="7" t="str">
        <f t="shared" si="145"/>
        <v>Материал по ЕГРН</v>
      </c>
      <c r="K2311" s="7">
        <f>VLOOKUP(J2311,Лист2!A$2:B$4,2,FALSE)</f>
        <v>792</v>
      </c>
      <c r="L2311" s="7" t="str">
        <f t="shared" si="146"/>
        <v>ГОТОВ_ИЗМЕНЕН</v>
      </c>
      <c r="M2311" s="7">
        <f t="shared" si="147"/>
        <v>0</v>
      </c>
    </row>
    <row r="2312" spans="1:13" x14ac:dyDescent="0.25">
      <c r="A2312" s="1">
        <v>946209</v>
      </c>
      <c r="B2312" s="6" t="s">
        <v>2433</v>
      </c>
      <c r="F2312" s="6" t="s">
        <v>9</v>
      </c>
      <c r="G2312" s="6" t="s">
        <v>59</v>
      </c>
      <c r="H2312" s="9" t="s">
        <v>60</v>
      </c>
      <c r="I2312" s="7" t="str">
        <f t="shared" si="144"/>
        <v>61001001001</v>
      </c>
      <c r="J2312" s="7" t="str">
        <f t="shared" si="145"/>
        <v>Материал по ЕГРН</v>
      </c>
      <c r="K2312" s="7">
        <f>VLOOKUP(J2312,Лист2!A$2:B$4,2,FALSE)</f>
        <v>792</v>
      </c>
      <c r="L2312" s="7" t="str">
        <f t="shared" si="146"/>
        <v>ГОТОВ_ИЗМЕНЕН</v>
      </c>
      <c r="M2312" s="7">
        <f t="shared" si="147"/>
        <v>0</v>
      </c>
    </row>
    <row r="2313" spans="1:13" x14ac:dyDescent="0.25">
      <c r="A2313" s="1">
        <v>946221</v>
      </c>
      <c r="B2313" s="6" t="s">
        <v>2434</v>
      </c>
      <c r="F2313" s="6" t="s">
        <v>9</v>
      </c>
      <c r="G2313" s="6" t="s">
        <v>90</v>
      </c>
      <c r="H2313" s="9" t="s">
        <v>12</v>
      </c>
      <c r="I2313" s="7" t="str">
        <f t="shared" si="144"/>
        <v>61001008000</v>
      </c>
      <c r="J2313" s="7" t="str">
        <f t="shared" si="145"/>
        <v>Материал по ЕГРН</v>
      </c>
      <c r="K2313" s="7">
        <f>VLOOKUP(J2313,Лист2!A$2:B$4,2,FALSE)</f>
        <v>792</v>
      </c>
      <c r="L2313" s="7" t="str">
        <f t="shared" si="146"/>
        <v>ГОТОВ_ИЗМЕНЕН</v>
      </c>
      <c r="M2313" s="7">
        <f t="shared" si="147"/>
        <v>0</v>
      </c>
    </row>
    <row r="2314" spans="1:13" x14ac:dyDescent="0.25">
      <c r="A2314" s="1">
        <v>946233</v>
      </c>
      <c r="B2314" s="6" t="s">
        <v>2435</v>
      </c>
      <c r="F2314" s="6" t="s">
        <v>9</v>
      </c>
      <c r="G2314" s="6" t="s">
        <v>38</v>
      </c>
      <c r="H2314" s="9" t="s">
        <v>33</v>
      </c>
      <c r="I2314" s="7" t="str">
        <f t="shared" si="144"/>
        <v>61001005000</v>
      </c>
      <c r="J2314" s="7" t="str">
        <f t="shared" si="145"/>
        <v>Материал по ЕГРН</v>
      </c>
      <c r="K2314" s="7">
        <f>VLOOKUP(J2314,Лист2!A$2:B$4,2,FALSE)</f>
        <v>792</v>
      </c>
      <c r="L2314" s="7" t="str">
        <f t="shared" si="146"/>
        <v>ГОТОВ_ИЗМЕНЕН</v>
      </c>
      <c r="M2314" s="7">
        <f t="shared" si="147"/>
        <v>0</v>
      </c>
    </row>
    <row r="2315" spans="1:13" x14ac:dyDescent="0.25">
      <c r="A2315" s="1">
        <v>946245</v>
      </c>
      <c r="B2315" s="6" t="s">
        <v>2436</v>
      </c>
      <c r="F2315" s="6" t="s">
        <v>9</v>
      </c>
      <c r="G2315" s="6" t="s">
        <v>38</v>
      </c>
      <c r="H2315" s="9" t="s">
        <v>33</v>
      </c>
      <c r="I2315" s="7" t="str">
        <f t="shared" si="144"/>
        <v>61001005000</v>
      </c>
      <c r="J2315" s="7" t="str">
        <f t="shared" si="145"/>
        <v>Материал по ЕГРН</v>
      </c>
      <c r="K2315" s="7">
        <f>VLOOKUP(J2315,Лист2!A$2:B$4,2,FALSE)</f>
        <v>792</v>
      </c>
      <c r="L2315" s="7" t="str">
        <f t="shared" si="146"/>
        <v>ГОТОВ_ИЗМЕНЕН</v>
      </c>
      <c r="M2315" s="7">
        <f t="shared" si="147"/>
        <v>0</v>
      </c>
    </row>
    <row r="2316" spans="1:13" x14ac:dyDescent="0.25">
      <c r="A2316" s="1">
        <v>946257</v>
      </c>
      <c r="B2316" s="6" t="s">
        <v>2437</v>
      </c>
      <c r="F2316" s="6" t="s">
        <v>9</v>
      </c>
      <c r="G2316" s="6" t="s">
        <v>62</v>
      </c>
      <c r="H2316" s="9" t="s">
        <v>63</v>
      </c>
      <c r="I2316" s="7" t="str">
        <f t="shared" si="144"/>
        <v>61001006002</v>
      </c>
      <c r="J2316" s="7" t="str">
        <f t="shared" si="145"/>
        <v>Материал по ЕГРН</v>
      </c>
      <c r="K2316" s="7">
        <f>VLOOKUP(J2316,Лист2!A$2:B$4,2,FALSE)</f>
        <v>792</v>
      </c>
      <c r="L2316" s="7" t="str">
        <f t="shared" si="146"/>
        <v>ГОТОВ_ИЗМЕНЕН</v>
      </c>
      <c r="M2316" s="7">
        <f t="shared" si="147"/>
        <v>0</v>
      </c>
    </row>
    <row r="2317" spans="1:13" x14ac:dyDescent="0.25">
      <c r="A2317" s="1">
        <v>946269</v>
      </c>
      <c r="B2317" s="6" t="s">
        <v>2438</v>
      </c>
      <c r="F2317" s="6" t="s">
        <v>9</v>
      </c>
      <c r="G2317" s="6" t="s">
        <v>10</v>
      </c>
      <c r="H2317" s="9" t="s">
        <v>11</v>
      </c>
      <c r="I2317" s="7" t="str">
        <f t="shared" si="144"/>
        <v>61001003000</v>
      </c>
      <c r="J2317" s="7" t="str">
        <f t="shared" si="145"/>
        <v>Материал по ЕГРН</v>
      </c>
      <c r="K2317" s="7">
        <f>VLOOKUP(J2317,Лист2!A$2:B$4,2,FALSE)</f>
        <v>792</v>
      </c>
      <c r="L2317" s="7" t="str">
        <f t="shared" si="146"/>
        <v>ГОТОВ_ИЗМЕНЕН</v>
      </c>
      <c r="M2317" s="7">
        <f t="shared" si="147"/>
        <v>0</v>
      </c>
    </row>
    <row r="2318" spans="1:13" x14ac:dyDescent="0.25">
      <c r="A2318" s="1">
        <v>946281</v>
      </c>
      <c r="B2318" s="6" t="s">
        <v>2439</v>
      </c>
      <c r="F2318" s="6" t="s">
        <v>9</v>
      </c>
      <c r="G2318" s="6" t="s">
        <v>90</v>
      </c>
      <c r="H2318" s="9" t="s">
        <v>12</v>
      </c>
      <c r="I2318" s="7" t="str">
        <f t="shared" si="144"/>
        <v>61001008000</v>
      </c>
      <c r="J2318" s="7" t="str">
        <f t="shared" si="145"/>
        <v>Материал по ЕГРН</v>
      </c>
      <c r="K2318" s="7">
        <f>VLOOKUP(J2318,Лист2!A$2:B$4,2,FALSE)</f>
        <v>792</v>
      </c>
      <c r="L2318" s="7" t="str">
        <f t="shared" si="146"/>
        <v>ГОТОВ_ИЗМЕНЕН</v>
      </c>
      <c r="M2318" s="7">
        <f t="shared" si="147"/>
        <v>0</v>
      </c>
    </row>
    <row r="2319" spans="1:13" x14ac:dyDescent="0.25">
      <c r="A2319" s="1">
        <v>946293</v>
      </c>
      <c r="B2319" s="6" t="s">
        <v>2440</v>
      </c>
      <c r="F2319" s="6" t="s">
        <v>9</v>
      </c>
      <c r="G2319" s="6" t="s">
        <v>90</v>
      </c>
      <c r="H2319" s="9" t="s">
        <v>12</v>
      </c>
      <c r="I2319" s="7" t="str">
        <f t="shared" si="144"/>
        <v>61001008000</v>
      </c>
      <c r="J2319" s="7" t="str">
        <f t="shared" si="145"/>
        <v>Материал по ЕГРН</v>
      </c>
      <c r="K2319" s="7">
        <f>VLOOKUP(J2319,Лист2!A$2:B$4,2,FALSE)</f>
        <v>792</v>
      </c>
      <c r="L2319" s="7" t="str">
        <f t="shared" si="146"/>
        <v>ГОТОВ_ИЗМЕНЕН</v>
      </c>
      <c r="M2319" s="7">
        <f t="shared" si="147"/>
        <v>0</v>
      </c>
    </row>
    <row r="2320" spans="1:13" x14ac:dyDescent="0.25">
      <c r="A2320" s="1">
        <v>946305</v>
      </c>
      <c r="B2320" s="6" t="s">
        <v>2441</v>
      </c>
      <c r="F2320" s="6" t="s">
        <v>9</v>
      </c>
      <c r="G2320" s="6" t="s">
        <v>38</v>
      </c>
      <c r="H2320" s="9" t="s">
        <v>33</v>
      </c>
      <c r="I2320" s="7" t="str">
        <f t="shared" si="144"/>
        <v>61001005000</v>
      </c>
      <c r="J2320" s="7" t="str">
        <f t="shared" si="145"/>
        <v>Материал по ЕГРН</v>
      </c>
      <c r="K2320" s="7">
        <f>VLOOKUP(J2320,Лист2!A$2:B$4,2,FALSE)</f>
        <v>792</v>
      </c>
      <c r="L2320" s="7" t="str">
        <f t="shared" si="146"/>
        <v>ГОТОВ_ИЗМЕНЕН</v>
      </c>
      <c r="M2320" s="7">
        <f t="shared" si="147"/>
        <v>0</v>
      </c>
    </row>
    <row r="2321" spans="1:13" x14ac:dyDescent="0.25">
      <c r="A2321" s="1">
        <v>946317</v>
      </c>
      <c r="B2321" s="6" t="s">
        <v>2442</v>
      </c>
      <c r="F2321" s="6" t="s">
        <v>9</v>
      </c>
      <c r="G2321" s="6" t="s">
        <v>38</v>
      </c>
      <c r="H2321" s="9" t="s">
        <v>33</v>
      </c>
      <c r="I2321" s="7" t="str">
        <f t="shared" si="144"/>
        <v>61001005000</v>
      </c>
      <c r="J2321" s="7" t="str">
        <f t="shared" si="145"/>
        <v>Материал по ЕГРН</v>
      </c>
      <c r="K2321" s="7">
        <f>VLOOKUP(J2321,Лист2!A$2:B$4,2,FALSE)</f>
        <v>792</v>
      </c>
      <c r="L2321" s="7" t="str">
        <f t="shared" si="146"/>
        <v>ГОТОВ_ИЗМЕНЕН</v>
      </c>
      <c r="M2321" s="7">
        <f t="shared" si="147"/>
        <v>0</v>
      </c>
    </row>
    <row r="2322" spans="1:13" x14ac:dyDescent="0.25">
      <c r="A2322" s="1">
        <v>946329</v>
      </c>
      <c r="B2322" s="6" t="s">
        <v>2443</v>
      </c>
      <c r="F2322" s="6" t="s">
        <v>9</v>
      </c>
      <c r="G2322" s="6" t="s">
        <v>38</v>
      </c>
      <c r="H2322" s="9" t="s">
        <v>33</v>
      </c>
      <c r="I2322" s="7" t="str">
        <f t="shared" si="144"/>
        <v>61001005000</v>
      </c>
      <c r="J2322" s="7" t="str">
        <f t="shared" si="145"/>
        <v>Материал по ЕГРН</v>
      </c>
      <c r="K2322" s="7">
        <f>VLOOKUP(J2322,Лист2!A$2:B$4,2,FALSE)</f>
        <v>792</v>
      </c>
      <c r="L2322" s="7" t="str">
        <f t="shared" si="146"/>
        <v>ГОТОВ_ИЗМЕНЕН</v>
      </c>
      <c r="M2322" s="7">
        <f t="shared" si="147"/>
        <v>0</v>
      </c>
    </row>
    <row r="2323" spans="1:13" x14ac:dyDescent="0.25">
      <c r="A2323" s="1">
        <v>946341</v>
      </c>
      <c r="B2323" s="6" t="s">
        <v>2444</v>
      </c>
      <c r="F2323" s="6" t="s">
        <v>9</v>
      </c>
      <c r="G2323" s="6" t="s">
        <v>34</v>
      </c>
      <c r="H2323" s="9" t="s">
        <v>35</v>
      </c>
      <c r="I2323" s="7" t="str">
        <f t="shared" si="144"/>
        <v>61001002000</v>
      </c>
      <c r="J2323" s="7" t="str">
        <f t="shared" si="145"/>
        <v>Материал по ЕГРН</v>
      </c>
      <c r="K2323" s="7">
        <f>VLOOKUP(J2323,Лист2!A$2:B$4,2,FALSE)</f>
        <v>792</v>
      </c>
      <c r="L2323" s="7" t="str">
        <f t="shared" si="146"/>
        <v>ГОТОВ_ИЗМЕНЕН</v>
      </c>
      <c r="M2323" s="7">
        <f t="shared" si="147"/>
        <v>0</v>
      </c>
    </row>
    <row r="2324" spans="1:13" x14ac:dyDescent="0.25">
      <c r="A2324" s="1">
        <v>946353</v>
      </c>
      <c r="B2324" s="6" t="s">
        <v>2445</v>
      </c>
      <c r="F2324" s="6" t="s">
        <v>9</v>
      </c>
      <c r="G2324" s="6" t="s">
        <v>34</v>
      </c>
      <c r="H2324" s="9" t="s">
        <v>35</v>
      </c>
      <c r="I2324" s="7" t="str">
        <f t="shared" si="144"/>
        <v>61001002000</v>
      </c>
      <c r="J2324" s="7" t="str">
        <f t="shared" si="145"/>
        <v>Материал по ЕГРН</v>
      </c>
      <c r="K2324" s="7">
        <f>VLOOKUP(J2324,Лист2!A$2:B$4,2,FALSE)</f>
        <v>792</v>
      </c>
      <c r="L2324" s="7" t="str">
        <f t="shared" si="146"/>
        <v>ГОТОВ_ИЗМЕНЕН</v>
      </c>
      <c r="M2324" s="7">
        <f t="shared" si="147"/>
        <v>0</v>
      </c>
    </row>
    <row r="2325" spans="1:13" x14ac:dyDescent="0.25">
      <c r="A2325" s="1">
        <v>946365</v>
      </c>
      <c r="B2325" s="6" t="s">
        <v>2446</v>
      </c>
      <c r="F2325" s="6" t="s">
        <v>9</v>
      </c>
      <c r="G2325" s="6" t="s">
        <v>139</v>
      </c>
      <c r="H2325" s="9" t="s">
        <v>140</v>
      </c>
      <c r="I2325" s="7" t="str">
        <f t="shared" si="144"/>
        <v>61001999000</v>
      </c>
      <c r="J2325" s="7" t="str">
        <f t="shared" si="145"/>
        <v>Материал по ЕГРН</v>
      </c>
      <c r="K2325" s="7">
        <f>VLOOKUP(J2325,Лист2!A$2:B$4,2,FALSE)</f>
        <v>792</v>
      </c>
      <c r="L2325" s="7" t="str">
        <f t="shared" si="146"/>
        <v>ГОТОВ_ИЗМЕНЕН</v>
      </c>
      <c r="M2325" s="7">
        <f t="shared" si="147"/>
        <v>0</v>
      </c>
    </row>
    <row r="2326" spans="1:13" x14ac:dyDescent="0.25">
      <c r="A2326" s="1">
        <v>946377</v>
      </c>
      <c r="B2326" s="6" t="s">
        <v>2447</v>
      </c>
      <c r="F2326" s="6" t="s">
        <v>9</v>
      </c>
      <c r="G2326" s="6" t="s">
        <v>34</v>
      </c>
      <c r="H2326" s="9" t="s">
        <v>35</v>
      </c>
      <c r="I2326" s="7" t="str">
        <f t="shared" si="144"/>
        <v>61001002000</v>
      </c>
      <c r="J2326" s="7" t="str">
        <f t="shared" si="145"/>
        <v>Материал по ЕГРН</v>
      </c>
      <c r="K2326" s="7">
        <f>VLOOKUP(J2326,Лист2!A$2:B$4,2,FALSE)</f>
        <v>792</v>
      </c>
      <c r="L2326" s="7" t="str">
        <f t="shared" si="146"/>
        <v>ГОТОВ_ИЗМЕНЕН</v>
      </c>
      <c r="M2326" s="7">
        <f t="shared" si="147"/>
        <v>0</v>
      </c>
    </row>
    <row r="2327" spans="1:13" x14ac:dyDescent="0.25">
      <c r="A2327" s="1">
        <v>946389</v>
      </c>
      <c r="B2327" s="6" t="s">
        <v>2448</v>
      </c>
      <c r="F2327" s="6" t="s">
        <v>9</v>
      </c>
      <c r="G2327" s="6" t="s">
        <v>38</v>
      </c>
      <c r="H2327" s="9" t="s">
        <v>33</v>
      </c>
      <c r="I2327" s="7" t="str">
        <f t="shared" si="144"/>
        <v>61001005000</v>
      </c>
      <c r="J2327" s="7" t="str">
        <f t="shared" si="145"/>
        <v>Материал по ЕГРН</v>
      </c>
      <c r="K2327" s="7">
        <f>VLOOKUP(J2327,Лист2!A$2:B$4,2,FALSE)</f>
        <v>792</v>
      </c>
      <c r="L2327" s="7" t="str">
        <f t="shared" si="146"/>
        <v>ГОТОВ_ИЗМЕНЕН</v>
      </c>
      <c r="M2327" s="7">
        <f t="shared" si="147"/>
        <v>0</v>
      </c>
    </row>
    <row r="2328" spans="1:13" x14ac:dyDescent="0.25">
      <c r="A2328" s="1">
        <v>153643</v>
      </c>
      <c r="B2328" s="6" t="s">
        <v>2449</v>
      </c>
      <c r="C2328" s="9" t="s">
        <v>33</v>
      </c>
      <c r="D2328" s="6" t="s">
        <v>20</v>
      </c>
      <c r="E2328" s="6" t="s">
        <v>37</v>
      </c>
      <c r="F2328" s="6" t="s">
        <v>9</v>
      </c>
      <c r="G2328" s="6" t="s">
        <v>38</v>
      </c>
      <c r="H2328" s="9" t="s">
        <v>33</v>
      </c>
      <c r="I2328" s="7" t="str">
        <f t="shared" si="144"/>
        <v>61001005000</v>
      </c>
      <c r="J2328" s="7" t="str">
        <f t="shared" si="145"/>
        <v>Материал по ЕГРН</v>
      </c>
      <c r="K2328" s="7">
        <f>VLOOKUP(J2328,Лист2!A$2:B$4,2,FALSE)</f>
        <v>792</v>
      </c>
      <c r="L2328" s="7" t="str">
        <f t="shared" si="146"/>
        <v>ГОТОВ</v>
      </c>
      <c r="M2328" s="7" t="str">
        <f t="shared" si="147"/>
        <v>61001005000</v>
      </c>
    </row>
    <row r="2329" spans="1:13" x14ac:dyDescent="0.25">
      <c r="A2329" s="1">
        <v>527678</v>
      </c>
      <c r="B2329" s="6" t="s">
        <v>2450</v>
      </c>
      <c r="C2329" s="9" t="s">
        <v>33</v>
      </c>
      <c r="D2329" s="6" t="s">
        <v>20</v>
      </c>
      <c r="E2329" s="6" t="s">
        <v>37</v>
      </c>
      <c r="F2329" s="6" t="s">
        <v>9</v>
      </c>
      <c r="G2329" s="6" t="s">
        <v>38</v>
      </c>
      <c r="H2329" s="9" t="s">
        <v>33</v>
      </c>
      <c r="I2329" s="7" t="str">
        <f t="shared" si="144"/>
        <v>61001005000</v>
      </c>
      <c r="J2329" s="7" t="str">
        <f t="shared" si="145"/>
        <v>Материал по ЕГРН</v>
      </c>
      <c r="K2329" s="7">
        <f>VLOOKUP(J2329,Лист2!A$2:B$4,2,FALSE)</f>
        <v>792</v>
      </c>
      <c r="L2329" s="7" t="str">
        <f t="shared" si="146"/>
        <v>ГОТОВ</v>
      </c>
      <c r="M2329" s="7" t="str">
        <f t="shared" si="147"/>
        <v>61001005000</v>
      </c>
    </row>
    <row r="2330" spans="1:13" x14ac:dyDescent="0.25">
      <c r="A2330" s="1">
        <v>691558</v>
      </c>
      <c r="B2330" s="6" t="s">
        <v>2451</v>
      </c>
      <c r="C2330" s="9" t="s">
        <v>33</v>
      </c>
      <c r="D2330" s="6" t="s">
        <v>20</v>
      </c>
      <c r="E2330" s="6" t="s">
        <v>8</v>
      </c>
      <c r="F2330" s="6" t="s">
        <v>9</v>
      </c>
      <c r="G2330" s="6" t="s">
        <v>59</v>
      </c>
      <c r="H2330" s="9" t="s">
        <v>60</v>
      </c>
      <c r="I2330" s="7" t="str">
        <f t="shared" si="144"/>
        <v>61001001001</v>
      </c>
      <c r="J2330" s="7" t="str">
        <f t="shared" si="145"/>
        <v>Материал по ЕГРН</v>
      </c>
      <c r="K2330" s="7">
        <f>VLOOKUP(J2330,Лист2!A$2:B$4,2,FALSE)</f>
        <v>792</v>
      </c>
      <c r="L2330" s="7" t="str">
        <f t="shared" si="146"/>
        <v>ГОТОВ_ИЗМЕНЕН</v>
      </c>
      <c r="M2330" s="7" t="str">
        <f t="shared" si="147"/>
        <v>61001005000</v>
      </c>
    </row>
    <row r="2331" spans="1:13" x14ac:dyDescent="0.25">
      <c r="A2331" s="1">
        <v>944913</v>
      </c>
      <c r="B2331" s="6" t="s">
        <v>2452</v>
      </c>
      <c r="F2331" s="6" t="s">
        <v>9</v>
      </c>
      <c r="G2331" s="6" t="s">
        <v>38</v>
      </c>
      <c r="H2331" s="9" t="s">
        <v>33</v>
      </c>
      <c r="I2331" s="7" t="str">
        <f t="shared" si="144"/>
        <v>61001005000</v>
      </c>
      <c r="J2331" s="7" t="str">
        <f t="shared" si="145"/>
        <v>Материал по ЕГРН</v>
      </c>
      <c r="K2331" s="7">
        <f>VLOOKUP(J2331,Лист2!A$2:B$4,2,FALSE)</f>
        <v>792</v>
      </c>
      <c r="L2331" s="7" t="str">
        <f t="shared" si="146"/>
        <v>ГОТОВ_ИЗМЕНЕН</v>
      </c>
      <c r="M2331" s="7">
        <f t="shared" si="147"/>
        <v>0</v>
      </c>
    </row>
    <row r="2332" spans="1:13" x14ac:dyDescent="0.25">
      <c r="A2332" s="1">
        <v>944925</v>
      </c>
      <c r="B2332" s="6" t="s">
        <v>2453</v>
      </c>
      <c r="F2332" s="6" t="s">
        <v>9</v>
      </c>
      <c r="G2332" s="6" t="s">
        <v>38</v>
      </c>
      <c r="H2332" s="9" t="s">
        <v>33</v>
      </c>
      <c r="I2332" s="7" t="str">
        <f t="shared" si="144"/>
        <v>61001005000</v>
      </c>
      <c r="J2332" s="7" t="str">
        <f t="shared" si="145"/>
        <v>Материал по ЕГРН</v>
      </c>
      <c r="K2332" s="7">
        <f>VLOOKUP(J2332,Лист2!A$2:B$4,2,FALSE)</f>
        <v>792</v>
      </c>
      <c r="L2332" s="7" t="str">
        <f t="shared" si="146"/>
        <v>ГОТОВ_ИЗМЕНЕН</v>
      </c>
      <c r="M2332" s="7">
        <f t="shared" si="147"/>
        <v>0</v>
      </c>
    </row>
    <row r="2333" spans="1:13" x14ac:dyDescent="0.25">
      <c r="A2333" s="1">
        <v>944937</v>
      </c>
      <c r="B2333" s="6" t="s">
        <v>2454</v>
      </c>
      <c r="F2333" s="6" t="s">
        <v>9</v>
      </c>
      <c r="G2333" s="6" t="s">
        <v>10</v>
      </c>
      <c r="H2333" s="9" t="s">
        <v>11</v>
      </c>
      <c r="I2333" s="7" t="str">
        <f t="shared" si="144"/>
        <v>61001003000</v>
      </c>
      <c r="J2333" s="7" t="str">
        <f t="shared" si="145"/>
        <v>Материал по ЕГРН</v>
      </c>
      <c r="K2333" s="7">
        <f>VLOOKUP(J2333,Лист2!A$2:B$4,2,FALSE)</f>
        <v>792</v>
      </c>
      <c r="L2333" s="7" t="str">
        <f t="shared" si="146"/>
        <v>ГОТОВ_ИЗМЕНЕН</v>
      </c>
      <c r="M2333" s="7">
        <f t="shared" si="147"/>
        <v>0</v>
      </c>
    </row>
    <row r="2334" spans="1:13" x14ac:dyDescent="0.25">
      <c r="A2334" s="1">
        <v>944949</v>
      </c>
      <c r="B2334" s="6" t="s">
        <v>2455</v>
      </c>
      <c r="F2334" s="6" t="s">
        <v>9</v>
      </c>
      <c r="G2334" s="6" t="s">
        <v>794</v>
      </c>
      <c r="H2334" s="9" t="s">
        <v>795</v>
      </c>
      <c r="I2334" s="7" t="str">
        <f t="shared" si="144"/>
        <v>61001003000</v>
      </c>
      <c r="J2334" s="7" t="str">
        <f t="shared" si="145"/>
        <v>Смешанные по допущению</v>
      </c>
      <c r="K2334" s="7">
        <f>VLOOKUP(J2334,Лист2!A$2:B$4,2,FALSE)</f>
        <v>793</v>
      </c>
      <c r="L2334" s="7" t="str">
        <f t="shared" si="146"/>
        <v>ГОТОВ_ИЗМЕНЕН</v>
      </c>
      <c r="M2334" s="7">
        <f t="shared" si="147"/>
        <v>0</v>
      </c>
    </row>
    <row r="2335" spans="1:13" x14ac:dyDescent="0.25">
      <c r="A2335" s="1">
        <v>944961</v>
      </c>
      <c r="B2335" s="6" t="s">
        <v>2456</v>
      </c>
      <c r="F2335" s="6" t="s">
        <v>9</v>
      </c>
      <c r="G2335" s="6" t="s">
        <v>10</v>
      </c>
      <c r="H2335" s="9" t="s">
        <v>11</v>
      </c>
      <c r="I2335" s="7" t="str">
        <f t="shared" si="144"/>
        <v>61001003000</v>
      </c>
      <c r="J2335" s="7" t="str">
        <f t="shared" si="145"/>
        <v>Материал по ЕГРН</v>
      </c>
      <c r="K2335" s="7">
        <f>VLOOKUP(J2335,Лист2!A$2:B$4,2,FALSE)</f>
        <v>792</v>
      </c>
      <c r="L2335" s="7" t="str">
        <f t="shared" si="146"/>
        <v>ГОТОВ_ИЗМЕНЕН</v>
      </c>
      <c r="M2335" s="7">
        <f t="shared" si="147"/>
        <v>0</v>
      </c>
    </row>
    <row r="2336" spans="1:13" x14ac:dyDescent="0.25">
      <c r="A2336" s="1">
        <v>944973</v>
      </c>
      <c r="B2336" s="6" t="s">
        <v>2457</v>
      </c>
      <c r="F2336" s="6" t="s">
        <v>9</v>
      </c>
      <c r="G2336" s="6" t="s">
        <v>133</v>
      </c>
      <c r="H2336" s="9" t="s">
        <v>134</v>
      </c>
      <c r="I2336" s="7" t="str">
        <f t="shared" si="144"/>
        <v>61001006003</v>
      </c>
      <c r="J2336" s="7" t="str">
        <f t="shared" si="145"/>
        <v>Материал по ЕГРН</v>
      </c>
      <c r="K2336" s="7">
        <f>VLOOKUP(J2336,Лист2!A$2:B$4,2,FALSE)</f>
        <v>792</v>
      </c>
      <c r="L2336" s="7" t="str">
        <f t="shared" si="146"/>
        <v>ГОТОВ_ИЗМЕНЕН</v>
      </c>
      <c r="M2336" s="7">
        <f t="shared" si="147"/>
        <v>0</v>
      </c>
    </row>
    <row r="2337" spans="1:13" x14ac:dyDescent="0.25">
      <c r="A2337" s="1">
        <v>944985</v>
      </c>
      <c r="B2337" s="6" t="s">
        <v>2458</v>
      </c>
      <c r="F2337" s="6" t="s">
        <v>9</v>
      </c>
      <c r="G2337" s="6" t="s">
        <v>34</v>
      </c>
      <c r="H2337" s="9" t="s">
        <v>35</v>
      </c>
      <c r="I2337" s="7" t="str">
        <f t="shared" si="144"/>
        <v>61001002000</v>
      </c>
      <c r="J2337" s="7" t="str">
        <f t="shared" si="145"/>
        <v>Материал по ЕГРН</v>
      </c>
      <c r="K2337" s="7">
        <f>VLOOKUP(J2337,Лист2!A$2:B$4,2,FALSE)</f>
        <v>792</v>
      </c>
      <c r="L2337" s="7" t="str">
        <f t="shared" si="146"/>
        <v>ГОТОВ_ИЗМЕНЕН</v>
      </c>
      <c r="M2337" s="7">
        <f t="shared" si="147"/>
        <v>0</v>
      </c>
    </row>
    <row r="2338" spans="1:13" x14ac:dyDescent="0.25">
      <c r="A2338" s="1">
        <v>944997</v>
      </c>
      <c r="B2338" s="6" t="s">
        <v>2459</v>
      </c>
      <c r="F2338" s="6" t="s">
        <v>9</v>
      </c>
      <c r="G2338" s="6" t="s">
        <v>38</v>
      </c>
      <c r="H2338" s="9" t="s">
        <v>33</v>
      </c>
      <c r="I2338" s="7" t="str">
        <f t="shared" si="144"/>
        <v>61001005000</v>
      </c>
      <c r="J2338" s="7" t="str">
        <f t="shared" si="145"/>
        <v>Материал по ЕГРН</v>
      </c>
      <c r="K2338" s="7">
        <f>VLOOKUP(J2338,Лист2!A$2:B$4,2,FALSE)</f>
        <v>792</v>
      </c>
      <c r="L2338" s="7" t="str">
        <f t="shared" si="146"/>
        <v>ГОТОВ_ИЗМЕНЕН</v>
      </c>
      <c r="M2338" s="7">
        <f t="shared" si="147"/>
        <v>0</v>
      </c>
    </row>
    <row r="2339" spans="1:13" x14ac:dyDescent="0.25">
      <c r="A2339" s="1">
        <v>945009</v>
      </c>
      <c r="B2339" s="6" t="s">
        <v>2460</v>
      </c>
      <c r="F2339" s="6" t="s">
        <v>9</v>
      </c>
      <c r="G2339" s="6" t="s">
        <v>38</v>
      </c>
      <c r="H2339" s="9" t="s">
        <v>33</v>
      </c>
      <c r="I2339" s="7" t="str">
        <f t="shared" si="144"/>
        <v>61001005000</v>
      </c>
      <c r="J2339" s="7" t="str">
        <f t="shared" si="145"/>
        <v>Материал по ЕГРН</v>
      </c>
      <c r="K2339" s="7">
        <f>VLOOKUP(J2339,Лист2!A$2:B$4,2,FALSE)</f>
        <v>792</v>
      </c>
      <c r="L2339" s="7" t="str">
        <f t="shared" si="146"/>
        <v>ГОТОВ_ИЗМЕНЕН</v>
      </c>
      <c r="M2339" s="7">
        <f t="shared" si="147"/>
        <v>0</v>
      </c>
    </row>
    <row r="2340" spans="1:13" x14ac:dyDescent="0.25">
      <c r="A2340" s="1">
        <v>945021</v>
      </c>
      <c r="B2340" s="6" t="s">
        <v>2461</v>
      </c>
      <c r="F2340" s="6" t="s">
        <v>9</v>
      </c>
      <c r="G2340" s="6" t="s">
        <v>38</v>
      </c>
      <c r="H2340" s="9" t="s">
        <v>33</v>
      </c>
      <c r="I2340" s="7" t="str">
        <f t="shared" si="144"/>
        <v>61001005000</v>
      </c>
      <c r="J2340" s="7" t="str">
        <f t="shared" si="145"/>
        <v>Материал по ЕГРН</v>
      </c>
      <c r="K2340" s="7">
        <f>VLOOKUP(J2340,Лист2!A$2:B$4,2,FALSE)</f>
        <v>792</v>
      </c>
      <c r="L2340" s="7" t="str">
        <f t="shared" si="146"/>
        <v>ГОТОВ_ИЗМЕНЕН</v>
      </c>
      <c r="M2340" s="7">
        <f t="shared" si="147"/>
        <v>0</v>
      </c>
    </row>
    <row r="2341" spans="1:13" x14ac:dyDescent="0.25">
      <c r="A2341" s="1">
        <v>945033</v>
      </c>
      <c r="B2341" s="6" t="s">
        <v>2462</v>
      </c>
      <c r="F2341" s="6" t="s">
        <v>9</v>
      </c>
      <c r="G2341" s="6" t="s">
        <v>170</v>
      </c>
      <c r="H2341" s="9" t="s">
        <v>171</v>
      </c>
      <c r="I2341" s="7" t="str">
        <f t="shared" si="144"/>
        <v>61001001000</v>
      </c>
      <c r="J2341" s="7" t="str">
        <f t="shared" si="145"/>
        <v>Материал по ЕГРН</v>
      </c>
      <c r="K2341" s="7">
        <f>VLOOKUP(J2341,Лист2!A$2:B$4,2,FALSE)</f>
        <v>792</v>
      </c>
      <c r="L2341" s="7" t="str">
        <f t="shared" si="146"/>
        <v>ГОТОВ_ИЗМЕНЕН</v>
      </c>
      <c r="M2341" s="7">
        <f t="shared" si="147"/>
        <v>0</v>
      </c>
    </row>
    <row r="2342" spans="1:13" x14ac:dyDescent="0.25">
      <c r="A2342" s="1">
        <v>945045</v>
      </c>
      <c r="B2342" s="6" t="s">
        <v>2463</v>
      </c>
      <c r="F2342" s="6" t="s">
        <v>9</v>
      </c>
      <c r="G2342" s="6" t="s">
        <v>62</v>
      </c>
      <c r="H2342" s="9" t="s">
        <v>63</v>
      </c>
      <c r="I2342" s="7" t="str">
        <f t="shared" si="144"/>
        <v>61001006002</v>
      </c>
      <c r="J2342" s="7" t="str">
        <f t="shared" si="145"/>
        <v>Материал по ЕГРН</v>
      </c>
      <c r="K2342" s="7">
        <f>VLOOKUP(J2342,Лист2!A$2:B$4,2,FALSE)</f>
        <v>792</v>
      </c>
      <c r="L2342" s="7" t="str">
        <f t="shared" si="146"/>
        <v>ГОТОВ_ИЗМЕНЕН</v>
      </c>
      <c r="M2342" s="7">
        <f t="shared" si="147"/>
        <v>0</v>
      </c>
    </row>
    <row r="2343" spans="1:13" x14ac:dyDescent="0.25">
      <c r="A2343" s="1">
        <v>945057</v>
      </c>
      <c r="B2343" s="6" t="s">
        <v>2464</v>
      </c>
      <c r="F2343" s="6" t="s">
        <v>9</v>
      </c>
      <c r="G2343" s="6" t="s">
        <v>38</v>
      </c>
      <c r="H2343" s="9" t="s">
        <v>33</v>
      </c>
      <c r="I2343" s="7" t="str">
        <f t="shared" si="144"/>
        <v>61001005000</v>
      </c>
      <c r="J2343" s="7" t="str">
        <f t="shared" si="145"/>
        <v>Материал по ЕГРН</v>
      </c>
      <c r="K2343" s="7">
        <f>VLOOKUP(J2343,Лист2!A$2:B$4,2,FALSE)</f>
        <v>792</v>
      </c>
      <c r="L2343" s="7" t="str">
        <f t="shared" si="146"/>
        <v>ГОТОВ_ИЗМЕНЕН</v>
      </c>
      <c r="M2343" s="7">
        <f t="shared" si="147"/>
        <v>0</v>
      </c>
    </row>
    <row r="2344" spans="1:13" x14ac:dyDescent="0.25">
      <c r="A2344" s="1">
        <v>945069</v>
      </c>
      <c r="B2344" s="6" t="s">
        <v>2465</v>
      </c>
      <c r="F2344" s="6" t="s">
        <v>9</v>
      </c>
      <c r="G2344" s="6" t="s">
        <v>90</v>
      </c>
      <c r="H2344" s="9" t="s">
        <v>12</v>
      </c>
      <c r="I2344" s="7" t="str">
        <f t="shared" si="144"/>
        <v>61001008000</v>
      </c>
      <c r="J2344" s="7" t="str">
        <f t="shared" si="145"/>
        <v>Материал по ЕГРН</v>
      </c>
      <c r="K2344" s="7">
        <f>VLOOKUP(J2344,Лист2!A$2:B$4,2,FALSE)</f>
        <v>792</v>
      </c>
      <c r="L2344" s="7" t="str">
        <f t="shared" si="146"/>
        <v>ГОТОВ_ИЗМЕНЕН</v>
      </c>
      <c r="M2344" s="7">
        <f t="shared" si="147"/>
        <v>0</v>
      </c>
    </row>
    <row r="2345" spans="1:13" x14ac:dyDescent="0.25">
      <c r="A2345" s="1">
        <v>945081</v>
      </c>
      <c r="B2345" s="6" t="s">
        <v>2466</v>
      </c>
      <c r="F2345" s="6" t="s">
        <v>9</v>
      </c>
      <c r="G2345" s="6" t="s">
        <v>2467</v>
      </c>
      <c r="H2345" s="9" t="s">
        <v>2468</v>
      </c>
      <c r="I2345" s="7" t="str">
        <f t="shared" si="144"/>
        <v>61001003000</v>
      </c>
      <c r="J2345" s="7" t="str">
        <f t="shared" si="145"/>
        <v>Смешанные по допущению</v>
      </c>
      <c r="K2345" s="7">
        <f>VLOOKUP(J2345,Лист2!A$2:B$4,2,FALSE)</f>
        <v>793</v>
      </c>
      <c r="L2345" s="7" t="str">
        <f t="shared" si="146"/>
        <v>ГОТОВ_ИЗМЕНЕН</v>
      </c>
      <c r="M2345" s="7">
        <f t="shared" si="147"/>
        <v>0</v>
      </c>
    </row>
    <row r="2346" spans="1:13" x14ac:dyDescent="0.25">
      <c r="A2346" s="1">
        <v>945093</v>
      </c>
      <c r="B2346" s="6" t="s">
        <v>2469</v>
      </c>
      <c r="F2346" s="6" t="s">
        <v>9</v>
      </c>
      <c r="G2346" s="6" t="s">
        <v>10</v>
      </c>
      <c r="H2346" s="9" t="s">
        <v>11</v>
      </c>
      <c r="I2346" s="7" t="str">
        <f t="shared" si="144"/>
        <v>61001003000</v>
      </c>
      <c r="J2346" s="7" t="str">
        <f t="shared" si="145"/>
        <v>Материал по ЕГРН</v>
      </c>
      <c r="K2346" s="7">
        <f>VLOOKUP(J2346,Лист2!A$2:B$4,2,FALSE)</f>
        <v>792</v>
      </c>
      <c r="L2346" s="7" t="str">
        <f t="shared" si="146"/>
        <v>ГОТОВ_ИЗМЕНЕН</v>
      </c>
      <c r="M2346" s="7">
        <f t="shared" si="147"/>
        <v>0</v>
      </c>
    </row>
    <row r="2347" spans="1:13" x14ac:dyDescent="0.25">
      <c r="A2347" s="1">
        <v>945105</v>
      </c>
      <c r="B2347" s="6" t="s">
        <v>2470</v>
      </c>
      <c r="F2347" s="6" t="s">
        <v>9</v>
      </c>
      <c r="G2347" s="6" t="s">
        <v>34</v>
      </c>
      <c r="H2347" s="9" t="s">
        <v>35</v>
      </c>
      <c r="I2347" s="7" t="str">
        <f t="shared" si="144"/>
        <v>61001002000</v>
      </c>
      <c r="J2347" s="7" t="str">
        <f t="shared" si="145"/>
        <v>Материал по ЕГРН</v>
      </c>
      <c r="K2347" s="7">
        <f>VLOOKUP(J2347,Лист2!A$2:B$4,2,FALSE)</f>
        <v>792</v>
      </c>
      <c r="L2347" s="7" t="str">
        <f t="shared" si="146"/>
        <v>ГОТОВ_ИЗМЕНЕН</v>
      </c>
      <c r="M2347" s="7">
        <f t="shared" si="147"/>
        <v>0</v>
      </c>
    </row>
    <row r="2348" spans="1:13" x14ac:dyDescent="0.25">
      <c r="A2348" s="1">
        <v>945117</v>
      </c>
      <c r="B2348" s="6" t="s">
        <v>2471</v>
      </c>
      <c r="F2348" s="6" t="s">
        <v>9</v>
      </c>
      <c r="G2348" s="6" t="s">
        <v>62</v>
      </c>
      <c r="H2348" s="9" t="s">
        <v>63</v>
      </c>
      <c r="I2348" s="7" t="str">
        <f t="shared" si="144"/>
        <v>61001006002</v>
      </c>
      <c r="J2348" s="7" t="str">
        <f t="shared" si="145"/>
        <v>Материал по ЕГРН</v>
      </c>
      <c r="K2348" s="7">
        <f>VLOOKUP(J2348,Лист2!A$2:B$4,2,FALSE)</f>
        <v>792</v>
      </c>
      <c r="L2348" s="7" t="str">
        <f t="shared" si="146"/>
        <v>ГОТОВ_ИЗМЕНЕН</v>
      </c>
      <c r="M2348" s="7">
        <f t="shared" si="147"/>
        <v>0</v>
      </c>
    </row>
    <row r="2349" spans="1:13" x14ac:dyDescent="0.25">
      <c r="A2349" s="1">
        <v>945129</v>
      </c>
      <c r="B2349" s="6" t="s">
        <v>2472</v>
      </c>
      <c r="F2349" s="6" t="s">
        <v>9</v>
      </c>
      <c r="G2349" s="6" t="s">
        <v>10</v>
      </c>
      <c r="H2349" s="9" t="s">
        <v>11</v>
      </c>
      <c r="I2349" s="7" t="str">
        <f t="shared" si="144"/>
        <v>61001003000</v>
      </c>
      <c r="J2349" s="7" t="str">
        <f t="shared" si="145"/>
        <v>Материал по ЕГРН</v>
      </c>
      <c r="K2349" s="7">
        <f>VLOOKUP(J2349,Лист2!A$2:B$4,2,FALSE)</f>
        <v>792</v>
      </c>
      <c r="L2349" s="7" t="str">
        <f t="shared" si="146"/>
        <v>ГОТОВ_ИЗМЕНЕН</v>
      </c>
      <c r="M2349" s="7">
        <f t="shared" si="147"/>
        <v>0</v>
      </c>
    </row>
    <row r="2350" spans="1:13" x14ac:dyDescent="0.25">
      <c r="A2350" s="1">
        <v>945141</v>
      </c>
      <c r="B2350" s="6" t="s">
        <v>2473</v>
      </c>
      <c r="F2350" s="6" t="s">
        <v>9</v>
      </c>
      <c r="G2350" s="6" t="s">
        <v>149</v>
      </c>
      <c r="H2350" s="9" t="s">
        <v>150</v>
      </c>
      <c r="I2350" s="7" t="str">
        <f t="shared" si="144"/>
        <v>61001007000</v>
      </c>
      <c r="J2350" s="7" t="str">
        <f t="shared" si="145"/>
        <v>Материал по ЕГРН</v>
      </c>
      <c r="K2350" s="7">
        <f>VLOOKUP(J2350,Лист2!A$2:B$4,2,FALSE)</f>
        <v>792</v>
      </c>
      <c r="L2350" s="7" t="str">
        <f t="shared" si="146"/>
        <v>ГОТОВ_ИЗМЕНЕН</v>
      </c>
      <c r="M2350" s="7">
        <f t="shared" si="147"/>
        <v>0</v>
      </c>
    </row>
    <row r="2351" spans="1:13" x14ac:dyDescent="0.25">
      <c r="A2351" s="1">
        <v>945153</v>
      </c>
      <c r="B2351" s="6" t="s">
        <v>2474</v>
      </c>
      <c r="F2351" s="6" t="s">
        <v>9</v>
      </c>
      <c r="G2351" s="6" t="s">
        <v>10</v>
      </c>
      <c r="H2351" s="9" t="s">
        <v>11</v>
      </c>
      <c r="I2351" s="7" t="str">
        <f t="shared" si="144"/>
        <v>61001003000</v>
      </c>
      <c r="J2351" s="7" t="str">
        <f t="shared" si="145"/>
        <v>Материал по ЕГРН</v>
      </c>
      <c r="K2351" s="7">
        <f>VLOOKUP(J2351,Лист2!A$2:B$4,2,FALSE)</f>
        <v>792</v>
      </c>
      <c r="L2351" s="7" t="str">
        <f t="shared" si="146"/>
        <v>ГОТОВ_ИЗМЕНЕН</v>
      </c>
      <c r="M2351" s="7">
        <f t="shared" si="147"/>
        <v>0</v>
      </c>
    </row>
    <row r="2352" spans="1:13" x14ac:dyDescent="0.25">
      <c r="A2352" s="1">
        <v>945165</v>
      </c>
      <c r="B2352" s="6" t="s">
        <v>2475</v>
      </c>
      <c r="F2352" s="6" t="s">
        <v>9</v>
      </c>
      <c r="G2352" s="6" t="s">
        <v>62</v>
      </c>
      <c r="H2352" s="9" t="s">
        <v>63</v>
      </c>
      <c r="I2352" s="7" t="str">
        <f t="shared" si="144"/>
        <v>61001006002</v>
      </c>
      <c r="J2352" s="7" t="str">
        <f t="shared" si="145"/>
        <v>Материал по ЕГРН</v>
      </c>
      <c r="K2352" s="7">
        <f>VLOOKUP(J2352,Лист2!A$2:B$4,2,FALSE)</f>
        <v>792</v>
      </c>
      <c r="L2352" s="7" t="str">
        <f t="shared" si="146"/>
        <v>ГОТОВ_ИЗМЕНЕН</v>
      </c>
      <c r="M2352" s="7">
        <f t="shared" si="147"/>
        <v>0</v>
      </c>
    </row>
    <row r="2353" spans="1:13" x14ac:dyDescent="0.25">
      <c r="A2353" s="1">
        <v>945177</v>
      </c>
      <c r="B2353" s="6" t="s">
        <v>2476</v>
      </c>
      <c r="F2353" s="6" t="s">
        <v>9</v>
      </c>
      <c r="G2353" s="6" t="s">
        <v>38</v>
      </c>
      <c r="H2353" s="9" t="s">
        <v>33</v>
      </c>
      <c r="I2353" s="7" t="str">
        <f t="shared" si="144"/>
        <v>61001005000</v>
      </c>
      <c r="J2353" s="7" t="str">
        <f t="shared" si="145"/>
        <v>Материал по ЕГРН</v>
      </c>
      <c r="K2353" s="7">
        <f>VLOOKUP(J2353,Лист2!A$2:B$4,2,FALSE)</f>
        <v>792</v>
      </c>
      <c r="L2353" s="7" t="str">
        <f t="shared" si="146"/>
        <v>ГОТОВ_ИЗМЕНЕН</v>
      </c>
      <c r="M2353" s="7">
        <f t="shared" si="147"/>
        <v>0</v>
      </c>
    </row>
    <row r="2354" spans="1:13" x14ac:dyDescent="0.25">
      <c r="A2354" s="1">
        <v>945189</v>
      </c>
      <c r="B2354" s="6" t="s">
        <v>2477</v>
      </c>
      <c r="F2354" s="6" t="s">
        <v>9</v>
      </c>
      <c r="G2354" s="6" t="s">
        <v>38</v>
      </c>
      <c r="H2354" s="9" t="s">
        <v>33</v>
      </c>
      <c r="I2354" s="7" t="str">
        <f t="shared" si="144"/>
        <v>61001005000</v>
      </c>
      <c r="J2354" s="7" t="str">
        <f t="shared" si="145"/>
        <v>Материал по ЕГРН</v>
      </c>
      <c r="K2354" s="7">
        <f>VLOOKUP(J2354,Лист2!A$2:B$4,2,FALSE)</f>
        <v>792</v>
      </c>
      <c r="L2354" s="7" t="str">
        <f t="shared" si="146"/>
        <v>ГОТОВ_ИЗМЕНЕН</v>
      </c>
      <c r="M2354" s="7">
        <f t="shared" si="147"/>
        <v>0</v>
      </c>
    </row>
    <row r="2355" spans="1:13" x14ac:dyDescent="0.25">
      <c r="A2355" s="1">
        <v>317925</v>
      </c>
      <c r="B2355" s="6" t="s">
        <v>2478</v>
      </c>
      <c r="C2355" s="9" t="s">
        <v>126</v>
      </c>
      <c r="D2355" s="6" t="s">
        <v>20</v>
      </c>
      <c r="E2355" s="6" t="s">
        <v>37</v>
      </c>
      <c r="F2355" s="6" t="s">
        <v>9</v>
      </c>
      <c r="G2355" s="6" t="s">
        <v>125</v>
      </c>
      <c r="H2355" s="9" t="s">
        <v>126</v>
      </c>
      <c r="I2355" s="7" t="str">
        <f t="shared" si="144"/>
        <v>61001007004</v>
      </c>
      <c r="J2355" s="7" t="str">
        <f t="shared" si="145"/>
        <v>Материал по ЕГРН</v>
      </c>
      <c r="K2355" s="7">
        <f>VLOOKUP(J2355,Лист2!A$2:B$4,2,FALSE)</f>
        <v>792</v>
      </c>
      <c r="L2355" s="7" t="str">
        <f t="shared" si="146"/>
        <v>ГОТОВ</v>
      </c>
      <c r="M2355" s="7" t="str">
        <f t="shared" si="147"/>
        <v>61001007004</v>
      </c>
    </row>
    <row r="2356" spans="1:13" x14ac:dyDescent="0.25">
      <c r="A2356" s="1">
        <v>517516</v>
      </c>
      <c r="B2356" s="6" t="s">
        <v>2479</v>
      </c>
      <c r="C2356" s="9" t="s">
        <v>35</v>
      </c>
      <c r="D2356" s="6" t="s">
        <v>20</v>
      </c>
      <c r="E2356" s="6" t="s">
        <v>37</v>
      </c>
      <c r="F2356" s="6" t="s">
        <v>9</v>
      </c>
      <c r="G2356" s="6" t="s">
        <v>34</v>
      </c>
      <c r="H2356" s="9" t="s">
        <v>35</v>
      </c>
      <c r="I2356" s="7" t="str">
        <f t="shared" si="144"/>
        <v>61001002000</v>
      </c>
      <c r="J2356" s="7" t="str">
        <f t="shared" si="145"/>
        <v>Материал по ЕГРН</v>
      </c>
      <c r="K2356" s="7">
        <f>VLOOKUP(J2356,Лист2!A$2:B$4,2,FALSE)</f>
        <v>792</v>
      </c>
      <c r="L2356" s="7" t="str">
        <f t="shared" si="146"/>
        <v>ГОТОВ</v>
      </c>
      <c r="M2356" s="7" t="str">
        <f t="shared" si="147"/>
        <v>61001002000</v>
      </c>
    </row>
    <row r="2357" spans="1:13" x14ac:dyDescent="0.25">
      <c r="A2357" s="1">
        <v>812964</v>
      </c>
      <c r="B2357" s="6" t="s">
        <v>2480</v>
      </c>
      <c r="C2357" s="9" t="s">
        <v>33</v>
      </c>
      <c r="D2357" s="6" t="s">
        <v>20</v>
      </c>
      <c r="E2357" s="6" t="s">
        <v>37</v>
      </c>
      <c r="F2357" s="6" t="s">
        <v>9</v>
      </c>
      <c r="G2357" s="6" t="s">
        <v>38</v>
      </c>
      <c r="H2357" s="9" t="s">
        <v>33</v>
      </c>
      <c r="I2357" s="7" t="str">
        <f t="shared" si="144"/>
        <v>61001005000</v>
      </c>
      <c r="J2357" s="7" t="str">
        <f t="shared" si="145"/>
        <v>Материал по ЕГРН</v>
      </c>
      <c r="K2357" s="7">
        <f>VLOOKUP(J2357,Лист2!A$2:B$4,2,FALSE)</f>
        <v>792</v>
      </c>
      <c r="L2357" s="7" t="str">
        <f t="shared" si="146"/>
        <v>ГОТОВ</v>
      </c>
      <c r="M2357" s="7" t="str">
        <f t="shared" si="147"/>
        <v>61001005000</v>
      </c>
    </row>
    <row r="2358" spans="1:13" x14ac:dyDescent="0.25">
      <c r="A2358" s="1">
        <v>945204</v>
      </c>
      <c r="B2358" s="6" t="s">
        <v>2481</v>
      </c>
      <c r="F2358" s="6" t="s">
        <v>9</v>
      </c>
      <c r="G2358" s="6" t="s">
        <v>10</v>
      </c>
      <c r="H2358" s="9" t="s">
        <v>11</v>
      </c>
      <c r="I2358" s="7" t="str">
        <f t="shared" si="144"/>
        <v>61001003000</v>
      </c>
      <c r="J2358" s="7" t="str">
        <f t="shared" si="145"/>
        <v>Материал по ЕГРН</v>
      </c>
      <c r="K2358" s="7">
        <f>VLOOKUP(J2358,Лист2!A$2:B$4,2,FALSE)</f>
        <v>792</v>
      </c>
      <c r="L2358" s="7" t="str">
        <f t="shared" si="146"/>
        <v>ГОТОВ_ИЗМЕНЕН</v>
      </c>
      <c r="M2358" s="7">
        <f t="shared" si="147"/>
        <v>0</v>
      </c>
    </row>
    <row r="2359" spans="1:13" x14ac:dyDescent="0.25">
      <c r="A2359" s="1">
        <v>945216</v>
      </c>
      <c r="B2359" s="6" t="s">
        <v>2482</v>
      </c>
      <c r="F2359" s="6" t="s">
        <v>9</v>
      </c>
      <c r="G2359" s="6" t="s">
        <v>34</v>
      </c>
      <c r="H2359" s="9" t="s">
        <v>35</v>
      </c>
      <c r="I2359" s="7" t="str">
        <f t="shared" si="144"/>
        <v>61001002000</v>
      </c>
      <c r="J2359" s="7" t="str">
        <f t="shared" si="145"/>
        <v>Материал по ЕГРН</v>
      </c>
      <c r="K2359" s="7">
        <f>VLOOKUP(J2359,Лист2!A$2:B$4,2,FALSE)</f>
        <v>792</v>
      </c>
      <c r="L2359" s="7" t="str">
        <f t="shared" si="146"/>
        <v>ГОТОВ_ИЗМЕНЕН</v>
      </c>
      <c r="M2359" s="7">
        <f t="shared" si="147"/>
        <v>0</v>
      </c>
    </row>
    <row r="2360" spans="1:13" x14ac:dyDescent="0.25">
      <c r="A2360" s="1">
        <v>945228</v>
      </c>
      <c r="B2360" s="6" t="s">
        <v>2483</v>
      </c>
      <c r="F2360" s="6" t="s">
        <v>9</v>
      </c>
      <c r="G2360" s="6" t="s">
        <v>38</v>
      </c>
      <c r="H2360" s="9" t="s">
        <v>33</v>
      </c>
      <c r="I2360" s="7" t="str">
        <f t="shared" si="144"/>
        <v>61001005000</v>
      </c>
      <c r="J2360" s="7" t="str">
        <f t="shared" si="145"/>
        <v>Материал по ЕГРН</v>
      </c>
      <c r="K2360" s="7">
        <f>VLOOKUP(J2360,Лист2!A$2:B$4,2,FALSE)</f>
        <v>792</v>
      </c>
      <c r="L2360" s="7" t="str">
        <f t="shared" si="146"/>
        <v>ГОТОВ_ИЗМЕНЕН</v>
      </c>
      <c r="M2360" s="7">
        <f t="shared" si="147"/>
        <v>0</v>
      </c>
    </row>
    <row r="2361" spans="1:13" x14ac:dyDescent="0.25">
      <c r="A2361" s="1">
        <v>945240</v>
      </c>
      <c r="B2361" s="6" t="s">
        <v>2484</v>
      </c>
      <c r="F2361" s="6" t="s">
        <v>9</v>
      </c>
      <c r="G2361" s="6" t="s">
        <v>62</v>
      </c>
      <c r="H2361" s="9" t="s">
        <v>63</v>
      </c>
      <c r="I2361" s="7" t="str">
        <f t="shared" si="144"/>
        <v>61001006002</v>
      </c>
      <c r="J2361" s="7" t="str">
        <f t="shared" si="145"/>
        <v>Материал по ЕГРН</v>
      </c>
      <c r="K2361" s="7">
        <f>VLOOKUP(J2361,Лист2!A$2:B$4,2,FALSE)</f>
        <v>792</v>
      </c>
      <c r="L2361" s="7" t="str">
        <f t="shared" si="146"/>
        <v>ГОТОВ_ИЗМЕНЕН</v>
      </c>
      <c r="M2361" s="7">
        <f t="shared" si="147"/>
        <v>0</v>
      </c>
    </row>
    <row r="2362" spans="1:13" x14ac:dyDescent="0.25">
      <c r="A2362" s="1">
        <v>945252</v>
      </c>
      <c r="B2362" s="6" t="s">
        <v>2485</v>
      </c>
      <c r="F2362" s="6" t="s">
        <v>9</v>
      </c>
      <c r="G2362" s="6" t="s">
        <v>38</v>
      </c>
      <c r="H2362" s="9" t="s">
        <v>33</v>
      </c>
      <c r="I2362" s="7" t="str">
        <f t="shared" si="144"/>
        <v>61001005000</v>
      </c>
      <c r="J2362" s="7" t="str">
        <f t="shared" si="145"/>
        <v>Материал по ЕГРН</v>
      </c>
      <c r="K2362" s="7">
        <f>VLOOKUP(J2362,Лист2!A$2:B$4,2,FALSE)</f>
        <v>792</v>
      </c>
      <c r="L2362" s="7" t="str">
        <f t="shared" si="146"/>
        <v>ГОТОВ_ИЗМЕНЕН</v>
      </c>
      <c r="M2362" s="7">
        <f t="shared" si="147"/>
        <v>0</v>
      </c>
    </row>
    <row r="2363" spans="1:13" x14ac:dyDescent="0.25">
      <c r="A2363" s="1">
        <v>945264</v>
      </c>
      <c r="B2363" s="6" t="s">
        <v>2486</v>
      </c>
      <c r="F2363" s="6" t="s">
        <v>9</v>
      </c>
      <c r="G2363" s="6" t="s">
        <v>34</v>
      </c>
      <c r="H2363" s="9" t="s">
        <v>35</v>
      </c>
      <c r="I2363" s="7" t="str">
        <f t="shared" si="144"/>
        <v>61001002000</v>
      </c>
      <c r="J2363" s="7" t="str">
        <f t="shared" si="145"/>
        <v>Материал по ЕГРН</v>
      </c>
      <c r="K2363" s="7">
        <f>VLOOKUP(J2363,Лист2!A$2:B$4,2,FALSE)</f>
        <v>792</v>
      </c>
      <c r="L2363" s="7" t="str">
        <f t="shared" si="146"/>
        <v>ГОТОВ_ИЗМЕНЕН</v>
      </c>
      <c r="M2363" s="7">
        <f t="shared" si="147"/>
        <v>0</v>
      </c>
    </row>
    <row r="2364" spans="1:13" x14ac:dyDescent="0.25">
      <c r="A2364" s="1">
        <v>945276</v>
      </c>
      <c r="B2364" s="6" t="s">
        <v>2487</v>
      </c>
      <c r="F2364" s="6" t="s">
        <v>9</v>
      </c>
      <c r="G2364" s="6" t="s">
        <v>38</v>
      </c>
      <c r="H2364" s="9" t="s">
        <v>33</v>
      </c>
      <c r="I2364" s="7" t="str">
        <f t="shared" si="144"/>
        <v>61001005000</v>
      </c>
      <c r="J2364" s="7" t="str">
        <f t="shared" si="145"/>
        <v>Материал по ЕГРН</v>
      </c>
      <c r="K2364" s="7">
        <f>VLOOKUP(J2364,Лист2!A$2:B$4,2,FALSE)</f>
        <v>792</v>
      </c>
      <c r="L2364" s="7" t="str">
        <f t="shared" si="146"/>
        <v>ГОТОВ_ИЗМЕНЕН</v>
      </c>
      <c r="M2364" s="7">
        <f t="shared" si="147"/>
        <v>0</v>
      </c>
    </row>
    <row r="2365" spans="1:13" x14ac:dyDescent="0.25">
      <c r="A2365" s="1">
        <v>945288</v>
      </c>
      <c r="B2365" s="6" t="s">
        <v>2488</v>
      </c>
      <c r="F2365" s="6" t="s">
        <v>9</v>
      </c>
      <c r="G2365" s="6" t="s">
        <v>73</v>
      </c>
      <c r="H2365" s="9" t="s">
        <v>74</v>
      </c>
      <c r="I2365" s="7" t="str">
        <f t="shared" si="144"/>
        <v>61001006000</v>
      </c>
      <c r="J2365" s="7" t="str">
        <f t="shared" si="145"/>
        <v>Материал по ЕГРН</v>
      </c>
      <c r="K2365" s="7">
        <f>VLOOKUP(J2365,Лист2!A$2:B$4,2,FALSE)</f>
        <v>792</v>
      </c>
      <c r="L2365" s="7" t="str">
        <f t="shared" si="146"/>
        <v>ГОТОВ_ИЗМЕНЕН</v>
      </c>
      <c r="M2365" s="7">
        <f t="shared" si="147"/>
        <v>0</v>
      </c>
    </row>
    <row r="2366" spans="1:13" x14ac:dyDescent="0.25">
      <c r="A2366" s="1">
        <v>945300</v>
      </c>
      <c r="B2366" s="6" t="s">
        <v>2489</v>
      </c>
      <c r="F2366" s="6" t="s">
        <v>9</v>
      </c>
      <c r="G2366" s="6" t="s">
        <v>34</v>
      </c>
      <c r="H2366" s="9" t="s">
        <v>35</v>
      </c>
      <c r="I2366" s="7" t="str">
        <f t="shared" si="144"/>
        <v>61001002000</v>
      </c>
      <c r="J2366" s="7" t="str">
        <f t="shared" si="145"/>
        <v>Материал по ЕГРН</v>
      </c>
      <c r="K2366" s="7">
        <f>VLOOKUP(J2366,Лист2!A$2:B$4,2,FALSE)</f>
        <v>792</v>
      </c>
      <c r="L2366" s="7" t="str">
        <f t="shared" si="146"/>
        <v>ГОТОВ_ИЗМЕНЕН</v>
      </c>
      <c r="M2366" s="7">
        <f t="shared" si="147"/>
        <v>0</v>
      </c>
    </row>
    <row r="2367" spans="1:13" x14ac:dyDescent="0.25">
      <c r="A2367" s="1">
        <v>945312</v>
      </c>
      <c r="B2367" s="6" t="s">
        <v>2490</v>
      </c>
      <c r="F2367" s="6" t="s">
        <v>9</v>
      </c>
      <c r="G2367" s="6" t="s">
        <v>38</v>
      </c>
      <c r="H2367" s="9" t="s">
        <v>33</v>
      </c>
      <c r="I2367" s="7" t="str">
        <f t="shared" si="144"/>
        <v>61001005000</v>
      </c>
      <c r="J2367" s="7" t="str">
        <f t="shared" si="145"/>
        <v>Материал по ЕГРН</v>
      </c>
      <c r="K2367" s="7">
        <f>VLOOKUP(J2367,Лист2!A$2:B$4,2,FALSE)</f>
        <v>792</v>
      </c>
      <c r="L2367" s="7" t="str">
        <f t="shared" si="146"/>
        <v>ГОТОВ_ИЗМЕНЕН</v>
      </c>
      <c r="M2367" s="7">
        <f t="shared" si="147"/>
        <v>0</v>
      </c>
    </row>
    <row r="2368" spans="1:13" x14ac:dyDescent="0.25">
      <c r="A2368" s="1">
        <v>945324</v>
      </c>
      <c r="B2368" s="6" t="s">
        <v>2491</v>
      </c>
      <c r="F2368" s="6" t="s">
        <v>9</v>
      </c>
      <c r="G2368" s="6" t="s">
        <v>170</v>
      </c>
      <c r="H2368" s="9" t="s">
        <v>171</v>
      </c>
      <c r="I2368" s="7" t="str">
        <f t="shared" si="144"/>
        <v>61001001000</v>
      </c>
      <c r="J2368" s="7" t="str">
        <f t="shared" si="145"/>
        <v>Материал по ЕГРН</v>
      </c>
      <c r="K2368" s="7">
        <f>VLOOKUP(J2368,Лист2!A$2:B$4,2,FALSE)</f>
        <v>792</v>
      </c>
      <c r="L2368" s="7" t="str">
        <f t="shared" si="146"/>
        <v>ГОТОВ_ИЗМЕНЕН</v>
      </c>
      <c r="M2368" s="7">
        <f t="shared" si="147"/>
        <v>0</v>
      </c>
    </row>
    <row r="2369" spans="1:13" x14ac:dyDescent="0.25">
      <c r="A2369" s="1">
        <v>945336</v>
      </c>
      <c r="B2369" s="6" t="s">
        <v>2492</v>
      </c>
      <c r="F2369" s="6" t="s">
        <v>9</v>
      </c>
      <c r="G2369" s="6" t="s">
        <v>34</v>
      </c>
      <c r="H2369" s="9" t="s">
        <v>35</v>
      </c>
      <c r="I2369" s="7" t="str">
        <f t="shared" si="144"/>
        <v>61001002000</v>
      </c>
      <c r="J2369" s="7" t="str">
        <f t="shared" si="145"/>
        <v>Материал по ЕГРН</v>
      </c>
      <c r="K2369" s="7">
        <f>VLOOKUP(J2369,Лист2!A$2:B$4,2,FALSE)</f>
        <v>792</v>
      </c>
      <c r="L2369" s="7" t="str">
        <f t="shared" si="146"/>
        <v>ГОТОВ_ИЗМЕНЕН</v>
      </c>
      <c r="M2369" s="7">
        <f t="shared" si="147"/>
        <v>0</v>
      </c>
    </row>
    <row r="2370" spans="1:13" x14ac:dyDescent="0.25">
      <c r="A2370" s="1">
        <v>945348</v>
      </c>
      <c r="B2370" s="6" t="s">
        <v>2493</v>
      </c>
      <c r="F2370" s="6" t="s">
        <v>9</v>
      </c>
      <c r="G2370" s="6" t="s">
        <v>38</v>
      </c>
      <c r="H2370" s="9" t="s">
        <v>33</v>
      </c>
      <c r="I2370" s="7" t="str">
        <f t="shared" si="144"/>
        <v>61001005000</v>
      </c>
      <c r="J2370" s="7" t="str">
        <f t="shared" si="145"/>
        <v>Материал по ЕГРН</v>
      </c>
      <c r="K2370" s="7">
        <f>VLOOKUP(J2370,Лист2!A$2:B$4,2,FALSE)</f>
        <v>792</v>
      </c>
      <c r="L2370" s="7" t="str">
        <f t="shared" si="146"/>
        <v>ГОТОВ_ИЗМЕНЕН</v>
      </c>
      <c r="M2370" s="7">
        <f t="shared" si="147"/>
        <v>0</v>
      </c>
    </row>
    <row r="2371" spans="1:13" x14ac:dyDescent="0.25">
      <c r="A2371" s="1">
        <v>945360</v>
      </c>
      <c r="B2371" s="6" t="s">
        <v>2494</v>
      </c>
      <c r="F2371" s="6" t="s">
        <v>9</v>
      </c>
      <c r="G2371" s="6" t="s">
        <v>34</v>
      </c>
      <c r="H2371" s="9" t="s">
        <v>35</v>
      </c>
      <c r="I2371" s="7" t="str">
        <f t="shared" si="144"/>
        <v>61001002000</v>
      </c>
      <c r="J2371" s="7" t="str">
        <f t="shared" si="145"/>
        <v>Материал по ЕГРН</v>
      </c>
      <c r="K2371" s="7">
        <f>VLOOKUP(J2371,Лист2!A$2:B$4,2,FALSE)</f>
        <v>792</v>
      </c>
      <c r="L2371" s="7" t="str">
        <f t="shared" si="146"/>
        <v>ГОТОВ_ИЗМЕНЕН</v>
      </c>
      <c r="M2371" s="7">
        <f t="shared" si="147"/>
        <v>0</v>
      </c>
    </row>
    <row r="2372" spans="1:13" x14ac:dyDescent="0.25">
      <c r="A2372" s="1">
        <v>945372</v>
      </c>
      <c r="B2372" s="6" t="s">
        <v>2495</v>
      </c>
      <c r="F2372" s="6" t="s">
        <v>9</v>
      </c>
      <c r="G2372" s="6" t="s">
        <v>10</v>
      </c>
      <c r="H2372" s="9" t="s">
        <v>11</v>
      </c>
      <c r="I2372" s="7" t="str">
        <f t="shared" si="144"/>
        <v>61001003000</v>
      </c>
      <c r="J2372" s="7" t="str">
        <f t="shared" si="145"/>
        <v>Материал по ЕГРН</v>
      </c>
      <c r="K2372" s="7">
        <f>VLOOKUP(J2372,Лист2!A$2:B$4,2,FALSE)</f>
        <v>792</v>
      </c>
      <c r="L2372" s="7" t="str">
        <f t="shared" si="146"/>
        <v>ГОТОВ_ИЗМЕНЕН</v>
      </c>
      <c r="M2372" s="7">
        <f t="shared" si="147"/>
        <v>0</v>
      </c>
    </row>
    <row r="2373" spans="1:13" x14ac:dyDescent="0.25">
      <c r="A2373" s="1">
        <v>945384</v>
      </c>
      <c r="B2373" s="6" t="s">
        <v>2496</v>
      </c>
      <c r="F2373" s="6" t="s">
        <v>9</v>
      </c>
      <c r="G2373" s="6" t="s">
        <v>170</v>
      </c>
      <c r="H2373" s="9" t="s">
        <v>171</v>
      </c>
      <c r="I2373" s="7" t="str">
        <f t="shared" ref="I2373:I2436" si="148">IF(LEN(H2373)=11,H2373,IF(LEN(H2373)=0,"61001005000","61001003000"))</f>
        <v>61001001000</v>
      </c>
      <c r="J2373" s="7" t="str">
        <f t="shared" ref="J2373:J2436" si="149">IF(LEN(H2373)=11,"Материал по ЕГРН",IF(LEN(H2373)=0,"Прочие по допущению","Смешанные по допущению"))</f>
        <v>Материал по ЕГРН</v>
      </c>
      <c r="K2373" s="7">
        <f>VLOOKUP(J2373,Лист2!A$2:B$4,2,FALSE)</f>
        <v>792</v>
      </c>
      <c r="L2373" s="7" t="str">
        <f t="shared" ref="L2373:L2436" si="150">IF(I2373=C2373,"ГОТОВ","ГОТОВ_ИЗМЕНЕН")</f>
        <v>ГОТОВ_ИЗМЕНЕН</v>
      </c>
      <c r="M2373" s="7">
        <f t="shared" ref="M2373:M2436" si="151">C2373</f>
        <v>0</v>
      </c>
    </row>
    <row r="2374" spans="1:13" x14ac:dyDescent="0.25">
      <c r="A2374" s="1">
        <v>945396</v>
      </c>
      <c r="B2374" s="6" t="s">
        <v>2497</v>
      </c>
      <c r="F2374" s="6" t="s">
        <v>9</v>
      </c>
      <c r="G2374" s="6" t="s">
        <v>59</v>
      </c>
      <c r="H2374" s="9" t="s">
        <v>60</v>
      </c>
      <c r="I2374" s="7" t="str">
        <f t="shared" si="148"/>
        <v>61001001001</v>
      </c>
      <c r="J2374" s="7" t="str">
        <f t="shared" si="149"/>
        <v>Материал по ЕГРН</v>
      </c>
      <c r="K2374" s="7">
        <f>VLOOKUP(J2374,Лист2!A$2:B$4,2,FALSE)</f>
        <v>792</v>
      </c>
      <c r="L2374" s="7" t="str">
        <f t="shared" si="150"/>
        <v>ГОТОВ_ИЗМЕНЕН</v>
      </c>
      <c r="M2374" s="7">
        <f t="shared" si="151"/>
        <v>0</v>
      </c>
    </row>
    <row r="2375" spans="1:13" x14ac:dyDescent="0.25">
      <c r="A2375" s="1">
        <v>945408</v>
      </c>
      <c r="B2375" s="6" t="s">
        <v>2498</v>
      </c>
      <c r="F2375" s="6" t="s">
        <v>9</v>
      </c>
      <c r="G2375" s="6" t="s">
        <v>59</v>
      </c>
      <c r="H2375" s="9" t="s">
        <v>60</v>
      </c>
      <c r="I2375" s="7" t="str">
        <f t="shared" si="148"/>
        <v>61001001001</v>
      </c>
      <c r="J2375" s="7" t="str">
        <f t="shared" si="149"/>
        <v>Материал по ЕГРН</v>
      </c>
      <c r="K2375" s="7">
        <f>VLOOKUP(J2375,Лист2!A$2:B$4,2,FALSE)</f>
        <v>792</v>
      </c>
      <c r="L2375" s="7" t="str">
        <f t="shared" si="150"/>
        <v>ГОТОВ_ИЗМЕНЕН</v>
      </c>
      <c r="M2375" s="7">
        <f t="shared" si="151"/>
        <v>0</v>
      </c>
    </row>
    <row r="2376" spans="1:13" x14ac:dyDescent="0.25">
      <c r="A2376" s="1">
        <v>945420</v>
      </c>
      <c r="B2376" s="6" t="s">
        <v>2499</v>
      </c>
      <c r="F2376" s="6" t="s">
        <v>9</v>
      </c>
      <c r="G2376" s="6" t="s">
        <v>38</v>
      </c>
      <c r="H2376" s="9" t="s">
        <v>33</v>
      </c>
      <c r="I2376" s="7" t="str">
        <f t="shared" si="148"/>
        <v>61001005000</v>
      </c>
      <c r="J2376" s="7" t="str">
        <f t="shared" si="149"/>
        <v>Материал по ЕГРН</v>
      </c>
      <c r="K2376" s="7">
        <f>VLOOKUP(J2376,Лист2!A$2:B$4,2,FALSE)</f>
        <v>792</v>
      </c>
      <c r="L2376" s="7" t="str">
        <f t="shared" si="150"/>
        <v>ГОТОВ_ИЗМЕНЕН</v>
      </c>
      <c r="M2376" s="7">
        <f t="shared" si="151"/>
        <v>0</v>
      </c>
    </row>
    <row r="2377" spans="1:13" x14ac:dyDescent="0.25">
      <c r="A2377" s="1">
        <v>945432</v>
      </c>
      <c r="B2377" s="6" t="s">
        <v>2500</v>
      </c>
      <c r="F2377" s="6" t="s">
        <v>9</v>
      </c>
      <c r="G2377" s="6" t="s">
        <v>62</v>
      </c>
      <c r="H2377" s="9" t="s">
        <v>63</v>
      </c>
      <c r="I2377" s="7" t="str">
        <f t="shared" si="148"/>
        <v>61001006002</v>
      </c>
      <c r="J2377" s="7" t="str">
        <f t="shared" si="149"/>
        <v>Материал по ЕГРН</v>
      </c>
      <c r="K2377" s="7">
        <f>VLOOKUP(J2377,Лист2!A$2:B$4,2,FALSE)</f>
        <v>792</v>
      </c>
      <c r="L2377" s="7" t="str">
        <f t="shared" si="150"/>
        <v>ГОТОВ_ИЗМЕНЕН</v>
      </c>
      <c r="M2377" s="7">
        <f t="shared" si="151"/>
        <v>0</v>
      </c>
    </row>
    <row r="2378" spans="1:13" x14ac:dyDescent="0.25">
      <c r="A2378" s="1">
        <v>945444</v>
      </c>
      <c r="B2378" s="6" t="s">
        <v>2501</v>
      </c>
      <c r="F2378" s="6" t="s">
        <v>9</v>
      </c>
      <c r="G2378" s="6" t="s">
        <v>10</v>
      </c>
      <c r="H2378" s="9" t="s">
        <v>11</v>
      </c>
      <c r="I2378" s="7" t="str">
        <f t="shared" si="148"/>
        <v>61001003000</v>
      </c>
      <c r="J2378" s="7" t="str">
        <f t="shared" si="149"/>
        <v>Материал по ЕГРН</v>
      </c>
      <c r="K2378" s="7">
        <f>VLOOKUP(J2378,Лист2!A$2:B$4,2,FALSE)</f>
        <v>792</v>
      </c>
      <c r="L2378" s="7" t="str">
        <f t="shared" si="150"/>
        <v>ГОТОВ_ИЗМЕНЕН</v>
      </c>
      <c r="M2378" s="7">
        <f t="shared" si="151"/>
        <v>0</v>
      </c>
    </row>
    <row r="2379" spans="1:13" x14ac:dyDescent="0.25">
      <c r="A2379" s="1">
        <v>945456</v>
      </c>
      <c r="B2379" s="6" t="s">
        <v>2502</v>
      </c>
      <c r="F2379" s="6" t="s">
        <v>9</v>
      </c>
      <c r="G2379" s="6" t="s">
        <v>38</v>
      </c>
      <c r="H2379" s="9" t="s">
        <v>33</v>
      </c>
      <c r="I2379" s="7" t="str">
        <f t="shared" si="148"/>
        <v>61001005000</v>
      </c>
      <c r="J2379" s="7" t="str">
        <f t="shared" si="149"/>
        <v>Материал по ЕГРН</v>
      </c>
      <c r="K2379" s="7">
        <f>VLOOKUP(J2379,Лист2!A$2:B$4,2,FALSE)</f>
        <v>792</v>
      </c>
      <c r="L2379" s="7" t="str">
        <f t="shared" si="150"/>
        <v>ГОТОВ_ИЗМЕНЕН</v>
      </c>
      <c r="M2379" s="7">
        <f t="shared" si="151"/>
        <v>0</v>
      </c>
    </row>
    <row r="2380" spans="1:13" x14ac:dyDescent="0.25">
      <c r="A2380" s="1">
        <v>945468</v>
      </c>
      <c r="B2380" s="6" t="s">
        <v>2503</v>
      </c>
      <c r="F2380" s="6" t="s">
        <v>9</v>
      </c>
      <c r="G2380" s="6" t="s">
        <v>38</v>
      </c>
      <c r="H2380" s="9" t="s">
        <v>33</v>
      </c>
      <c r="I2380" s="7" t="str">
        <f t="shared" si="148"/>
        <v>61001005000</v>
      </c>
      <c r="J2380" s="7" t="str">
        <f t="shared" si="149"/>
        <v>Материал по ЕГРН</v>
      </c>
      <c r="K2380" s="7">
        <f>VLOOKUP(J2380,Лист2!A$2:B$4,2,FALSE)</f>
        <v>792</v>
      </c>
      <c r="L2380" s="7" t="str">
        <f t="shared" si="150"/>
        <v>ГОТОВ_ИЗМЕНЕН</v>
      </c>
      <c r="M2380" s="7">
        <f t="shared" si="151"/>
        <v>0</v>
      </c>
    </row>
    <row r="2381" spans="1:13" x14ac:dyDescent="0.25">
      <c r="A2381" s="1">
        <v>945480</v>
      </c>
      <c r="B2381" s="6" t="s">
        <v>2504</v>
      </c>
      <c r="F2381" s="6" t="s">
        <v>9</v>
      </c>
      <c r="G2381" s="6" t="s">
        <v>38</v>
      </c>
      <c r="H2381" s="9" t="s">
        <v>33</v>
      </c>
      <c r="I2381" s="7" t="str">
        <f t="shared" si="148"/>
        <v>61001005000</v>
      </c>
      <c r="J2381" s="7" t="str">
        <f t="shared" si="149"/>
        <v>Материал по ЕГРН</v>
      </c>
      <c r="K2381" s="7">
        <f>VLOOKUP(J2381,Лист2!A$2:B$4,2,FALSE)</f>
        <v>792</v>
      </c>
      <c r="L2381" s="7" t="str">
        <f t="shared" si="150"/>
        <v>ГОТОВ_ИЗМЕНЕН</v>
      </c>
      <c r="M2381" s="7">
        <f t="shared" si="151"/>
        <v>0</v>
      </c>
    </row>
    <row r="2382" spans="1:13" x14ac:dyDescent="0.25">
      <c r="A2382" s="1">
        <v>945492</v>
      </c>
      <c r="B2382" s="6" t="s">
        <v>2505</v>
      </c>
      <c r="F2382" s="6" t="s">
        <v>9</v>
      </c>
      <c r="G2382" s="6" t="s">
        <v>34</v>
      </c>
      <c r="H2382" s="9" t="s">
        <v>35</v>
      </c>
      <c r="I2382" s="7" t="str">
        <f t="shared" si="148"/>
        <v>61001002000</v>
      </c>
      <c r="J2382" s="7" t="str">
        <f t="shared" si="149"/>
        <v>Материал по ЕГРН</v>
      </c>
      <c r="K2382" s="7">
        <f>VLOOKUP(J2382,Лист2!A$2:B$4,2,FALSE)</f>
        <v>792</v>
      </c>
      <c r="L2382" s="7" t="str">
        <f t="shared" si="150"/>
        <v>ГОТОВ_ИЗМЕНЕН</v>
      </c>
      <c r="M2382" s="7">
        <f t="shared" si="151"/>
        <v>0</v>
      </c>
    </row>
    <row r="2383" spans="1:13" x14ac:dyDescent="0.25">
      <c r="A2383" s="1">
        <v>209396</v>
      </c>
      <c r="B2383" s="6" t="s">
        <v>2506</v>
      </c>
      <c r="C2383" s="9" t="s">
        <v>33</v>
      </c>
      <c r="D2383" s="6" t="s">
        <v>20</v>
      </c>
      <c r="E2383" s="6" t="s">
        <v>37</v>
      </c>
      <c r="F2383" s="6" t="s">
        <v>9</v>
      </c>
      <c r="G2383" s="6" t="s">
        <v>38</v>
      </c>
      <c r="H2383" s="9" t="s">
        <v>33</v>
      </c>
      <c r="I2383" s="7" t="str">
        <f t="shared" si="148"/>
        <v>61001005000</v>
      </c>
      <c r="J2383" s="7" t="str">
        <f t="shared" si="149"/>
        <v>Материал по ЕГРН</v>
      </c>
      <c r="K2383" s="7">
        <f>VLOOKUP(J2383,Лист2!A$2:B$4,2,FALSE)</f>
        <v>792</v>
      </c>
      <c r="L2383" s="7" t="str">
        <f t="shared" si="150"/>
        <v>ГОТОВ</v>
      </c>
      <c r="M2383" s="7" t="str">
        <f t="shared" si="151"/>
        <v>61001005000</v>
      </c>
    </row>
    <row r="2384" spans="1:13" x14ac:dyDescent="0.25">
      <c r="A2384" s="1">
        <v>525974</v>
      </c>
      <c r="B2384" s="6" t="s">
        <v>2507</v>
      </c>
      <c r="C2384" s="9" t="s">
        <v>33</v>
      </c>
      <c r="D2384" s="6" t="s">
        <v>20</v>
      </c>
      <c r="E2384" s="6" t="s">
        <v>37</v>
      </c>
      <c r="F2384" s="6" t="s">
        <v>9</v>
      </c>
      <c r="G2384" s="6" t="s">
        <v>38</v>
      </c>
      <c r="H2384" s="9" t="s">
        <v>33</v>
      </c>
      <c r="I2384" s="7" t="str">
        <f t="shared" si="148"/>
        <v>61001005000</v>
      </c>
      <c r="J2384" s="7" t="str">
        <f t="shared" si="149"/>
        <v>Материал по ЕГРН</v>
      </c>
      <c r="K2384" s="7">
        <f>VLOOKUP(J2384,Лист2!A$2:B$4,2,FALSE)</f>
        <v>792</v>
      </c>
      <c r="L2384" s="7" t="str">
        <f t="shared" si="150"/>
        <v>ГОТОВ</v>
      </c>
      <c r="M2384" s="7" t="str">
        <f t="shared" si="151"/>
        <v>61001005000</v>
      </c>
    </row>
    <row r="2385" spans="1:13" x14ac:dyDescent="0.25">
      <c r="A2385" s="1">
        <v>787841</v>
      </c>
      <c r="B2385" s="6" t="s">
        <v>2508</v>
      </c>
      <c r="C2385" s="9" t="s">
        <v>33</v>
      </c>
      <c r="D2385" s="6" t="s">
        <v>20</v>
      </c>
      <c r="E2385" s="6" t="s">
        <v>37</v>
      </c>
      <c r="F2385" s="6" t="s">
        <v>9</v>
      </c>
      <c r="G2385" s="6" t="s">
        <v>38</v>
      </c>
      <c r="H2385" s="9" t="s">
        <v>33</v>
      </c>
      <c r="I2385" s="7" t="str">
        <f t="shared" si="148"/>
        <v>61001005000</v>
      </c>
      <c r="J2385" s="7" t="str">
        <f t="shared" si="149"/>
        <v>Материал по ЕГРН</v>
      </c>
      <c r="K2385" s="7">
        <f>VLOOKUP(J2385,Лист2!A$2:B$4,2,FALSE)</f>
        <v>792</v>
      </c>
      <c r="L2385" s="7" t="str">
        <f t="shared" si="150"/>
        <v>ГОТОВ</v>
      </c>
      <c r="M2385" s="7" t="str">
        <f t="shared" si="151"/>
        <v>61001005000</v>
      </c>
    </row>
    <row r="2386" spans="1:13" x14ac:dyDescent="0.25">
      <c r="A2386" s="1">
        <v>943625</v>
      </c>
      <c r="B2386" s="6" t="s">
        <v>2509</v>
      </c>
      <c r="F2386" s="6" t="s">
        <v>9</v>
      </c>
      <c r="G2386" s="6" t="s">
        <v>38</v>
      </c>
      <c r="H2386" s="9" t="s">
        <v>33</v>
      </c>
      <c r="I2386" s="7" t="str">
        <f t="shared" si="148"/>
        <v>61001005000</v>
      </c>
      <c r="J2386" s="7" t="str">
        <f t="shared" si="149"/>
        <v>Материал по ЕГРН</v>
      </c>
      <c r="K2386" s="7">
        <f>VLOOKUP(J2386,Лист2!A$2:B$4,2,FALSE)</f>
        <v>792</v>
      </c>
      <c r="L2386" s="7" t="str">
        <f t="shared" si="150"/>
        <v>ГОТОВ_ИЗМЕНЕН</v>
      </c>
      <c r="M2386" s="7">
        <f t="shared" si="151"/>
        <v>0</v>
      </c>
    </row>
    <row r="2387" spans="1:13" x14ac:dyDescent="0.25">
      <c r="A2387" s="1">
        <v>943637</v>
      </c>
      <c r="B2387" s="6" t="s">
        <v>2510</v>
      </c>
      <c r="F2387" s="6" t="s">
        <v>9</v>
      </c>
      <c r="G2387" s="6" t="s">
        <v>34</v>
      </c>
      <c r="H2387" s="9" t="s">
        <v>35</v>
      </c>
      <c r="I2387" s="7" t="str">
        <f t="shared" si="148"/>
        <v>61001002000</v>
      </c>
      <c r="J2387" s="7" t="str">
        <f t="shared" si="149"/>
        <v>Материал по ЕГРН</v>
      </c>
      <c r="K2387" s="7">
        <f>VLOOKUP(J2387,Лист2!A$2:B$4,2,FALSE)</f>
        <v>792</v>
      </c>
      <c r="L2387" s="7" t="str">
        <f t="shared" si="150"/>
        <v>ГОТОВ_ИЗМЕНЕН</v>
      </c>
      <c r="M2387" s="7">
        <f t="shared" si="151"/>
        <v>0</v>
      </c>
    </row>
    <row r="2388" spans="1:13" x14ac:dyDescent="0.25">
      <c r="A2388" s="1">
        <v>943649</v>
      </c>
      <c r="B2388" s="6" t="s">
        <v>2511</v>
      </c>
      <c r="F2388" s="6" t="s">
        <v>9</v>
      </c>
      <c r="G2388" s="6" t="s">
        <v>59</v>
      </c>
      <c r="H2388" s="9" t="s">
        <v>60</v>
      </c>
      <c r="I2388" s="7" t="str">
        <f t="shared" si="148"/>
        <v>61001001001</v>
      </c>
      <c r="J2388" s="7" t="str">
        <f t="shared" si="149"/>
        <v>Материал по ЕГРН</v>
      </c>
      <c r="K2388" s="7">
        <f>VLOOKUP(J2388,Лист2!A$2:B$4,2,FALSE)</f>
        <v>792</v>
      </c>
      <c r="L2388" s="7" t="str">
        <f t="shared" si="150"/>
        <v>ГОТОВ_ИЗМЕНЕН</v>
      </c>
      <c r="M2388" s="7">
        <f t="shared" si="151"/>
        <v>0</v>
      </c>
    </row>
    <row r="2389" spans="1:13" x14ac:dyDescent="0.25">
      <c r="A2389" s="1">
        <v>943661</v>
      </c>
      <c r="B2389" s="6" t="s">
        <v>2512</v>
      </c>
      <c r="F2389" s="6" t="s">
        <v>9</v>
      </c>
      <c r="G2389" s="6" t="s">
        <v>34</v>
      </c>
      <c r="H2389" s="9" t="s">
        <v>35</v>
      </c>
      <c r="I2389" s="7" t="str">
        <f t="shared" si="148"/>
        <v>61001002000</v>
      </c>
      <c r="J2389" s="7" t="str">
        <f t="shared" si="149"/>
        <v>Материал по ЕГРН</v>
      </c>
      <c r="K2389" s="7">
        <f>VLOOKUP(J2389,Лист2!A$2:B$4,2,FALSE)</f>
        <v>792</v>
      </c>
      <c r="L2389" s="7" t="str">
        <f t="shared" si="150"/>
        <v>ГОТОВ_ИЗМЕНЕН</v>
      </c>
      <c r="M2389" s="7">
        <f t="shared" si="151"/>
        <v>0</v>
      </c>
    </row>
    <row r="2390" spans="1:13" x14ac:dyDescent="0.25">
      <c r="A2390" s="1">
        <v>943673</v>
      </c>
      <c r="B2390" s="6" t="s">
        <v>2513</v>
      </c>
      <c r="F2390" s="6" t="s">
        <v>9</v>
      </c>
      <c r="G2390" s="6" t="s">
        <v>73</v>
      </c>
      <c r="H2390" s="9" t="s">
        <v>74</v>
      </c>
      <c r="I2390" s="7" t="str">
        <f t="shared" si="148"/>
        <v>61001006000</v>
      </c>
      <c r="J2390" s="7" t="str">
        <f t="shared" si="149"/>
        <v>Материал по ЕГРН</v>
      </c>
      <c r="K2390" s="7">
        <f>VLOOKUP(J2390,Лист2!A$2:B$4,2,FALSE)</f>
        <v>792</v>
      </c>
      <c r="L2390" s="7" t="str">
        <f t="shared" si="150"/>
        <v>ГОТОВ_ИЗМЕНЕН</v>
      </c>
      <c r="M2390" s="7">
        <f t="shared" si="151"/>
        <v>0</v>
      </c>
    </row>
    <row r="2391" spans="1:13" x14ac:dyDescent="0.25">
      <c r="A2391" s="1">
        <v>943685</v>
      </c>
      <c r="B2391" s="6" t="s">
        <v>2514</v>
      </c>
      <c r="F2391" s="6" t="s">
        <v>9</v>
      </c>
      <c r="G2391" s="6" t="s">
        <v>10</v>
      </c>
      <c r="H2391" s="9" t="s">
        <v>11</v>
      </c>
      <c r="I2391" s="7" t="str">
        <f t="shared" si="148"/>
        <v>61001003000</v>
      </c>
      <c r="J2391" s="7" t="str">
        <f t="shared" si="149"/>
        <v>Материал по ЕГРН</v>
      </c>
      <c r="K2391" s="7">
        <f>VLOOKUP(J2391,Лист2!A$2:B$4,2,FALSE)</f>
        <v>792</v>
      </c>
      <c r="L2391" s="7" t="str">
        <f t="shared" si="150"/>
        <v>ГОТОВ_ИЗМЕНЕН</v>
      </c>
      <c r="M2391" s="7">
        <f t="shared" si="151"/>
        <v>0</v>
      </c>
    </row>
    <row r="2392" spans="1:13" x14ac:dyDescent="0.25">
      <c r="A2392" s="1">
        <v>943697</v>
      </c>
      <c r="B2392" s="6" t="s">
        <v>2515</v>
      </c>
      <c r="F2392" s="6" t="s">
        <v>9</v>
      </c>
      <c r="G2392" s="6" t="s">
        <v>38</v>
      </c>
      <c r="H2392" s="9" t="s">
        <v>33</v>
      </c>
      <c r="I2392" s="7" t="str">
        <f t="shared" si="148"/>
        <v>61001005000</v>
      </c>
      <c r="J2392" s="7" t="str">
        <f t="shared" si="149"/>
        <v>Материал по ЕГРН</v>
      </c>
      <c r="K2392" s="7">
        <f>VLOOKUP(J2392,Лист2!A$2:B$4,2,FALSE)</f>
        <v>792</v>
      </c>
      <c r="L2392" s="7" t="str">
        <f t="shared" si="150"/>
        <v>ГОТОВ_ИЗМЕНЕН</v>
      </c>
      <c r="M2392" s="7">
        <f t="shared" si="151"/>
        <v>0</v>
      </c>
    </row>
    <row r="2393" spans="1:13" x14ac:dyDescent="0.25">
      <c r="A2393" s="1">
        <v>943709</v>
      </c>
      <c r="B2393" s="6" t="s">
        <v>2516</v>
      </c>
      <c r="F2393" s="6" t="s">
        <v>9</v>
      </c>
      <c r="G2393" s="6" t="s">
        <v>170</v>
      </c>
      <c r="H2393" s="9" t="s">
        <v>171</v>
      </c>
      <c r="I2393" s="7" t="str">
        <f t="shared" si="148"/>
        <v>61001001000</v>
      </c>
      <c r="J2393" s="7" t="str">
        <f t="shared" si="149"/>
        <v>Материал по ЕГРН</v>
      </c>
      <c r="K2393" s="7">
        <f>VLOOKUP(J2393,Лист2!A$2:B$4,2,FALSE)</f>
        <v>792</v>
      </c>
      <c r="L2393" s="7" t="str">
        <f t="shared" si="150"/>
        <v>ГОТОВ_ИЗМЕНЕН</v>
      </c>
      <c r="M2393" s="7">
        <f t="shared" si="151"/>
        <v>0</v>
      </c>
    </row>
    <row r="2394" spans="1:13" x14ac:dyDescent="0.25">
      <c r="A2394" s="1">
        <v>943721</v>
      </c>
      <c r="B2394" s="6" t="s">
        <v>2517</v>
      </c>
      <c r="F2394" s="6" t="s">
        <v>9</v>
      </c>
      <c r="G2394" s="6" t="s">
        <v>34</v>
      </c>
      <c r="H2394" s="9" t="s">
        <v>35</v>
      </c>
      <c r="I2394" s="7" t="str">
        <f t="shared" si="148"/>
        <v>61001002000</v>
      </c>
      <c r="J2394" s="7" t="str">
        <f t="shared" si="149"/>
        <v>Материал по ЕГРН</v>
      </c>
      <c r="K2394" s="7">
        <f>VLOOKUP(J2394,Лист2!A$2:B$4,2,FALSE)</f>
        <v>792</v>
      </c>
      <c r="L2394" s="7" t="str">
        <f t="shared" si="150"/>
        <v>ГОТОВ_ИЗМЕНЕН</v>
      </c>
      <c r="M2394" s="7">
        <f t="shared" si="151"/>
        <v>0</v>
      </c>
    </row>
    <row r="2395" spans="1:13" x14ac:dyDescent="0.25">
      <c r="A2395" s="1">
        <v>943733</v>
      </c>
      <c r="B2395" s="6" t="s">
        <v>2518</v>
      </c>
      <c r="F2395" s="6" t="s">
        <v>9</v>
      </c>
      <c r="G2395" s="6" t="s">
        <v>34</v>
      </c>
      <c r="H2395" s="9" t="s">
        <v>35</v>
      </c>
      <c r="I2395" s="7" t="str">
        <f t="shared" si="148"/>
        <v>61001002000</v>
      </c>
      <c r="J2395" s="7" t="str">
        <f t="shared" si="149"/>
        <v>Материал по ЕГРН</v>
      </c>
      <c r="K2395" s="7">
        <f>VLOOKUP(J2395,Лист2!A$2:B$4,2,FALSE)</f>
        <v>792</v>
      </c>
      <c r="L2395" s="7" t="str">
        <f t="shared" si="150"/>
        <v>ГОТОВ_ИЗМЕНЕН</v>
      </c>
      <c r="M2395" s="7">
        <f t="shared" si="151"/>
        <v>0</v>
      </c>
    </row>
    <row r="2396" spans="1:13" x14ac:dyDescent="0.25">
      <c r="A2396" s="1">
        <v>943745</v>
      </c>
      <c r="B2396" s="6" t="s">
        <v>2519</v>
      </c>
      <c r="F2396" s="6" t="s">
        <v>9</v>
      </c>
      <c r="G2396" s="6" t="s">
        <v>62</v>
      </c>
      <c r="H2396" s="9" t="s">
        <v>63</v>
      </c>
      <c r="I2396" s="7" t="str">
        <f t="shared" si="148"/>
        <v>61001006002</v>
      </c>
      <c r="J2396" s="7" t="str">
        <f t="shared" si="149"/>
        <v>Материал по ЕГРН</v>
      </c>
      <c r="K2396" s="7">
        <f>VLOOKUP(J2396,Лист2!A$2:B$4,2,FALSE)</f>
        <v>792</v>
      </c>
      <c r="L2396" s="7" t="str">
        <f t="shared" si="150"/>
        <v>ГОТОВ_ИЗМЕНЕН</v>
      </c>
      <c r="M2396" s="7">
        <f t="shared" si="151"/>
        <v>0</v>
      </c>
    </row>
    <row r="2397" spans="1:13" x14ac:dyDescent="0.25">
      <c r="A2397" s="1">
        <v>943757</v>
      </c>
      <c r="B2397" s="6" t="s">
        <v>2520</v>
      </c>
      <c r="F2397" s="6" t="s">
        <v>9</v>
      </c>
      <c r="G2397" s="6" t="s">
        <v>59</v>
      </c>
      <c r="H2397" s="9" t="s">
        <v>60</v>
      </c>
      <c r="I2397" s="7" t="str">
        <f t="shared" si="148"/>
        <v>61001001001</v>
      </c>
      <c r="J2397" s="7" t="str">
        <f t="shared" si="149"/>
        <v>Материал по ЕГРН</v>
      </c>
      <c r="K2397" s="7">
        <f>VLOOKUP(J2397,Лист2!A$2:B$4,2,FALSE)</f>
        <v>792</v>
      </c>
      <c r="L2397" s="7" t="str">
        <f t="shared" si="150"/>
        <v>ГОТОВ_ИЗМЕНЕН</v>
      </c>
      <c r="M2397" s="7">
        <f t="shared" si="151"/>
        <v>0</v>
      </c>
    </row>
    <row r="2398" spans="1:13" x14ac:dyDescent="0.25">
      <c r="A2398" s="1">
        <v>943769</v>
      </c>
      <c r="B2398" s="6" t="s">
        <v>2521</v>
      </c>
      <c r="F2398" s="6" t="s">
        <v>9</v>
      </c>
      <c r="G2398" s="6" t="s">
        <v>38</v>
      </c>
      <c r="H2398" s="9" t="s">
        <v>33</v>
      </c>
      <c r="I2398" s="7" t="str">
        <f t="shared" si="148"/>
        <v>61001005000</v>
      </c>
      <c r="J2398" s="7" t="str">
        <f t="shared" si="149"/>
        <v>Материал по ЕГРН</v>
      </c>
      <c r="K2398" s="7">
        <f>VLOOKUP(J2398,Лист2!A$2:B$4,2,FALSE)</f>
        <v>792</v>
      </c>
      <c r="L2398" s="7" t="str">
        <f t="shared" si="150"/>
        <v>ГОТОВ_ИЗМЕНЕН</v>
      </c>
      <c r="M2398" s="7">
        <f t="shared" si="151"/>
        <v>0</v>
      </c>
    </row>
    <row r="2399" spans="1:13" x14ac:dyDescent="0.25">
      <c r="A2399" s="1">
        <v>943781</v>
      </c>
      <c r="B2399" s="6" t="s">
        <v>2522</v>
      </c>
      <c r="F2399" s="6" t="s">
        <v>9</v>
      </c>
      <c r="G2399" s="6" t="s">
        <v>34</v>
      </c>
      <c r="H2399" s="9" t="s">
        <v>35</v>
      </c>
      <c r="I2399" s="7" t="str">
        <f t="shared" si="148"/>
        <v>61001002000</v>
      </c>
      <c r="J2399" s="7" t="str">
        <f t="shared" si="149"/>
        <v>Материал по ЕГРН</v>
      </c>
      <c r="K2399" s="7">
        <f>VLOOKUP(J2399,Лист2!A$2:B$4,2,FALSE)</f>
        <v>792</v>
      </c>
      <c r="L2399" s="7" t="str">
        <f t="shared" si="150"/>
        <v>ГОТОВ_ИЗМЕНЕН</v>
      </c>
      <c r="M2399" s="7">
        <f t="shared" si="151"/>
        <v>0</v>
      </c>
    </row>
    <row r="2400" spans="1:13" x14ac:dyDescent="0.25">
      <c r="A2400" s="1">
        <v>943793</v>
      </c>
      <c r="B2400" s="6" t="s">
        <v>2523</v>
      </c>
      <c r="F2400" s="6" t="s">
        <v>9</v>
      </c>
      <c r="G2400" s="6" t="s">
        <v>38</v>
      </c>
      <c r="H2400" s="9" t="s">
        <v>33</v>
      </c>
      <c r="I2400" s="7" t="str">
        <f t="shared" si="148"/>
        <v>61001005000</v>
      </c>
      <c r="J2400" s="7" t="str">
        <f t="shared" si="149"/>
        <v>Материал по ЕГРН</v>
      </c>
      <c r="K2400" s="7">
        <f>VLOOKUP(J2400,Лист2!A$2:B$4,2,FALSE)</f>
        <v>792</v>
      </c>
      <c r="L2400" s="7" t="str">
        <f t="shared" si="150"/>
        <v>ГОТОВ_ИЗМЕНЕН</v>
      </c>
      <c r="M2400" s="7">
        <f t="shared" si="151"/>
        <v>0</v>
      </c>
    </row>
    <row r="2401" spans="1:13" x14ac:dyDescent="0.25">
      <c r="A2401" s="1">
        <v>943805</v>
      </c>
      <c r="B2401" s="6" t="s">
        <v>2524</v>
      </c>
      <c r="F2401" s="6" t="s">
        <v>9</v>
      </c>
      <c r="G2401" s="6" t="s">
        <v>34</v>
      </c>
      <c r="H2401" s="9" t="s">
        <v>35</v>
      </c>
      <c r="I2401" s="7" t="str">
        <f t="shared" si="148"/>
        <v>61001002000</v>
      </c>
      <c r="J2401" s="7" t="str">
        <f t="shared" si="149"/>
        <v>Материал по ЕГРН</v>
      </c>
      <c r="K2401" s="7">
        <f>VLOOKUP(J2401,Лист2!A$2:B$4,2,FALSE)</f>
        <v>792</v>
      </c>
      <c r="L2401" s="7" t="str">
        <f t="shared" si="150"/>
        <v>ГОТОВ_ИЗМЕНЕН</v>
      </c>
      <c r="M2401" s="7">
        <f t="shared" si="151"/>
        <v>0</v>
      </c>
    </row>
    <row r="2402" spans="1:13" x14ac:dyDescent="0.25">
      <c r="A2402" s="1">
        <v>943817</v>
      </c>
      <c r="B2402" s="6" t="s">
        <v>2525</v>
      </c>
      <c r="F2402" s="6" t="s">
        <v>9</v>
      </c>
      <c r="G2402" s="6" t="s">
        <v>38</v>
      </c>
      <c r="H2402" s="9" t="s">
        <v>33</v>
      </c>
      <c r="I2402" s="7" t="str">
        <f t="shared" si="148"/>
        <v>61001005000</v>
      </c>
      <c r="J2402" s="7" t="str">
        <f t="shared" si="149"/>
        <v>Материал по ЕГРН</v>
      </c>
      <c r="K2402" s="7">
        <f>VLOOKUP(J2402,Лист2!A$2:B$4,2,FALSE)</f>
        <v>792</v>
      </c>
      <c r="L2402" s="7" t="str">
        <f t="shared" si="150"/>
        <v>ГОТОВ_ИЗМЕНЕН</v>
      </c>
      <c r="M2402" s="7">
        <f t="shared" si="151"/>
        <v>0</v>
      </c>
    </row>
    <row r="2403" spans="1:13" x14ac:dyDescent="0.25">
      <c r="A2403" s="1">
        <v>943829</v>
      </c>
      <c r="B2403" s="6" t="s">
        <v>2526</v>
      </c>
      <c r="F2403" s="6" t="s">
        <v>9</v>
      </c>
      <c r="G2403" s="6" t="s">
        <v>34</v>
      </c>
      <c r="H2403" s="9" t="s">
        <v>35</v>
      </c>
      <c r="I2403" s="7" t="str">
        <f t="shared" si="148"/>
        <v>61001002000</v>
      </c>
      <c r="J2403" s="7" t="str">
        <f t="shared" si="149"/>
        <v>Материал по ЕГРН</v>
      </c>
      <c r="K2403" s="7">
        <f>VLOOKUP(J2403,Лист2!A$2:B$4,2,FALSE)</f>
        <v>792</v>
      </c>
      <c r="L2403" s="7" t="str">
        <f t="shared" si="150"/>
        <v>ГОТОВ_ИЗМЕНЕН</v>
      </c>
      <c r="M2403" s="7">
        <f t="shared" si="151"/>
        <v>0</v>
      </c>
    </row>
    <row r="2404" spans="1:13" x14ac:dyDescent="0.25">
      <c r="A2404" s="1">
        <v>943841</v>
      </c>
      <c r="B2404" s="6" t="s">
        <v>2527</v>
      </c>
      <c r="F2404" s="6" t="s">
        <v>9</v>
      </c>
      <c r="G2404" s="6" t="s">
        <v>34</v>
      </c>
      <c r="H2404" s="9" t="s">
        <v>35</v>
      </c>
      <c r="I2404" s="7" t="str">
        <f t="shared" si="148"/>
        <v>61001002000</v>
      </c>
      <c r="J2404" s="7" t="str">
        <f t="shared" si="149"/>
        <v>Материал по ЕГРН</v>
      </c>
      <c r="K2404" s="7">
        <f>VLOOKUP(J2404,Лист2!A$2:B$4,2,FALSE)</f>
        <v>792</v>
      </c>
      <c r="L2404" s="7" t="str">
        <f t="shared" si="150"/>
        <v>ГОТОВ_ИЗМЕНЕН</v>
      </c>
      <c r="M2404" s="7">
        <f t="shared" si="151"/>
        <v>0</v>
      </c>
    </row>
    <row r="2405" spans="1:13" x14ac:dyDescent="0.25">
      <c r="A2405" s="1">
        <v>943853</v>
      </c>
      <c r="B2405" s="6" t="s">
        <v>2528</v>
      </c>
      <c r="F2405" s="6" t="s">
        <v>9</v>
      </c>
      <c r="G2405" s="6" t="s">
        <v>34</v>
      </c>
      <c r="H2405" s="9" t="s">
        <v>35</v>
      </c>
      <c r="I2405" s="7" t="str">
        <f t="shared" si="148"/>
        <v>61001002000</v>
      </c>
      <c r="J2405" s="7" t="str">
        <f t="shared" si="149"/>
        <v>Материал по ЕГРН</v>
      </c>
      <c r="K2405" s="7">
        <f>VLOOKUP(J2405,Лист2!A$2:B$4,2,FALSE)</f>
        <v>792</v>
      </c>
      <c r="L2405" s="7" t="str">
        <f t="shared" si="150"/>
        <v>ГОТОВ_ИЗМЕНЕН</v>
      </c>
      <c r="M2405" s="7">
        <f t="shared" si="151"/>
        <v>0</v>
      </c>
    </row>
    <row r="2406" spans="1:13" x14ac:dyDescent="0.25">
      <c r="A2406" s="1">
        <v>943865</v>
      </c>
      <c r="B2406" s="6" t="s">
        <v>2529</v>
      </c>
      <c r="F2406" s="6" t="s">
        <v>9</v>
      </c>
      <c r="G2406" s="6" t="s">
        <v>34</v>
      </c>
      <c r="H2406" s="9" t="s">
        <v>35</v>
      </c>
      <c r="I2406" s="7" t="str">
        <f t="shared" si="148"/>
        <v>61001002000</v>
      </c>
      <c r="J2406" s="7" t="str">
        <f t="shared" si="149"/>
        <v>Материал по ЕГРН</v>
      </c>
      <c r="K2406" s="7">
        <f>VLOOKUP(J2406,Лист2!A$2:B$4,2,FALSE)</f>
        <v>792</v>
      </c>
      <c r="L2406" s="7" t="str">
        <f t="shared" si="150"/>
        <v>ГОТОВ_ИЗМЕНЕН</v>
      </c>
      <c r="M2406" s="7">
        <f t="shared" si="151"/>
        <v>0</v>
      </c>
    </row>
    <row r="2407" spans="1:13" x14ac:dyDescent="0.25">
      <c r="A2407" s="1">
        <v>943877</v>
      </c>
      <c r="B2407" s="6" t="s">
        <v>2530</v>
      </c>
      <c r="F2407" s="6" t="s">
        <v>9</v>
      </c>
      <c r="G2407" s="6" t="s">
        <v>38</v>
      </c>
      <c r="H2407" s="9" t="s">
        <v>33</v>
      </c>
      <c r="I2407" s="7" t="str">
        <f t="shared" si="148"/>
        <v>61001005000</v>
      </c>
      <c r="J2407" s="7" t="str">
        <f t="shared" si="149"/>
        <v>Материал по ЕГРН</v>
      </c>
      <c r="K2407" s="7">
        <f>VLOOKUP(J2407,Лист2!A$2:B$4,2,FALSE)</f>
        <v>792</v>
      </c>
      <c r="L2407" s="7" t="str">
        <f t="shared" si="150"/>
        <v>ГОТОВ_ИЗМЕНЕН</v>
      </c>
      <c r="M2407" s="7">
        <f t="shared" si="151"/>
        <v>0</v>
      </c>
    </row>
    <row r="2408" spans="1:13" x14ac:dyDescent="0.25">
      <c r="A2408" s="1">
        <v>943889</v>
      </c>
      <c r="B2408" s="6" t="s">
        <v>2531</v>
      </c>
      <c r="F2408" s="6" t="s">
        <v>9</v>
      </c>
      <c r="G2408" s="6" t="s">
        <v>34</v>
      </c>
      <c r="H2408" s="9" t="s">
        <v>35</v>
      </c>
      <c r="I2408" s="7" t="str">
        <f t="shared" si="148"/>
        <v>61001002000</v>
      </c>
      <c r="J2408" s="7" t="str">
        <f t="shared" si="149"/>
        <v>Материал по ЕГРН</v>
      </c>
      <c r="K2408" s="7">
        <f>VLOOKUP(J2408,Лист2!A$2:B$4,2,FALSE)</f>
        <v>792</v>
      </c>
      <c r="L2408" s="7" t="str">
        <f t="shared" si="150"/>
        <v>ГОТОВ_ИЗМЕНЕН</v>
      </c>
      <c r="M2408" s="7">
        <f t="shared" si="151"/>
        <v>0</v>
      </c>
    </row>
    <row r="2409" spans="1:13" x14ac:dyDescent="0.25">
      <c r="A2409" s="1">
        <v>943901</v>
      </c>
      <c r="B2409" s="6" t="s">
        <v>2532</v>
      </c>
      <c r="F2409" s="6" t="s">
        <v>9</v>
      </c>
      <c r="G2409" s="6" t="s">
        <v>38</v>
      </c>
      <c r="H2409" s="9" t="s">
        <v>33</v>
      </c>
      <c r="I2409" s="7" t="str">
        <f t="shared" si="148"/>
        <v>61001005000</v>
      </c>
      <c r="J2409" s="7" t="str">
        <f t="shared" si="149"/>
        <v>Материал по ЕГРН</v>
      </c>
      <c r="K2409" s="7">
        <f>VLOOKUP(J2409,Лист2!A$2:B$4,2,FALSE)</f>
        <v>792</v>
      </c>
      <c r="L2409" s="7" t="str">
        <f t="shared" si="150"/>
        <v>ГОТОВ_ИЗМЕНЕН</v>
      </c>
      <c r="M2409" s="7">
        <f t="shared" si="151"/>
        <v>0</v>
      </c>
    </row>
    <row r="2410" spans="1:13" x14ac:dyDescent="0.25">
      <c r="A2410" s="1">
        <v>943913</v>
      </c>
      <c r="B2410" s="6" t="s">
        <v>2533</v>
      </c>
      <c r="F2410" s="6" t="s">
        <v>9</v>
      </c>
      <c r="G2410" s="6" t="s">
        <v>38</v>
      </c>
      <c r="H2410" s="9" t="s">
        <v>33</v>
      </c>
      <c r="I2410" s="7" t="str">
        <f t="shared" si="148"/>
        <v>61001005000</v>
      </c>
      <c r="J2410" s="7" t="str">
        <f t="shared" si="149"/>
        <v>Материал по ЕГРН</v>
      </c>
      <c r="K2410" s="7">
        <f>VLOOKUP(J2410,Лист2!A$2:B$4,2,FALSE)</f>
        <v>792</v>
      </c>
      <c r="L2410" s="7" t="str">
        <f t="shared" si="150"/>
        <v>ГОТОВ_ИЗМЕНЕН</v>
      </c>
      <c r="M2410" s="7">
        <f t="shared" si="151"/>
        <v>0</v>
      </c>
    </row>
    <row r="2411" spans="1:13" x14ac:dyDescent="0.25">
      <c r="A2411" s="1">
        <v>943925</v>
      </c>
      <c r="B2411" s="6" t="s">
        <v>2534</v>
      </c>
      <c r="F2411" s="6" t="s">
        <v>9</v>
      </c>
      <c r="G2411" s="6" t="s">
        <v>10</v>
      </c>
      <c r="H2411" s="9" t="s">
        <v>11</v>
      </c>
      <c r="I2411" s="7" t="str">
        <f t="shared" si="148"/>
        <v>61001003000</v>
      </c>
      <c r="J2411" s="7" t="str">
        <f t="shared" si="149"/>
        <v>Материал по ЕГРН</v>
      </c>
      <c r="K2411" s="7">
        <f>VLOOKUP(J2411,Лист2!A$2:B$4,2,FALSE)</f>
        <v>792</v>
      </c>
      <c r="L2411" s="7" t="str">
        <f t="shared" si="150"/>
        <v>ГОТОВ_ИЗМЕНЕН</v>
      </c>
      <c r="M2411" s="7">
        <f t="shared" si="151"/>
        <v>0</v>
      </c>
    </row>
    <row r="2412" spans="1:13" x14ac:dyDescent="0.25">
      <c r="A2412" s="1">
        <v>943937</v>
      </c>
      <c r="B2412" s="6" t="s">
        <v>2535</v>
      </c>
      <c r="F2412" s="6" t="s">
        <v>9</v>
      </c>
      <c r="G2412" s="6" t="s">
        <v>38</v>
      </c>
      <c r="H2412" s="9" t="s">
        <v>33</v>
      </c>
      <c r="I2412" s="7" t="str">
        <f t="shared" si="148"/>
        <v>61001005000</v>
      </c>
      <c r="J2412" s="7" t="str">
        <f t="shared" si="149"/>
        <v>Материал по ЕГРН</v>
      </c>
      <c r="K2412" s="7">
        <f>VLOOKUP(J2412,Лист2!A$2:B$4,2,FALSE)</f>
        <v>792</v>
      </c>
      <c r="L2412" s="7" t="str">
        <f t="shared" si="150"/>
        <v>ГОТОВ_ИЗМЕНЕН</v>
      </c>
      <c r="M2412" s="7">
        <f t="shared" si="151"/>
        <v>0</v>
      </c>
    </row>
    <row r="2413" spans="1:13" x14ac:dyDescent="0.25">
      <c r="A2413" s="1">
        <v>943949</v>
      </c>
      <c r="B2413" s="6" t="s">
        <v>2536</v>
      </c>
      <c r="F2413" s="6" t="s">
        <v>9</v>
      </c>
      <c r="G2413" s="6" t="s">
        <v>62</v>
      </c>
      <c r="H2413" s="9" t="s">
        <v>63</v>
      </c>
      <c r="I2413" s="7" t="str">
        <f t="shared" si="148"/>
        <v>61001006002</v>
      </c>
      <c r="J2413" s="7" t="str">
        <f t="shared" si="149"/>
        <v>Материал по ЕГРН</v>
      </c>
      <c r="K2413" s="7">
        <f>VLOOKUP(J2413,Лист2!A$2:B$4,2,FALSE)</f>
        <v>792</v>
      </c>
      <c r="L2413" s="7" t="str">
        <f t="shared" si="150"/>
        <v>ГОТОВ_ИЗМЕНЕН</v>
      </c>
      <c r="M2413" s="7">
        <f t="shared" si="151"/>
        <v>0</v>
      </c>
    </row>
    <row r="2414" spans="1:13" x14ac:dyDescent="0.25">
      <c r="A2414" s="1">
        <v>337809</v>
      </c>
      <c r="B2414" s="6" t="s">
        <v>2537</v>
      </c>
      <c r="C2414" s="9" t="s">
        <v>33</v>
      </c>
      <c r="D2414" s="6" t="s">
        <v>20</v>
      </c>
      <c r="E2414" s="6" t="s">
        <v>37</v>
      </c>
      <c r="F2414" s="6" t="s">
        <v>9</v>
      </c>
      <c r="G2414" s="6" t="s">
        <v>38</v>
      </c>
      <c r="H2414" s="9" t="s">
        <v>33</v>
      </c>
      <c r="I2414" s="7" t="str">
        <f t="shared" si="148"/>
        <v>61001005000</v>
      </c>
      <c r="J2414" s="7" t="str">
        <f t="shared" si="149"/>
        <v>Материал по ЕГРН</v>
      </c>
      <c r="K2414" s="7">
        <f>VLOOKUP(J2414,Лист2!A$2:B$4,2,FALSE)</f>
        <v>792</v>
      </c>
      <c r="L2414" s="7" t="str">
        <f t="shared" si="150"/>
        <v>ГОТОВ</v>
      </c>
      <c r="M2414" s="7" t="str">
        <f t="shared" si="151"/>
        <v>61001005000</v>
      </c>
    </row>
    <row r="2415" spans="1:13" x14ac:dyDescent="0.25">
      <c r="A2415" s="1">
        <v>529415</v>
      </c>
      <c r="B2415" s="6" t="s">
        <v>2538</v>
      </c>
      <c r="C2415" s="9" t="s">
        <v>33</v>
      </c>
      <c r="D2415" s="6" t="s">
        <v>20</v>
      </c>
      <c r="E2415" s="6" t="s">
        <v>37</v>
      </c>
      <c r="F2415" s="6" t="s">
        <v>9</v>
      </c>
      <c r="G2415" s="6" t="s">
        <v>38</v>
      </c>
      <c r="H2415" s="9" t="s">
        <v>33</v>
      </c>
      <c r="I2415" s="7" t="str">
        <f t="shared" si="148"/>
        <v>61001005000</v>
      </c>
      <c r="J2415" s="7" t="str">
        <f t="shared" si="149"/>
        <v>Материал по ЕГРН</v>
      </c>
      <c r="K2415" s="7">
        <f>VLOOKUP(J2415,Лист2!A$2:B$4,2,FALSE)</f>
        <v>792</v>
      </c>
      <c r="L2415" s="7" t="str">
        <f t="shared" si="150"/>
        <v>ГОТОВ</v>
      </c>
      <c r="M2415" s="7" t="str">
        <f t="shared" si="151"/>
        <v>61001005000</v>
      </c>
    </row>
    <row r="2416" spans="1:13" x14ac:dyDescent="0.25">
      <c r="A2416" s="1">
        <v>532649</v>
      </c>
      <c r="B2416" s="6" t="s">
        <v>2539</v>
      </c>
      <c r="C2416" s="9" t="s">
        <v>33</v>
      </c>
      <c r="D2416" s="6" t="s">
        <v>20</v>
      </c>
      <c r="E2416" s="6" t="s">
        <v>37</v>
      </c>
      <c r="F2416" s="6" t="s">
        <v>9</v>
      </c>
      <c r="G2416" s="6" t="s">
        <v>38</v>
      </c>
      <c r="H2416" s="9" t="s">
        <v>33</v>
      </c>
      <c r="I2416" s="7" t="str">
        <f t="shared" si="148"/>
        <v>61001005000</v>
      </c>
      <c r="J2416" s="7" t="str">
        <f t="shared" si="149"/>
        <v>Материал по ЕГРН</v>
      </c>
      <c r="K2416" s="7">
        <f>VLOOKUP(J2416,Лист2!A$2:B$4,2,FALSE)</f>
        <v>792</v>
      </c>
      <c r="L2416" s="7" t="str">
        <f t="shared" si="150"/>
        <v>ГОТОВ</v>
      </c>
      <c r="M2416" s="7" t="str">
        <f t="shared" si="151"/>
        <v>61001005000</v>
      </c>
    </row>
    <row r="2417" spans="1:13" x14ac:dyDescent="0.25">
      <c r="A2417" s="1">
        <v>846825</v>
      </c>
      <c r="B2417" s="6" t="s">
        <v>2540</v>
      </c>
      <c r="C2417" s="9" t="s">
        <v>35</v>
      </c>
      <c r="D2417" s="6" t="s">
        <v>20</v>
      </c>
      <c r="E2417" s="6" t="s">
        <v>37</v>
      </c>
      <c r="F2417" s="6" t="s">
        <v>9</v>
      </c>
      <c r="G2417" s="6" t="s">
        <v>34</v>
      </c>
      <c r="H2417" s="9" t="s">
        <v>35</v>
      </c>
      <c r="I2417" s="7" t="str">
        <f t="shared" si="148"/>
        <v>61001002000</v>
      </c>
      <c r="J2417" s="7" t="str">
        <f t="shared" si="149"/>
        <v>Материал по ЕГРН</v>
      </c>
      <c r="K2417" s="7">
        <f>VLOOKUP(J2417,Лист2!A$2:B$4,2,FALSE)</f>
        <v>792</v>
      </c>
      <c r="L2417" s="7" t="str">
        <f t="shared" si="150"/>
        <v>ГОТОВ</v>
      </c>
      <c r="M2417" s="7" t="str">
        <f t="shared" si="151"/>
        <v>61001002000</v>
      </c>
    </row>
    <row r="2418" spans="1:13" x14ac:dyDescent="0.25">
      <c r="A2418" s="1">
        <v>943961</v>
      </c>
      <c r="B2418" s="6" t="s">
        <v>2541</v>
      </c>
      <c r="F2418" s="6" t="s">
        <v>9</v>
      </c>
      <c r="G2418" s="6" t="s">
        <v>34</v>
      </c>
      <c r="H2418" s="9" t="s">
        <v>35</v>
      </c>
      <c r="I2418" s="7" t="str">
        <f t="shared" si="148"/>
        <v>61001002000</v>
      </c>
      <c r="J2418" s="7" t="str">
        <f t="shared" si="149"/>
        <v>Материал по ЕГРН</v>
      </c>
      <c r="K2418" s="7">
        <f>VLOOKUP(J2418,Лист2!A$2:B$4,2,FALSE)</f>
        <v>792</v>
      </c>
      <c r="L2418" s="7" t="str">
        <f t="shared" si="150"/>
        <v>ГОТОВ_ИЗМЕНЕН</v>
      </c>
      <c r="M2418" s="7">
        <f t="shared" si="151"/>
        <v>0</v>
      </c>
    </row>
    <row r="2419" spans="1:13" x14ac:dyDescent="0.25">
      <c r="A2419" s="1">
        <v>943973</v>
      </c>
      <c r="B2419" s="6" t="s">
        <v>2542</v>
      </c>
      <c r="F2419" s="6" t="s">
        <v>9</v>
      </c>
      <c r="G2419" s="6" t="s">
        <v>38</v>
      </c>
      <c r="H2419" s="9" t="s">
        <v>33</v>
      </c>
      <c r="I2419" s="7" t="str">
        <f t="shared" si="148"/>
        <v>61001005000</v>
      </c>
      <c r="J2419" s="7" t="str">
        <f t="shared" si="149"/>
        <v>Материал по ЕГРН</v>
      </c>
      <c r="K2419" s="7">
        <f>VLOOKUP(J2419,Лист2!A$2:B$4,2,FALSE)</f>
        <v>792</v>
      </c>
      <c r="L2419" s="7" t="str">
        <f t="shared" si="150"/>
        <v>ГОТОВ_ИЗМЕНЕН</v>
      </c>
      <c r="M2419" s="7">
        <f t="shared" si="151"/>
        <v>0</v>
      </c>
    </row>
    <row r="2420" spans="1:13" x14ac:dyDescent="0.25">
      <c r="A2420" s="1">
        <v>943985</v>
      </c>
      <c r="B2420" s="6" t="s">
        <v>2543</v>
      </c>
      <c r="F2420" s="6" t="s">
        <v>9</v>
      </c>
      <c r="G2420" s="6" t="s">
        <v>38</v>
      </c>
      <c r="H2420" s="9" t="s">
        <v>33</v>
      </c>
      <c r="I2420" s="7" t="str">
        <f t="shared" si="148"/>
        <v>61001005000</v>
      </c>
      <c r="J2420" s="7" t="str">
        <f t="shared" si="149"/>
        <v>Материал по ЕГРН</v>
      </c>
      <c r="K2420" s="7">
        <f>VLOOKUP(J2420,Лист2!A$2:B$4,2,FALSE)</f>
        <v>792</v>
      </c>
      <c r="L2420" s="7" t="str">
        <f t="shared" si="150"/>
        <v>ГОТОВ_ИЗМЕНЕН</v>
      </c>
      <c r="M2420" s="7">
        <f t="shared" si="151"/>
        <v>0</v>
      </c>
    </row>
    <row r="2421" spans="1:13" x14ac:dyDescent="0.25">
      <c r="A2421" s="1">
        <v>943997</v>
      </c>
      <c r="B2421" s="6" t="s">
        <v>2544</v>
      </c>
      <c r="F2421" s="6" t="s">
        <v>9</v>
      </c>
      <c r="G2421" s="6" t="s">
        <v>34</v>
      </c>
      <c r="H2421" s="9" t="s">
        <v>35</v>
      </c>
      <c r="I2421" s="7" t="str">
        <f t="shared" si="148"/>
        <v>61001002000</v>
      </c>
      <c r="J2421" s="7" t="str">
        <f t="shared" si="149"/>
        <v>Материал по ЕГРН</v>
      </c>
      <c r="K2421" s="7">
        <f>VLOOKUP(J2421,Лист2!A$2:B$4,2,FALSE)</f>
        <v>792</v>
      </c>
      <c r="L2421" s="7" t="str">
        <f t="shared" si="150"/>
        <v>ГОТОВ_ИЗМЕНЕН</v>
      </c>
      <c r="M2421" s="7">
        <f t="shared" si="151"/>
        <v>0</v>
      </c>
    </row>
    <row r="2422" spans="1:13" x14ac:dyDescent="0.25">
      <c r="A2422" s="1">
        <v>944009</v>
      </c>
      <c r="B2422" s="6" t="s">
        <v>2545</v>
      </c>
      <c r="F2422" s="6" t="s">
        <v>9</v>
      </c>
      <c r="G2422" s="6" t="s">
        <v>38</v>
      </c>
      <c r="H2422" s="9" t="s">
        <v>33</v>
      </c>
      <c r="I2422" s="7" t="str">
        <f t="shared" si="148"/>
        <v>61001005000</v>
      </c>
      <c r="J2422" s="7" t="str">
        <f t="shared" si="149"/>
        <v>Материал по ЕГРН</v>
      </c>
      <c r="K2422" s="7">
        <f>VLOOKUP(J2422,Лист2!A$2:B$4,2,FALSE)</f>
        <v>792</v>
      </c>
      <c r="L2422" s="7" t="str">
        <f t="shared" si="150"/>
        <v>ГОТОВ_ИЗМЕНЕН</v>
      </c>
      <c r="M2422" s="7">
        <f t="shared" si="151"/>
        <v>0</v>
      </c>
    </row>
    <row r="2423" spans="1:13" x14ac:dyDescent="0.25">
      <c r="A2423" s="1">
        <v>944021</v>
      </c>
      <c r="B2423" s="6" t="s">
        <v>2546</v>
      </c>
      <c r="F2423" s="6" t="s">
        <v>9</v>
      </c>
      <c r="G2423" s="6" t="s">
        <v>62</v>
      </c>
      <c r="H2423" s="9" t="s">
        <v>63</v>
      </c>
      <c r="I2423" s="7" t="str">
        <f t="shared" si="148"/>
        <v>61001006002</v>
      </c>
      <c r="J2423" s="7" t="str">
        <f t="shared" si="149"/>
        <v>Материал по ЕГРН</v>
      </c>
      <c r="K2423" s="7">
        <f>VLOOKUP(J2423,Лист2!A$2:B$4,2,FALSE)</f>
        <v>792</v>
      </c>
      <c r="L2423" s="7" t="str">
        <f t="shared" si="150"/>
        <v>ГОТОВ_ИЗМЕНЕН</v>
      </c>
      <c r="M2423" s="7">
        <f t="shared" si="151"/>
        <v>0</v>
      </c>
    </row>
    <row r="2424" spans="1:13" x14ac:dyDescent="0.25">
      <c r="A2424" s="1">
        <v>944033</v>
      </c>
      <c r="B2424" s="6" t="s">
        <v>2547</v>
      </c>
      <c r="F2424" s="6" t="s">
        <v>9</v>
      </c>
      <c r="G2424" s="6" t="s">
        <v>34</v>
      </c>
      <c r="H2424" s="9" t="s">
        <v>35</v>
      </c>
      <c r="I2424" s="7" t="str">
        <f t="shared" si="148"/>
        <v>61001002000</v>
      </c>
      <c r="J2424" s="7" t="str">
        <f t="shared" si="149"/>
        <v>Материал по ЕГРН</v>
      </c>
      <c r="K2424" s="7">
        <f>VLOOKUP(J2424,Лист2!A$2:B$4,2,FALSE)</f>
        <v>792</v>
      </c>
      <c r="L2424" s="7" t="str">
        <f t="shared" si="150"/>
        <v>ГОТОВ_ИЗМЕНЕН</v>
      </c>
      <c r="M2424" s="7">
        <f t="shared" si="151"/>
        <v>0</v>
      </c>
    </row>
    <row r="2425" spans="1:13" x14ac:dyDescent="0.25">
      <c r="A2425" s="1">
        <v>944045</v>
      </c>
      <c r="B2425" s="6" t="s">
        <v>2548</v>
      </c>
      <c r="F2425" s="6" t="s">
        <v>9</v>
      </c>
      <c r="G2425" s="6" t="s">
        <v>59</v>
      </c>
      <c r="H2425" s="9" t="s">
        <v>60</v>
      </c>
      <c r="I2425" s="7" t="str">
        <f t="shared" si="148"/>
        <v>61001001001</v>
      </c>
      <c r="J2425" s="7" t="str">
        <f t="shared" si="149"/>
        <v>Материал по ЕГРН</v>
      </c>
      <c r="K2425" s="7">
        <f>VLOOKUP(J2425,Лист2!A$2:B$4,2,FALSE)</f>
        <v>792</v>
      </c>
      <c r="L2425" s="7" t="str">
        <f t="shared" si="150"/>
        <v>ГОТОВ_ИЗМЕНЕН</v>
      </c>
      <c r="M2425" s="7">
        <f t="shared" si="151"/>
        <v>0</v>
      </c>
    </row>
    <row r="2426" spans="1:13" x14ac:dyDescent="0.25">
      <c r="A2426" s="1">
        <v>944057</v>
      </c>
      <c r="B2426" s="6" t="s">
        <v>2549</v>
      </c>
      <c r="F2426" s="6" t="s">
        <v>9</v>
      </c>
      <c r="G2426" s="6" t="s">
        <v>38</v>
      </c>
      <c r="H2426" s="9" t="s">
        <v>33</v>
      </c>
      <c r="I2426" s="7" t="str">
        <f t="shared" si="148"/>
        <v>61001005000</v>
      </c>
      <c r="J2426" s="7" t="str">
        <f t="shared" si="149"/>
        <v>Материал по ЕГРН</v>
      </c>
      <c r="K2426" s="7">
        <f>VLOOKUP(J2426,Лист2!A$2:B$4,2,FALSE)</f>
        <v>792</v>
      </c>
      <c r="L2426" s="7" t="str">
        <f t="shared" si="150"/>
        <v>ГОТОВ_ИЗМЕНЕН</v>
      </c>
      <c r="M2426" s="7">
        <f t="shared" si="151"/>
        <v>0</v>
      </c>
    </row>
    <row r="2427" spans="1:13" x14ac:dyDescent="0.25">
      <c r="A2427" s="1">
        <v>944069</v>
      </c>
      <c r="B2427" s="6" t="s">
        <v>2550</v>
      </c>
      <c r="F2427" s="6" t="s">
        <v>9</v>
      </c>
      <c r="G2427" s="6" t="s">
        <v>34</v>
      </c>
      <c r="H2427" s="9" t="s">
        <v>35</v>
      </c>
      <c r="I2427" s="7" t="str">
        <f t="shared" si="148"/>
        <v>61001002000</v>
      </c>
      <c r="J2427" s="7" t="str">
        <f t="shared" si="149"/>
        <v>Материал по ЕГРН</v>
      </c>
      <c r="K2427" s="7">
        <f>VLOOKUP(J2427,Лист2!A$2:B$4,2,FALSE)</f>
        <v>792</v>
      </c>
      <c r="L2427" s="7" t="str">
        <f t="shared" si="150"/>
        <v>ГОТОВ_ИЗМЕНЕН</v>
      </c>
      <c r="M2427" s="7">
        <f t="shared" si="151"/>
        <v>0</v>
      </c>
    </row>
    <row r="2428" spans="1:13" x14ac:dyDescent="0.25">
      <c r="A2428" s="1">
        <v>944081</v>
      </c>
      <c r="B2428" s="6" t="s">
        <v>2551</v>
      </c>
      <c r="F2428" s="6" t="s">
        <v>9</v>
      </c>
      <c r="G2428" s="6" t="s">
        <v>62</v>
      </c>
      <c r="H2428" s="9" t="s">
        <v>63</v>
      </c>
      <c r="I2428" s="7" t="str">
        <f t="shared" si="148"/>
        <v>61001006002</v>
      </c>
      <c r="J2428" s="7" t="str">
        <f t="shared" si="149"/>
        <v>Материал по ЕГРН</v>
      </c>
      <c r="K2428" s="7">
        <f>VLOOKUP(J2428,Лист2!A$2:B$4,2,FALSE)</f>
        <v>792</v>
      </c>
      <c r="L2428" s="7" t="str">
        <f t="shared" si="150"/>
        <v>ГОТОВ_ИЗМЕНЕН</v>
      </c>
      <c r="M2428" s="7">
        <f t="shared" si="151"/>
        <v>0</v>
      </c>
    </row>
    <row r="2429" spans="1:13" x14ac:dyDescent="0.25">
      <c r="A2429" s="1">
        <v>944093</v>
      </c>
      <c r="B2429" s="6" t="s">
        <v>2552</v>
      </c>
      <c r="F2429" s="6" t="s">
        <v>9</v>
      </c>
      <c r="G2429" s="6" t="s">
        <v>180</v>
      </c>
      <c r="H2429" s="9" t="s">
        <v>181</v>
      </c>
      <c r="I2429" s="7" t="str">
        <f t="shared" si="148"/>
        <v>61001009000</v>
      </c>
      <c r="J2429" s="7" t="str">
        <f t="shared" si="149"/>
        <v>Материал по ЕГРН</v>
      </c>
      <c r="K2429" s="7">
        <f>VLOOKUP(J2429,Лист2!A$2:B$4,2,FALSE)</f>
        <v>792</v>
      </c>
      <c r="L2429" s="7" t="str">
        <f t="shared" si="150"/>
        <v>ГОТОВ_ИЗМЕНЕН</v>
      </c>
      <c r="M2429" s="7">
        <f t="shared" si="151"/>
        <v>0</v>
      </c>
    </row>
    <row r="2430" spans="1:13" x14ac:dyDescent="0.25">
      <c r="A2430" s="1">
        <v>944105</v>
      </c>
      <c r="B2430" s="6" t="s">
        <v>2553</v>
      </c>
      <c r="F2430" s="6" t="s">
        <v>9</v>
      </c>
      <c r="G2430" s="6" t="s">
        <v>34</v>
      </c>
      <c r="H2430" s="9" t="s">
        <v>35</v>
      </c>
      <c r="I2430" s="7" t="str">
        <f t="shared" si="148"/>
        <v>61001002000</v>
      </c>
      <c r="J2430" s="7" t="str">
        <f t="shared" si="149"/>
        <v>Материал по ЕГРН</v>
      </c>
      <c r="K2430" s="7">
        <f>VLOOKUP(J2430,Лист2!A$2:B$4,2,FALSE)</f>
        <v>792</v>
      </c>
      <c r="L2430" s="7" t="str">
        <f t="shared" si="150"/>
        <v>ГОТОВ_ИЗМЕНЕН</v>
      </c>
      <c r="M2430" s="7">
        <f t="shared" si="151"/>
        <v>0</v>
      </c>
    </row>
    <row r="2431" spans="1:13" x14ac:dyDescent="0.25">
      <c r="A2431" s="1">
        <v>944117</v>
      </c>
      <c r="B2431" s="6" t="s">
        <v>2554</v>
      </c>
      <c r="F2431" s="6" t="s">
        <v>9</v>
      </c>
      <c r="G2431" s="6" t="s">
        <v>59</v>
      </c>
      <c r="H2431" s="9" t="s">
        <v>60</v>
      </c>
      <c r="I2431" s="7" t="str">
        <f t="shared" si="148"/>
        <v>61001001001</v>
      </c>
      <c r="J2431" s="7" t="str">
        <f t="shared" si="149"/>
        <v>Материал по ЕГРН</v>
      </c>
      <c r="K2431" s="7">
        <f>VLOOKUP(J2431,Лист2!A$2:B$4,2,FALSE)</f>
        <v>792</v>
      </c>
      <c r="L2431" s="7" t="str">
        <f t="shared" si="150"/>
        <v>ГОТОВ_ИЗМЕНЕН</v>
      </c>
      <c r="M2431" s="7">
        <f t="shared" si="151"/>
        <v>0</v>
      </c>
    </row>
    <row r="2432" spans="1:13" x14ac:dyDescent="0.25">
      <c r="A2432" s="1">
        <v>944129</v>
      </c>
      <c r="B2432" s="6" t="s">
        <v>2555</v>
      </c>
      <c r="F2432" s="6" t="s">
        <v>9</v>
      </c>
      <c r="G2432" s="6" t="s">
        <v>38</v>
      </c>
      <c r="H2432" s="9" t="s">
        <v>33</v>
      </c>
      <c r="I2432" s="7" t="str">
        <f t="shared" si="148"/>
        <v>61001005000</v>
      </c>
      <c r="J2432" s="7" t="str">
        <f t="shared" si="149"/>
        <v>Материал по ЕГРН</v>
      </c>
      <c r="K2432" s="7">
        <f>VLOOKUP(J2432,Лист2!A$2:B$4,2,FALSE)</f>
        <v>792</v>
      </c>
      <c r="L2432" s="7" t="str">
        <f t="shared" si="150"/>
        <v>ГОТОВ_ИЗМЕНЕН</v>
      </c>
      <c r="M2432" s="7">
        <f t="shared" si="151"/>
        <v>0</v>
      </c>
    </row>
    <row r="2433" spans="1:13" x14ac:dyDescent="0.25">
      <c r="A2433" s="1">
        <v>944141</v>
      </c>
      <c r="B2433" s="6" t="s">
        <v>2556</v>
      </c>
      <c r="F2433" s="6" t="s">
        <v>9</v>
      </c>
      <c r="G2433" s="6" t="s">
        <v>34</v>
      </c>
      <c r="H2433" s="9" t="s">
        <v>35</v>
      </c>
      <c r="I2433" s="7" t="str">
        <f t="shared" si="148"/>
        <v>61001002000</v>
      </c>
      <c r="J2433" s="7" t="str">
        <f t="shared" si="149"/>
        <v>Материал по ЕГРН</v>
      </c>
      <c r="K2433" s="7">
        <f>VLOOKUP(J2433,Лист2!A$2:B$4,2,FALSE)</f>
        <v>792</v>
      </c>
      <c r="L2433" s="7" t="str">
        <f t="shared" si="150"/>
        <v>ГОТОВ_ИЗМЕНЕН</v>
      </c>
      <c r="M2433" s="7">
        <f t="shared" si="151"/>
        <v>0</v>
      </c>
    </row>
    <row r="2434" spans="1:13" x14ac:dyDescent="0.25">
      <c r="A2434" s="1">
        <v>944153</v>
      </c>
      <c r="B2434" s="6" t="s">
        <v>2557</v>
      </c>
      <c r="F2434" s="6" t="s">
        <v>9</v>
      </c>
      <c r="G2434" s="6" t="s">
        <v>34</v>
      </c>
      <c r="H2434" s="9" t="s">
        <v>35</v>
      </c>
      <c r="I2434" s="7" t="str">
        <f t="shared" si="148"/>
        <v>61001002000</v>
      </c>
      <c r="J2434" s="7" t="str">
        <f t="shared" si="149"/>
        <v>Материал по ЕГРН</v>
      </c>
      <c r="K2434" s="7">
        <f>VLOOKUP(J2434,Лист2!A$2:B$4,2,FALSE)</f>
        <v>792</v>
      </c>
      <c r="L2434" s="7" t="str">
        <f t="shared" si="150"/>
        <v>ГОТОВ_ИЗМЕНЕН</v>
      </c>
      <c r="M2434" s="7">
        <f t="shared" si="151"/>
        <v>0</v>
      </c>
    </row>
    <row r="2435" spans="1:13" x14ac:dyDescent="0.25">
      <c r="A2435" s="1">
        <v>944165</v>
      </c>
      <c r="B2435" s="6" t="s">
        <v>2558</v>
      </c>
      <c r="F2435" s="6" t="s">
        <v>9</v>
      </c>
      <c r="G2435" s="6" t="s">
        <v>34</v>
      </c>
      <c r="H2435" s="9" t="s">
        <v>35</v>
      </c>
      <c r="I2435" s="7" t="str">
        <f t="shared" si="148"/>
        <v>61001002000</v>
      </c>
      <c r="J2435" s="7" t="str">
        <f t="shared" si="149"/>
        <v>Материал по ЕГРН</v>
      </c>
      <c r="K2435" s="7">
        <f>VLOOKUP(J2435,Лист2!A$2:B$4,2,FALSE)</f>
        <v>792</v>
      </c>
      <c r="L2435" s="7" t="str">
        <f t="shared" si="150"/>
        <v>ГОТОВ_ИЗМЕНЕН</v>
      </c>
      <c r="M2435" s="7">
        <f t="shared" si="151"/>
        <v>0</v>
      </c>
    </row>
    <row r="2436" spans="1:13" x14ac:dyDescent="0.25">
      <c r="A2436" s="1">
        <v>944177</v>
      </c>
      <c r="B2436" s="6" t="s">
        <v>2559</v>
      </c>
      <c r="F2436" s="6" t="s">
        <v>9</v>
      </c>
      <c r="G2436" s="6" t="s">
        <v>34</v>
      </c>
      <c r="H2436" s="9" t="s">
        <v>35</v>
      </c>
      <c r="I2436" s="7" t="str">
        <f t="shared" si="148"/>
        <v>61001002000</v>
      </c>
      <c r="J2436" s="7" t="str">
        <f t="shared" si="149"/>
        <v>Материал по ЕГРН</v>
      </c>
      <c r="K2436" s="7">
        <f>VLOOKUP(J2436,Лист2!A$2:B$4,2,FALSE)</f>
        <v>792</v>
      </c>
      <c r="L2436" s="7" t="str">
        <f t="shared" si="150"/>
        <v>ГОТОВ_ИЗМЕНЕН</v>
      </c>
      <c r="M2436" s="7">
        <f t="shared" si="151"/>
        <v>0</v>
      </c>
    </row>
    <row r="2437" spans="1:13" x14ac:dyDescent="0.25">
      <c r="A2437" s="1">
        <v>944189</v>
      </c>
      <c r="B2437" s="6" t="s">
        <v>2560</v>
      </c>
      <c r="F2437" s="6" t="s">
        <v>9</v>
      </c>
      <c r="G2437" s="6" t="s">
        <v>59</v>
      </c>
      <c r="H2437" s="9" t="s">
        <v>60</v>
      </c>
      <c r="I2437" s="7" t="str">
        <f t="shared" ref="I2437:I2500" si="152">IF(LEN(H2437)=11,H2437,IF(LEN(H2437)=0,"61001005000","61001003000"))</f>
        <v>61001001001</v>
      </c>
      <c r="J2437" s="7" t="str">
        <f t="shared" ref="J2437:J2500" si="153">IF(LEN(H2437)=11,"Материал по ЕГРН",IF(LEN(H2437)=0,"Прочие по допущению","Смешанные по допущению"))</f>
        <v>Материал по ЕГРН</v>
      </c>
      <c r="K2437" s="7">
        <f>VLOOKUP(J2437,Лист2!A$2:B$4,2,FALSE)</f>
        <v>792</v>
      </c>
      <c r="L2437" s="7" t="str">
        <f t="shared" ref="L2437:L2500" si="154">IF(I2437=C2437,"ГОТОВ","ГОТОВ_ИЗМЕНЕН")</f>
        <v>ГОТОВ_ИЗМЕНЕН</v>
      </c>
      <c r="M2437" s="7">
        <f t="shared" ref="M2437:M2500" si="155">C2437</f>
        <v>0</v>
      </c>
    </row>
    <row r="2438" spans="1:13" x14ac:dyDescent="0.25">
      <c r="A2438" s="1">
        <v>944201</v>
      </c>
      <c r="B2438" s="6" t="s">
        <v>2561</v>
      </c>
      <c r="F2438" s="6" t="s">
        <v>9</v>
      </c>
      <c r="G2438" s="6" t="s">
        <v>62</v>
      </c>
      <c r="H2438" s="9" t="s">
        <v>63</v>
      </c>
      <c r="I2438" s="7" t="str">
        <f t="shared" si="152"/>
        <v>61001006002</v>
      </c>
      <c r="J2438" s="7" t="str">
        <f t="shared" si="153"/>
        <v>Материал по ЕГРН</v>
      </c>
      <c r="K2438" s="7">
        <f>VLOOKUP(J2438,Лист2!A$2:B$4,2,FALSE)</f>
        <v>792</v>
      </c>
      <c r="L2438" s="7" t="str">
        <f t="shared" si="154"/>
        <v>ГОТОВ_ИЗМЕНЕН</v>
      </c>
      <c r="M2438" s="7">
        <f t="shared" si="155"/>
        <v>0</v>
      </c>
    </row>
    <row r="2439" spans="1:13" x14ac:dyDescent="0.25">
      <c r="A2439" s="1">
        <v>944213</v>
      </c>
      <c r="B2439" s="6" t="s">
        <v>2562</v>
      </c>
      <c r="F2439" s="6" t="s">
        <v>9</v>
      </c>
      <c r="G2439" s="6" t="s">
        <v>38</v>
      </c>
      <c r="H2439" s="9" t="s">
        <v>33</v>
      </c>
      <c r="I2439" s="7" t="str">
        <f t="shared" si="152"/>
        <v>61001005000</v>
      </c>
      <c r="J2439" s="7" t="str">
        <f t="shared" si="153"/>
        <v>Материал по ЕГРН</v>
      </c>
      <c r="K2439" s="7">
        <f>VLOOKUP(J2439,Лист2!A$2:B$4,2,FALSE)</f>
        <v>792</v>
      </c>
      <c r="L2439" s="7" t="str">
        <f t="shared" si="154"/>
        <v>ГОТОВ_ИЗМЕНЕН</v>
      </c>
      <c r="M2439" s="7">
        <f t="shared" si="155"/>
        <v>0</v>
      </c>
    </row>
    <row r="2440" spans="1:13" x14ac:dyDescent="0.25">
      <c r="A2440" s="1">
        <v>944225</v>
      </c>
      <c r="B2440" s="6" t="s">
        <v>2563</v>
      </c>
      <c r="F2440" s="6" t="s">
        <v>9</v>
      </c>
      <c r="G2440" s="6" t="s">
        <v>38</v>
      </c>
      <c r="H2440" s="9" t="s">
        <v>33</v>
      </c>
      <c r="I2440" s="7" t="str">
        <f t="shared" si="152"/>
        <v>61001005000</v>
      </c>
      <c r="J2440" s="7" t="str">
        <f t="shared" si="153"/>
        <v>Материал по ЕГРН</v>
      </c>
      <c r="K2440" s="7">
        <f>VLOOKUP(J2440,Лист2!A$2:B$4,2,FALSE)</f>
        <v>792</v>
      </c>
      <c r="L2440" s="7" t="str">
        <f t="shared" si="154"/>
        <v>ГОТОВ_ИЗМЕНЕН</v>
      </c>
      <c r="M2440" s="7">
        <f t="shared" si="155"/>
        <v>0</v>
      </c>
    </row>
    <row r="2441" spans="1:13" x14ac:dyDescent="0.25">
      <c r="A2441" s="1">
        <v>944237</v>
      </c>
      <c r="B2441" s="6" t="s">
        <v>2564</v>
      </c>
      <c r="F2441" s="6" t="s">
        <v>9</v>
      </c>
      <c r="G2441" s="6" t="s">
        <v>38</v>
      </c>
      <c r="H2441" s="9" t="s">
        <v>33</v>
      </c>
      <c r="I2441" s="7" t="str">
        <f t="shared" si="152"/>
        <v>61001005000</v>
      </c>
      <c r="J2441" s="7" t="str">
        <f t="shared" si="153"/>
        <v>Материал по ЕГРН</v>
      </c>
      <c r="K2441" s="7">
        <f>VLOOKUP(J2441,Лист2!A$2:B$4,2,FALSE)</f>
        <v>792</v>
      </c>
      <c r="L2441" s="7" t="str">
        <f t="shared" si="154"/>
        <v>ГОТОВ_ИЗМЕНЕН</v>
      </c>
      <c r="M2441" s="7">
        <f t="shared" si="155"/>
        <v>0</v>
      </c>
    </row>
    <row r="2442" spans="1:13" x14ac:dyDescent="0.25">
      <c r="A2442" s="1">
        <v>944249</v>
      </c>
      <c r="B2442" s="6" t="s">
        <v>2565</v>
      </c>
      <c r="F2442" s="6" t="s">
        <v>9</v>
      </c>
      <c r="G2442" s="6" t="s">
        <v>34</v>
      </c>
      <c r="H2442" s="9" t="s">
        <v>35</v>
      </c>
      <c r="I2442" s="7" t="str">
        <f t="shared" si="152"/>
        <v>61001002000</v>
      </c>
      <c r="J2442" s="7" t="str">
        <f t="shared" si="153"/>
        <v>Материал по ЕГРН</v>
      </c>
      <c r="K2442" s="7">
        <f>VLOOKUP(J2442,Лист2!A$2:B$4,2,FALSE)</f>
        <v>792</v>
      </c>
      <c r="L2442" s="7" t="str">
        <f t="shared" si="154"/>
        <v>ГОТОВ_ИЗМЕНЕН</v>
      </c>
      <c r="M2442" s="7">
        <f t="shared" si="155"/>
        <v>0</v>
      </c>
    </row>
    <row r="2443" spans="1:13" x14ac:dyDescent="0.25">
      <c r="A2443" s="1">
        <v>944261</v>
      </c>
      <c r="B2443" s="6" t="s">
        <v>2566</v>
      </c>
      <c r="F2443" s="6" t="s">
        <v>9</v>
      </c>
      <c r="G2443" s="6" t="s">
        <v>10</v>
      </c>
      <c r="H2443" s="9" t="s">
        <v>11</v>
      </c>
      <c r="I2443" s="7" t="str">
        <f t="shared" si="152"/>
        <v>61001003000</v>
      </c>
      <c r="J2443" s="7" t="str">
        <f t="shared" si="153"/>
        <v>Материал по ЕГРН</v>
      </c>
      <c r="K2443" s="7">
        <f>VLOOKUP(J2443,Лист2!A$2:B$4,2,FALSE)</f>
        <v>792</v>
      </c>
      <c r="L2443" s="7" t="str">
        <f t="shared" si="154"/>
        <v>ГОТОВ_ИЗМЕНЕН</v>
      </c>
      <c r="M2443" s="7">
        <f t="shared" si="155"/>
        <v>0</v>
      </c>
    </row>
    <row r="2444" spans="1:13" x14ac:dyDescent="0.25">
      <c r="A2444" s="1">
        <v>944273</v>
      </c>
      <c r="B2444" s="6" t="s">
        <v>2567</v>
      </c>
      <c r="F2444" s="6" t="s">
        <v>9</v>
      </c>
      <c r="G2444" s="6" t="s">
        <v>34</v>
      </c>
      <c r="H2444" s="9" t="s">
        <v>35</v>
      </c>
      <c r="I2444" s="7" t="str">
        <f t="shared" si="152"/>
        <v>61001002000</v>
      </c>
      <c r="J2444" s="7" t="str">
        <f t="shared" si="153"/>
        <v>Материал по ЕГРН</v>
      </c>
      <c r="K2444" s="7">
        <f>VLOOKUP(J2444,Лист2!A$2:B$4,2,FALSE)</f>
        <v>792</v>
      </c>
      <c r="L2444" s="7" t="str">
        <f t="shared" si="154"/>
        <v>ГОТОВ_ИЗМЕНЕН</v>
      </c>
      <c r="M2444" s="7">
        <f t="shared" si="155"/>
        <v>0</v>
      </c>
    </row>
    <row r="2445" spans="1:13" ht="25.5" x14ac:dyDescent="0.25">
      <c r="A2445" s="1">
        <v>78105</v>
      </c>
      <c r="B2445" s="6" t="s">
        <v>2568</v>
      </c>
      <c r="C2445" s="9" t="s">
        <v>2569</v>
      </c>
      <c r="D2445" s="6" t="s">
        <v>14</v>
      </c>
      <c r="E2445" s="6" t="s">
        <v>37</v>
      </c>
      <c r="F2445" s="6" t="s">
        <v>9</v>
      </c>
      <c r="G2445" s="6" t="s">
        <v>2570</v>
      </c>
      <c r="H2445" s="9" t="s">
        <v>2569</v>
      </c>
      <c r="I2445" s="7" t="str">
        <f t="shared" si="152"/>
        <v>61001007005</v>
      </c>
      <c r="J2445" s="7" t="str">
        <f t="shared" si="153"/>
        <v>Материал по ЕГРН</v>
      </c>
      <c r="K2445" s="7">
        <f>VLOOKUP(J2445,Лист2!A$2:B$4,2,FALSE)</f>
        <v>792</v>
      </c>
      <c r="L2445" s="7" t="str">
        <f t="shared" si="154"/>
        <v>ГОТОВ</v>
      </c>
      <c r="M2445" s="7" t="str">
        <f t="shared" si="155"/>
        <v>61001007005</v>
      </c>
    </row>
    <row r="2446" spans="1:13" x14ac:dyDescent="0.25">
      <c r="A2446" s="1">
        <v>378700</v>
      </c>
      <c r="B2446" s="6" t="s">
        <v>2571</v>
      </c>
      <c r="C2446" s="9" t="s">
        <v>60</v>
      </c>
      <c r="D2446" s="6" t="s">
        <v>20</v>
      </c>
      <c r="E2446" s="6" t="s">
        <v>37</v>
      </c>
      <c r="F2446" s="6" t="s">
        <v>9</v>
      </c>
      <c r="G2446" s="6" t="s">
        <v>59</v>
      </c>
      <c r="H2446" s="9" t="s">
        <v>60</v>
      </c>
      <c r="I2446" s="7" t="str">
        <f t="shared" si="152"/>
        <v>61001001001</v>
      </c>
      <c r="J2446" s="7" t="str">
        <f t="shared" si="153"/>
        <v>Материал по ЕГРН</v>
      </c>
      <c r="K2446" s="7">
        <f>VLOOKUP(J2446,Лист2!A$2:B$4,2,FALSE)</f>
        <v>792</v>
      </c>
      <c r="L2446" s="7" t="str">
        <f t="shared" si="154"/>
        <v>ГОТОВ</v>
      </c>
      <c r="M2446" s="7" t="str">
        <f t="shared" si="155"/>
        <v>61001001001</v>
      </c>
    </row>
    <row r="2447" spans="1:13" x14ac:dyDescent="0.25">
      <c r="A2447" s="1">
        <v>767766</v>
      </c>
      <c r="B2447" s="6" t="s">
        <v>2572</v>
      </c>
      <c r="C2447" s="9" t="s">
        <v>110</v>
      </c>
      <c r="D2447" s="6" t="s">
        <v>20</v>
      </c>
      <c r="E2447" s="6" t="s">
        <v>37</v>
      </c>
      <c r="F2447" s="6" t="s">
        <v>9</v>
      </c>
      <c r="G2447" s="6" t="s">
        <v>111</v>
      </c>
      <c r="H2447" s="9" t="s">
        <v>110</v>
      </c>
      <c r="I2447" s="7" t="str">
        <f t="shared" si="152"/>
        <v>61001007001</v>
      </c>
      <c r="J2447" s="7" t="str">
        <f t="shared" si="153"/>
        <v>Материал по ЕГРН</v>
      </c>
      <c r="K2447" s="7">
        <f>VLOOKUP(J2447,Лист2!A$2:B$4,2,FALSE)</f>
        <v>792</v>
      </c>
      <c r="L2447" s="7" t="str">
        <f t="shared" si="154"/>
        <v>ГОТОВ</v>
      </c>
      <c r="M2447" s="7" t="str">
        <f t="shared" si="155"/>
        <v>61001007001</v>
      </c>
    </row>
    <row r="2448" spans="1:13" x14ac:dyDescent="0.25">
      <c r="A2448" s="1">
        <v>853884</v>
      </c>
      <c r="B2448" s="6" t="s">
        <v>2573</v>
      </c>
      <c r="C2448" s="9" t="s">
        <v>42</v>
      </c>
      <c r="D2448" s="6" t="s">
        <v>20</v>
      </c>
      <c r="E2448" s="6" t="s">
        <v>37</v>
      </c>
      <c r="F2448" s="6" t="s">
        <v>9</v>
      </c>
      <c r="G2448" s="6" t="s">
        <v>43</v>
      </c>
      <c r="H2448" s="9" t="s">
        <v>42</v>
      </c>
      <c r="I2448" s="7" t="str">
        <f t="shared" si="152"/>
        <v>61001002001</v>
      </c>
      <c r="J2448" s="7" t="str">
        <f t="shared" si="153"/>
        <v>Материал по ЕГРН</v>
      </c>
      <c r="K2448" s="7">
        <f>VLOOKUP(J2448,Лист2!A$2:B$4,2,FALSE)</f>
        <v>792</v>
      </c>
      <c r="L2448" s="7" t="str">
        <f t="shared" si="154"/>
        <v>ГОТОВ</v>
      </c>
      <c r="M2448" s="7" t="str">
        <f t="shared" si="155"/>
        <v>61001002001</v>
      </c>
    </row>
    <row r="2449" spans="1:13" x14ac:dyDescent="0.25">
      <c r="A2449" s="1">
        <v>945790</v>
      </c>
      <c r="B2449" s="6" t="s">
        <v>2574</v>
      </c>
      <c r="F2449" s="6" t="s">
        <v>9</v>
      </c>
      <c r="G2449" s="6" t="s">
        <v>34</v>
      </c>
      <c r="H2449" s="9" t="s">
        <v>35</v>
      </c>
      <c r="I2449" s="7" t="str">
        <f t="shared" si="152"/>
        <v>61001002000</v>
      </c>
      <c r="J2449" s="7" t="str">
        <f t="shared" si="153"/>
        <v>Материал по ЕГРН</v>
      </c>
      <c r="K2449" s="7">
        <f>VLOOKUP(J2449,Лист2!A$2:B$4,2,FALSE)</f>
        <v>792</v>
      </c>
      <c r="L2449" s="7" t="str">
        <f t="shared" si="154"/>
        <v>ГОТОВ_ИЗМЕНЕН</v>
      </c>
      <c r="M2449" s="7">
        <f t="shared" si="155"/>
        <v>0</v>
      </c>
    </row>
    <row r="2450" spans="1:13" x14ac:dyDescent="0.25">
      <c r="A2450" s="1">
        <v>945802</v>
      </c>
      <c r="B2450" s="6" t="s">
        <v>2575</v>
      </c>
      <c r="F2450" s="6" t="s">
        <v>9</v>
      </c>
      <c r="G2450" s="6" t="s">
        <v>38</v>
      </c>
      <c r="H2450" s="9" t="s">
        <v>33</v>
      </c>
      <c r="I2450" s="7" t="str">
        <f t="shared" si="152"/>
        <v>61001005000</v>
      </c>
      <c r="J2450" s="7" t="str">
        <f t="shared" si="153"/>
        <v>Материал по ЕГРН</v>
      </c>
      <c r="K2450" s="7">
        <f>VLOOKUP(J2450,Лист2!A$2:B$4,2,FALSE)</f>
        <v>792</v>
      </c>
      <c r="L2450" s="7" t="str">
        <f t="shared" si="154"/>
        <v>ГОТОВ_ИЗМЕНЕН</v>
      </c>
      <c r="M2450" s="7">
        <f t="shared" si="155"/>
        <v>0</v>
      </c>
    </row>
    <row r="2451" spans="1:13" x14ac:dyDescent="0.25">
      <c r="A2451" s="1">
        <v>945814</v>
      </c>
      <c r="B2451" s="6" t="s">
        <v>2576</v>
      </c>
      <c r="F2451" s="6" t="s">
        <v>9</v>
      </c>
      <c r="I2451" s="7" t="str">
        <f t="shared" si="152"/>
        <v>61001005000</v>
      </c>
      <c r="J2451" s="7" t="str">
        <f t="shared" si="153"/>
        <v>Прочие по допущению</v>
      </c>
      <c r="K2451" s="7">
        <f>VLOOKUP(J2451,Лист2!A$2:B$4,2,FALSE)</f>
        <v>794</v>
      </c>
      <c r="L2451" s="7" t="str">
        <f t="shared" si="154"/>
        <v>ГОТОВ_ИЗМЕНЕН</v>
      </c>
      <c r="M2451" s="7">
        <f t="shared" si="155"/>
        <v>0</v>
      </c>
    </row>
    <row r="2452" spans="1:13" x14ac:dyDescent="0.25">
      <c r="A2452" s="1">
        <v>945830</v>
      </c>
      <c r="B2452" s="6" t="s">
        <v>2577</v>
      </c>
      <c r="F2452" s="6" t="s">
        <v>9</v>
      </c>
      <c r="G2452" s="6" t="s">
        <v>38</v>
      </c>
      <c r="H2452" s="9" t="s">
        <v>33</v>
      </c>
      <c r="I2452" s="7" t="str">
        <f t="shared" si="152"/>
        <v>61001005000</v>
      </c>
      <c r="J2452" s="7" t="str">
        <f t="shared" si="153"/>
        <v>Материал по ЕГРН</v>
      </c>
      <c r="K2452" s="7">
        <f>VLOOKUP(J2452,Лист2!A$2:B$4,2,FALSE)</f>
        <v>792</v>
      </c>
      <c r="L2452" s="7" t="str">
        <f t="shared" si="154"/>
        <v>ГОТОВ_ИЗМЕНЕН</v>
      </c>
      <c r="M2452" s="7">
        <f t="shared" si="155"/>
        <v>0</v>
      </c>
    </row>
    <row r="2453" spans="1:13" x14ac:dyDescent="0.25">
      <c r="A2453" s="1">
        <v>945842</v>
      </c>
      <c r="B2453" s="6" t="s">
        <v>2578</v>
      </c>
      <c r="F2453" s="6" t="s">
        <v>9</v>
      </c>
      <c r="G2453" s="6" t="s">
        <v>73</v>
      </c>
      <c r="H2453" s="9" t="s">
        <v>74</v>
      </c>
      <c r="I2453" s="7" t="str">
        <f t="shared" si="152"/>
        <v>61001006000</v>
      </c>
      <c r="J2453" s="7" t="str">
        <f t="shared" si="153"/>
        <v>Материал по ЕГРН</v>
      </c>
      <c r="K2453" s="7">
        <f>VLOOKUP(J2453,Лист2!A$2:B$4,2,FALSE)</f>
        <v>792</v>
      </c>
      <c r="L2453" s="7" t="str">
        <f t="shared" si="154"/>
        <v>ГОТОВ_ИЗМЕНЕН</v>
      </c>
      <c r="M2453" s="7">
        <f t="shared" si="155"/>
        <v>0</v>
      </c>
    </row>
    <row r="2454" spans="1:13" x14ac:dyDescent="0.25">
      <c r="A2454" s="1">
        <v>945854</v>
      </c>
      <c r="B2454" s="6" t="s">
        <v>2579</v>
      </c>
      <c r="F2454" s="6" t="s">
        <v>9</v>
      </c>
      <c r="G2454" s="6" t="s">
        <v>111</v>
      </c>
      <c r="H2454" s="9" t="s">
        <v>110</v>
      </c>
      <c r="I2454" s="7" t="str">
        <f t="shared" si="152"/>
        <v>61001007001</v>
      </c>
      <c r="J2454" s="7" t="str">
        <f t="shared" si="153"/>
        <v>Материал по ЕГРН</v>
      </c>
      <c r="K2454" s="7">
        <f>VLOOKUP(J2454,Лист2!A$2:B$4,2,FALSE)</f>
        <v>792</v>
      </c>
      <c r="L2454" s="7" t="str">
        <f t="shared" si="154"/>
        <v>ГОТОВ_ИЗМЕНЕН</v>
      </c>
      <c r="M2454" s="7">
        <f t="shared" si="155"/>
        <v>0</v>
      </c>
    </row>
    <row r="2455" spans="1:13" x14ac:dyDescent="0.25">
      <c r="A2455" s="1">
        <v>945866</v>
      </c>
      <c r="B2455" s="6" t="s">
        <v>2580</v>
      </c>
      <c r="F2455" s="6" t="s">
        <v>9</v>
      </c>
      <c r="G2455" s="6" t="s">
        <v>34</v>
      </c>
      <c r="H2455" s="9" t="s">
        <v>35</v>
      </c>
      <c r="I2455" s="7" t="str">
        <f t="shared" si="152"/>
        <v>61001002000</v>
      </c>
      <c r="J2455" s="7" t="str">
        <f t="shared" si="153"/>
        <v>Материал по ЕГРН</v>
      </c>
      <c r="K2455" s="7">
        <f>VLOOKUP(J2455,Лист2!A$2:B$4,2,FALSE)</f>
        <v>792</v>
      </c>
      <c r="L2455" s="7" t="str">
        <f t="shared" si="154"/>
        <v>ГОТОВ_ИЗМЕНЕН</v>
      </c>
      <c r="M2455" s="7">
        <f t="shared" si="155"/>
        <v>0</v>
      </c>
    </row>
    <row r="2456" spans="1:13" x14ac:dyDescent="0.25">
      <c r="A2456" s="1">
        <v>945878</v>
      </c>
      <c r="B2456" s="6" t="s">
        <v>2581</v>
      </c>
      <c r="F2456" s="6" t="s">
        <v>9</v>
      </c>
      <c r="G2456" s="6" t="s">
        <v>34</v>
      </c>
      <c r="H2456" s="9" t="s">
        <v>35</v>
      </c>
      <c r="I2456" s="7" t="str">
        <f t="shared" si="152"/>
        <v>61001002000</v>
      </c>
      <c r="J2456" s="7" t="str">
        <f t="shared" si="153"/>
        <v>Материал по ЕГРН</v>
      </c>
      <c r="K2456" s="7">
        <f>VLOOKUP(J2456,Лист2!A$2:B$4,2,FALSE)</f>
        <v>792</v>
      </c>
      <c r="L2456" s="7" t="str">
        <f t="shared" si="154"/>
        <v>ГОТОВ_ИЗМЕНЕН</v>
      </c>
      <c r="M2456" s="7">
        <f t="shared" si="155"/>
        <v>0</v>
      </c>
    </row>
    <row r="2457" spans="1:13" x14ac:dyDescent="0.25">
      <c r="A2457" s="1">
        <v>945890</v>
      </c>
      <c r="B2457" s="6" t="s">
        <v>2582</v>
      </c>
      <c r="F2457" s="6" t="s">
        <v>9</v>
      </c>
      <c r="G2457" s="6" t="s">
        <v>34</v>
      </c>
      <c r="H2457" s="9" t="s">
        <v>35</v>
      </c>
      <c r="I2457" s="7" t="str">
        <f t="shared" si="152"/>
        <v>61001002000</v>
      </c>
      <c r="J2457" s="7" t="str">
        <f t="shared" si="153"/>
        <v>Материал по ЕГРН</v>
      </c>
      <c r="K2457" s="7">
        <f>VLOOKUP(J2457,Лист2!A$2:B$4,2,FALSE)</f>
        <v>792</v>
      </c>
      <c r="L2457" s="7" t="str">
        <f t="shared" si="154"/>
        <v>ГОТОВ_ИЗМЕНЕН</v>
      </c>
      <c r="M2457" s="7">
        <f t="shared" si="155"/>
        <v>0</v>
      </c>
    </row>
    <row r="2458" spans="1:13" x14ac:dyDescent="0.25">
      <c r="A2458" s="1">
        <v>945902</v>
      </c>
      <c r="B2458" s="6" t="s">
        <v>2583</v>
      </c>
      <c r="F2458" s="6" t="s">
        <v>9</v>
      </c>
      <c r="G2458" s="6" t="s">
        <v>10</v>
      </c>
      <c r="H2458" s="9" t="s">
        <v>11</v>
      </c>
      <c r="I2458" s="7" t="str">
        <f t="shared" si="152"/>
        <v>61001003000</v>
      </c>
      <c r="J2458" s="7" t="str">
        <f t="shared" si="153"/>
        <v>Материал по ЕГРН</v>
      </c>
      <c r="K2458" s="7">
        <f>VLOOKUP(J2458,Лист2!A$2:B$4,2,FALSE)</f>
        <v>792</v>
      </c>
      <c r="L2458" s="7" t="str">
        <f t="shared" si="154"/>
        <v>ГОТОВ_ИЗМЕНЕН</v>
      </c>
      <c r="M2458" s="7">
        <f t="shared" si="155"/>
        <v>0</v>
      </c>
    </row>
    <row r="2459" spans="1:13" x14ac:dyDescent="0.25">
      <c r="A2459" s="1">
        <v>945914</v>
      </c>
      <c r="B2459" s="6" t="s">
        <v>2584</v>
      </c>
      <c r="F2459" s="6" t="s">
        <v>9</v>
      </c>
      <c r="G2459" s="6" t="s">
        <v>34</v>
      </c>
      <c r="H2459" s="9" t="s">
        <v>35</v>
      </c>
      <c r="I2459" s="7" t="str">
        <f t="shared" si="152"/>
        <v>61001002000</v>
      </c>
      <c r="J2459" s="7" t="str">
        <f t="shared" si="153"/>
        <v>Материал по ЕГРН</v>
      </c>
      <c r="K2459" s="7">
        <f>VLOOKUP(J2459,Лист2!A$2:B$4,2,FALSE)</f>
        <v>792</v>
      </c>
      <c r="L2459" s="7" t="str">
        <f t="shared" si="154"/>
        <v>ГОТОВ_ИЗМЕНЕН</v>
      </c>
      <c r="M2459" s="7">
        <f t="shared" si="155"/>
        <v>0</v>
      </c>
    </row>
    <row r="2460" spans="1:13" x14ac:dyDescent="0.25">
      <c r="A2460" s="1">
        <v>945926</v>
      </c>
      <c r="B2460" s="6" t="s">
        <v>2585</v>
      </c>
      <c r="F2460" s="6" t="s">
        <v>9</v>
      </c>
      <c r="G2460" s="6" t="s">
        <v>10</v>
      </c>
      <c r="H2460" s="9" t="s">
        <v>11</v>
      </c>
      <c r="I2460" s="7" t="str">
        <f t="shared" si="152"/>
        <v>61001003000</v>
      </c>
      <c r="J2460" s="7" t="str">
        <f t="shared" si="153"/>
        <v>Материал по ЕГРН</v>
      </c>
      <c r="K2460" s="7">
        <f>VLOOKUP(J2460,Лист2!A$2:B$4,2,FALSE)</f>
        <v>792</v>
      </c>
      <c r="L2460" s="7" t="str">
        <f t="shared" si="154"/>
        <v>ГОТОВ_ИЗМЕНЕН</v>
      </c>
      <c r="M2460" s="7">
        <f t="shared" si="155"/>
        <v>0</v>
      </c>
    </row>
    <row r="2461" spans="1:13" x14ac:dyDescent="0.25">
      <c r="A2461" s="1">
        <v>945938</v>
      </c>
      <c r="B2461" s="6" t="s">
        <v>2586</v>
      </c>
      <c r="F2461" s="6" t="s">
        <v>9</v>
      </c>
      <c r="G2461" s="6" t="s">
        <v>73</v>
      </c>
      <c r="H2461" s="9" t="s">
        <v>74</v>
      </c>
      <c r="I2461" s="7" t="str">
        <f t="shared" si="152"/>
        <v>61001006000</v>
      </c>
      <c r="J2461" s="7" t="str">
        <f t="shared" si="153"/>
        <v>Материал по ЕГРН</v>
      </c>
      <c r="K2461" s="7">
        <f>VLOOKUP(J2461,Лист2!A$2:B$4,2,FALSE)</f>
        <v>792</v>
      </c>
      <c r="L2461" s="7" t="str">
        <f t="shared" si="154"/>
        <v>ГОТОВ_ИЗМЕНЕН</v>
      </c>
      <c r="M2461" s="7">
        <f t="shared" si="155"/>
        <v>0</v>
      </c>
    </row>
    <row r="2462" spans="1:13" x14ac:dyDescent="0.25">
      <c r="A2462" s="1">
        <v>945950</v>
      </c>
      <c r="B2462" s="6" t="s">
        <v>2587</v>
      </c>
      <c r="F2462" s="6" t="s">
        <v>9</v>
      </c>
      <c r="G2462" s="6" t="s">
        <v>2588</v>
      </c>
      <c r="H2462" s="9" t="s">
        <v>2589</v>
      </c>
      <c r="I2462" s="7" t="str">
        <f t="shared" si="152"/>
        <v>61001003000</v>
      </c>
      <c r="J2462" s="7" t="str">
        <f t="shared" si="153"/>
        <v>Смешанные по допущению</v>
      </c>
      <c r="K2462" s="7">
        <f>VLOOKUP(J2462,Лист2!A$2:B$4,2,FALSE)</f>
        <v>793</v>
      </c>
      <c r="L2462" s="7" t="str">
        <f t="shared" si="154"/>
        <v>ГОТОВ_ИЗМЕНЕН</v>
      </c>
      <c r="M2462" s="7">
        <f t="shared" si="155"/>
        <v>0</v>
      </c>
    </row>
    <row r="2463" spans="1:13" x14ac:dyDescent="0.25">
      <c r="A2463" s="1">
        <v>945962</v>
      </c>
      <c r="B2463" s="6" t="s">
        <v>2590</v>
      </c>
      <c r="F2463" s="6" t="s">
        <v>9</v>
      </c>
      <c r="G2463" s="6" t="s">
        <v>38</v>
      </c>
      <c r="H2463" s="9" t="s">
        <v>33</v>
      </c>
      <c r="I2463" s="7" t="str">
        <f t="shared" si="152"/>
        <v>61001005000</v>
      </c>
      <c r="J2463" s="7" t="str">
        <f t="shared" si="153"/>
        <v>Материал по ЕГРН</v>
      </c>
      <c r="K2463" s="7">
        <f>VLOOKUP(J2463,Лист2!A$2:B$4,2,FALSE)</f>
        <v>792</v>
      </c>
      <c r="L2463" s="7" t="str">
        <f t="shared" si="154"/>
        <v>ГОТОВ_ИЗМЕНЕН</v>
      </c>
      <c r="M2463" s="7">
        <f t="shared" si="155"/>
        <v>0</v>
      </c>
    </row>
    <row r="2464" spans="1:13" x14ac:dyDescent="0.25">
      <c r="A2464" s="1">
        <v>945974</v>
      </c>
      <c r="B2464" s="6" t="s">
        <v>2591</v>
      </c>
      <c r="F2464" s="6" t="s">
        <v>9</v>
      </c>
      <c r="G2464" s="6" t="s">
        <v>10</v>
      </c>
      <c r="H2464" s="9" t="s">
        <v>11</v>
      </c>
      <c r="I2464" s="7" t="str">
        <f t="shared" si="152"/>
        <v>61001003000</v>
      </c>
      <c r="J2464" s="7" t="str">
        <f t="shared" si="153"/>
        <v>Материал по ЕГРН</v>
      </c>
      <c r="K2464" s="7">
        <f>VLOOKUP(J2464,Лист2!A$2:B$4,2,FALSE)</f>
        <v>792</v>
      </c>
      <c r="L2464" s="7" t="str">
        <f t="shared" si="154"/>
        <v>ГОТОВ_ИЗМЕНЕН</v>
      </c>
      <c r="M2464" s="7">
        <f t="shared" si="155"/>
        <v>0</v>
      </c>
    </row>
    <row r="2465" spans="1:13" x14ac:dyDescent="0.25">
      <c r="A2465" s="1">
        <v>945986</v>
      </c>
      <c r="B2465" s="6" t="s">
        <v>2592</v>
      </c>
      <c r="F2465" s="6" t="s">
        <v>9</v>
      </c>
      <c r="G2465" s="6" t="s">
        <v>62</v>
      </c>
      <c r="H2465" s="9" t="s">
        <v>63</v>
      </c>
      <c r="I2465" s="7" t="str">
        <f t="shared" si="152"/>
        <v>61001006002</v>
      </c>
      <c r="J2465" s="7" t="str">
        <f t="shared" si="153"/>
        <v>Материал по ЕГРН</v>
      </c>
      <c r="K2465" s="7">
        <f>VLOOKUP(J2465,Лист2!A$2:B$4,2,FALSE)</f>
        <v>792</v>
      </c>
      <c r="L2465" s="7" t="str">
        <f t="shared" si="154"/>
        <v>ГОТОВ_ИЗМЕНЕН</v>
      </c>
      <c r="M2465" s="7">
        <f t="shared" si="155"/>
        <v>0</v>
      </c>
    </row>
    <row r="2466" spans="1:13" x14ac:dyDescent="0.25">
      <c r="A2466" s="1">
        <v>945998</v>
      </c>
      <c r="B2466" s="6" t="s">
        <v>2593</v>
      </c>
      <c r="F2466" s="6" t="s">
        <v>9</v>
      </c>
      <c r="G2466" s="6" t="s">
        <v>10</v>
      </c>
      <c r="H2466" s="9" t="s">
        <v>11</v>
      </c>
      <c r="I2466" s="7" t="str">
        <f t="shared" si="152"/>
        <v>61001003000</v>
      </c>
      <c r="J2466" s="7" t="str">
        <f t="shared" si="153"/>
        <v>Материал по ЕГРН</v>
      </c>
      <c r="K2466" s="7">
        <f>VLOOKUP(J2466,Лист2!A$2:B$4,2,FALSE)</f>
        <v>792</v>
      </c>
      <c r="L2466" s="7" t="str">
        <f t="shared" si="154"/>
        <v>ГОТОВ_ИЗМЕНЕН</v>
      </c>
      <c r="M2466" s="7">
        <f t="shared" si="155"/>
        <v>0</v>
      </c>
    </row>
    <row r="2467" spans="1:13" x14ac:dyDescent="0.25">
      <c r="A2467" s="1">
        <v>946010</v>
      </c>
      <c r="B2467" s="6" t="s">
        <v>2594</v>
      </c>
      <c r="F2467" s="6" t="s">
        <v>9</v>
      </c>
      <c r="G2467" s="6" t="s">
        <v>34</v>
      </c>
      <c r="H2467" s="9" t="s">
        <v>35</v>
      </c>
      <c r="I2467" s="7" t="str">
        <f t="shared" si="152"/>
        <v>61001002000</v>
      </c>
      <c r="J2467" s="7" t="str">
        <f t="shared" si="153"/>
        <v>Материал по ЕГРН</v>
      </c>
      <c r="K2467" s="7">
        <f>VLOOKUP(J2467,Лист2!A$2:B$4,2,FALSE)</f>
        <v>792</v>
      </c>
      <c r="L2467" s="7" t="str">
        <f t="shared" si="154"/>
        <v>ГОТОВ_ИЗМЕНЕН</v>
      </c>
      <c r="M2467" s="7">
        <f t="shared" si="155"/>
        <v>0</v>
      </c>
    </row>
    <row r="2468" spans="1:13" x14ac:dyDescent="0.25">
      <c r="A2468" s="1">
        <v>946022</v>
      </c>
      <c r="B2468" s="6" t="s">
        <v>2595</v>
      </c>
      <c r="F2468" s="6" t="s">
        <v>9</v>
      </c>
      <c r="G2468" s="6" t="s">
        <v>38</v>
      </c>
      <c r="H2468" s="9" t="s">
        <v>33</v>
      </c>
      <c r="I2468" s="7" t="str">
        <f t="shared" si="152"/>
        <v>61001005000</v>
      </c>
      <c r="J2468" s="7" t="str">
        <f t="shared" si="153"/>
        <v>Материал по ЕГРН</v>
      </c>
      <c r="K2468" s="7">
        <f>VLOOKUP(J2468,Лист2!A$2:B$4,2,FALSE)</f>
        <v>792</v>
      </c>
      <c r="L2468" s="7" t="str">
        <f t="shared" si="154"/>
        <v>ГОТОВ_ИЗМЕНЕН</v>
      </c>
      <c r="M2468" s="7">
        <f t="shared" si="155"/>
        <v>0</v>
      </c>
    </row>
    <row r="2469" spans="1:13" x14ac:dyDescent="0.25">
      <c r="A2469" s="1">
        <v>946034</v>
      </c>
      <c r="B2469" s="6" t="s">
        <v>2596</v>
      </c>
      <c r="F2469" s="6" t="s">
        <v>9</v>
      </c>
      <c r="G2469" s="6" t="s">
        <v>10</v>
      </c>
      <c r="H2469" s="9" t="s">
        <v>11</v>
      </c>
      <c r="I2469" s="7" t="str">
        <f t="shared" si="152"/>
        <v>61001003000</v>
      </c>
      <c r="J2469" s="7" t="str">
        <f t="shared" si="153"/>
        <v>Материал по ЕГРН</v>
      </c>
      <c r="K2469" s="7">
        <f>VLOOKUP(J2469,Лист2!A$2:B$4,2,FALSE)</f>
        <v>792</v>
      </c>
      <c r="L2469" s="7" t="str">
        <f t="shared" si="154"/>
        <v>ГОТОВ_ИЗМЕНЕН</v>
      </c>
      <c r="M2469" s="7">
        <f t="shared" si="155"/>
        <v>0</v>
      </c>
    </row>
    <row r="2470" spans="1:13" x14ac:dyDescent="0.25">
      <c r="A2470" s="1">
        <v>946046</v>
      </c>
      <c r="B2470" s="6" t="s">
        <v>2597</v>
      </c>
      <c r="F2470" s="6" t="s">
        <v>9</v>
      </c>
      <c r="G2470" s="6" t="s">
        <v>73</v>
      </c>
      <c r="H2470" s="9" t="s">
        <v>74</v>
      </c>
      <c r="I2470" s="7" t="str">
        <f t="shared" si="152"/>
        <v>61001006000</v>
      </c>
      <c r="J2470" s="7" t="str">
        <f t="shared" si="153"/>
        <v>Материал по ЕГРН</v>
      </c>
      <c r="K2470" s="7">
        <f>VLOOKUP(J2470,Лист2!A$2:B$4,2,FALSE)</f>
        <v>792</v>
      </c>
      <c r="L2470" s="7" t="str">
        <f t="shared" si="154"/>
        <v>ГОТОВ_ИЗМЕНЕН</v>
      </c>
      <c r="M2470" s="7">
        <f t="shared" si="155"/>
        <v>0</v>
      </c>
    </row>
    <row r="2471" spans="1:13" x14ac:dyDescent="0.25">
      <c r="A2471" s="1">
        <v>946058</v>
      </c>
      <c r="B2471" s="6" t="s">
        <v>2598</v>
      </c>
      <c r="F2471" s="6" t="s">
        <v>9</v>
      </c>
      <c r="G2471" s="6" t="s">
        <v>59</v>
      </c>
      <c r="H2471" s="9" t="s">
        <v>60</v>
      </c>
      <c r="I2471" s="7" t="str">
        <f t="shared" si="152"/>
        <v>61001001001</v>
      </c>
      <c r="J2471" s="7" t="str">
        <f t="shared" si="153"/>
        <v>Материал по ЕГРН</v>
      </c>
      <c r="K2471" s="7">
        <f>VLOOKUP(J2471,Лист2!A$2:B$4,2,FALSE)</f>
        <v>792</v>
      </c>
      <c r="L2471" s="7" t="str">
        <f t="shared" si="154"/>
        <v>ГОТОВ_ИЗМЕНЕН</v>
      </c>
      <c r="M2471" s="7">
        <f t="shared" si="155"/>
        <v>0</v>
      </c>
    </row>
    <row r="2472" spans="1:13" x14ac:dyDescent="0.25">
      <c r="A2472" s="1">
        <v>946070</v>
      </c>
      <c r="B2472" s="6" t="s">
        <v>2599</v>
      </c>
      <c r="F2472" s="6" t="s">
        <v>9</v>
      </c>
      <c r="G2472" s="6" t="s">
        <v>139</v>
      </c>
      <c r="H2472" s="9" t="s">
        <v>140</v>
      </c>
      <c r="I2472" s="7" t="str">
        <f t="shared" si="152"/>
        <v>61001999000</v>
      </c>
      <c r="J2472" s="7" t="str">
        <f t="shared" si="153"/>
        <v>Материал по ЕГРН</v>
      </c>
      <c r="K2472" s="7">
        <f>VLOOKUP(J2472,Лист2!A$2:B$4,2,FALSE)</f>
        <v>792</v>
      </c>
      <c r="L2472" s="7" t="str">
        <f t="shared" si="154"/>
        <v>ГОТОВ_ИЗМЕНЕН</v>
      </c>
      <c r="M2472" s="7">
        <f t="shared" si="155"/>
        <v>0</v>
      </c>
    </row>
    <row r="2473" spans="1:13" x14ac:dyDescent="0.25">
      <c r="A2473" s="1">
        <v>946082</v>
      </c>
      <c r="B2473" s="6" t="s">
        <v>2600</v>
      </c>
      <c r="F2473" s="6" t="s">
        <v>9</v>
      </c>
      <c r="G2473" s="6" t="s">
        <v>38</v>
      </c>
      <c r="H2473" s="9" t="s">
        <v>33</v>
      </c>
      <c r="I2473" s="7" t="str">
        <f t="shared" si="152"/>
        <v>61001005000</v>
      </c>
      <c r="J2473" s="7" t="str">
        <f t="shared" si="153"/>
        <v>Материал по ЕГРН</v>
      </c>
      <c r="K2473" s="7">
        <f>VLOOKUP(J2473,Лист2!A$2:B$4,2,FALSE)</f>
        <v>792</v>
      </c>
      <c r="L2473" s="7" t="str">
        <f t="shared" si="154"/>
        <v>ГОТОВ_ИЗМЕНЕН</v>
      </c>
      <c r="M2473" s="7">
        <f t="shared" si="155"/>
        <v>0</v>
      </c>
    </row>
    <row r="2474" spans="1:13" x14ac:dyDescent="0.25">
      <c r="A2474" s="1">
        <v>946094</v>
      </c>
      <c r="B2474" s="6" t="s">
        <v>2601</v>
      </c>
      <c r="F2474" s="6" t="s">
        <v>9</v>
      </c>
      <c r="G2474" s="6" t="s">
        <v>38</v>
      </c>
      <c r="H2474" s="9" t="s">
        <v>33</v>
      </c>
      <c r="I2474" s="7" t="str">
        <f t="shared" si="152"/>
        <v>61001005000</v>
      </c>
      <c r="J2474" s="7" t="str">
        <f t="shared" si="153"/>
        <v>Материал по ЕГРН</v>
      </c>
      <c r="K2474" s="7">
        <f>VLOOKUP(J2474,Лист2!A$2:B$4,2,FALSE)</f>
        <v>792</v>
      </c>
      <c r="L2474" s="7" t="str">
        <f t="shared" si="154"/>
        <v>ГОТОВ_ИЗМЕНЕН</v>
      </c>
      <c r="M2474" s="7">
        <f t="shared" si="155"/>
        <v>0</v>
      </c>
    </row>
    <row r="2475" spans="1:13" x14ac:dyDescent="0.25">
      <c r="A2475" s="1">
        <v>946106</v>
      </c>
      <c r="B2475" s="6" t="s">
        <v>2602</v>
      </c>
      <c r="F2475" s="6" t="s">
        <v>9</v>
      </c>
      <c r="G2475" s="6" t="s">
        <v>34</v>
      </c>
      <c r="H2475" s="9" t="s">
        <v>35</v>
      </c>
      <c r="I2475" s="7" t="str">
        <f t="shared" si="152"/>
        <v>61001002000</v>
      </c>
      <c r="J2475" s="7" t="str">
        <f t="shared" si="153"/>
        <v>Материал по ЕГРН</v>
      </c>
      <c r="K2475" s="7">
        <f>VLOOKUP(J2475,Лист2!A$2:B$4,2,FALSE)</f>
        <v>792</v>
      </c>
      <c r="L2475" s="7" t="str">
        <f t="shared" si="154"/>
        <v>ГОТОВ_ИЗМЕНЕН</v>
      </c>
      <c r="M2475" s="7">
        <f t="shared" si="155"/>
        <v>0</v>
      </c>
    </row>
    <row r="2476" spans="1:13" x14ac:dyDescent="0.25">
      <c r="A2476" s="1">
        <v>946118</v>
      </c>
      <c r="B2476" s="6" t="s">
        <v>2603</v>
      </c>
      <c r="F2476" s="6" t="s">
        <v>9</v>
      </c>
      <c r="G2476" s="6" t="s">
        <v>38</v>
      </c>
      <c r="H2476" s="9" t="s">
        <v>33</v>
      </c>
      <c r="I2476" s="7" t="str">
        <f t="shared" si="152"/>
        <v>61001005000</v>
      </c>
      <c r="J2476" s="7" t="str">
        <f t="shared" si="153"/>
        <v>Материал по ЕГРН</v>
      </c>
      <c r="K2476" s="7">
        <f>VLOOKUP(J2476,Лист2!A$2:B$4,2,FALSE)</f>
        <v>792</v>
      </c>
      <c r="L2476" s="7" t="str">
        <f t="shared" si="154"/>
        <v>ГОТОВ_ИЗМЕНЕН</v>
      </c>
      <c r="M2476" s="7">
        <f t="shared" si="155"/>
        <v>0</v>
      </c>
    </row>
    <row r="2477" spans="1:13" x14ac:dyDescent="0.25">
      <c r="A2477" s="1">
        <v>946130</v>
      </c>
      <c r="B2477" s="6" t="s">
        <v>2604</v>
      </c>
      <c r="F2477" s="6" t="s">
        <v>9</v>
      </c>
      <c r="G2477" s="6" t="s">
        <v>38</v>
      </c>
      <c r="H2477" s="9" t="s">
        <v>33</v>
      </c>
      <c r="I2477" s="7" t="str">
        <f t="shared" si="152"/>
        <v>61001005000</v>
      </c>
      <c r="J2477" s="7" t="str">
        <f t="shared" si="153"/>
        <v>Материал по ЕГРН</v>
      </c>
      <c r="K2477" s="7">
        <f>VLOOKUP(J2477,Лист2!A$2:B$4,2,FALSE)</f>
        <v>792</v>
      </c>
      <c r="L2477" s="7" t="str">
        <f t="shared" si="154"/>
        <v>ГОТОВ_ИЗМЕНЕН</v>
      </c>
      <c r="M2477" s="7">
        <f t="shared" si="155"/>
        <v>0</v>
      </c>
    </row>
    <row r="2478" spans="1:13" x14ac:dyDescent="0.25">
      <c r="A2478" s="1">
        <v>946142</v>
      </c>
      <c r="B2478" s="6" t="s">
        <v>2605</v>
      </c>
      <c r="F2478" s="6" t="s">
        <v>9</v>
      </c>
      <c r="G2478" s="6" t="s">
        <v>59</v>
      </c>
      <c r="H2478" s="9" t="s">
        <v>60</v>
      </c>
      <c r="I2478" s="7" t="str">
        <f t="shared" si="152"/>
        <v>61001001001</v>
      </c>
      <c r="J2478" s="7" t="str">
        <f t="shared" si="153"/>
        <v>Материал по ЕГРН</v>
      </c>
      <c r="K2478" s="7">
        <f>VLOOKUP(J2478,Лист2!A$2:B$4,2,FALSE)</f>
        <v>792</v>
      </c>
      <c r="L2478" s="7" t="str">
        <f t="shared" si="154"/>
        <v>ГОТОВ_ИЗМЕНЕН</v>
      </c>
      <c r="M2478" s="7">
        <f t="shared" si="155"/>
        <v>0</v>
      </c>
    </row>
    <row r="2479" spans="1:13" x14ac:dyDescent="0.25">
      <c r="A2479" s="1">
        <v>946154</v>
      </c>
      <c r="B2479" s="6" t="s">
        <v>2606</v>
      </c>
      <c r="F2479" s="6" t="s">
        <v>9</v>
      </c>
      <c r="G2479" s="6" t="s">
        <v>38</v>
      </c>
      <c r="H2479" s="9" t="s">
        <v>33</v>
      </c>
      <c r="I2479" s="7" t="str">
        <f t="shared" si="152"/>
        <v>61001005000</v>
      </c>
      <c r="J2479" s="7" t="str">
        <f t="shared" si="153"/>
        <v>Материал по ЕГРН</v>
      </c>
      <c r="K2479" s="7">
        <f>VLOOKUP(J2479,Лист2!A$2:B$4,2,FALSE)</f>
        <v>792</v>
      </c>
      <c r="L2479" s="7" t="str">
        <f t="shared" si="154"/>
        <v>ГОТОВ_ИЗМЕНЕН</v>
      </c>
      <c r="M2479" s="7">
        <f t="shared" si="155"/>
        <v>0</v>
      </c>
    </row>
    <row r="2480" spans="1:13" x14ac:dyDescent="0.25">
      <c r="A2480" s="1">
        <v>223781</v>
      </c>
      <c r="B2480" s="6" t="s">
        <v>2607</v>
      </c>
      <c r="C2480" s="9" t="s">
        <v>35</v>
      </c>
      <c r="D2480" s="6" t="s">
        <v>20</v>
      </c>
      <c r="E2480" s="6" t="s">
        <v>37</v>
      </c>
      <c r="F2480" s="6" t="s">
        <v>9</v>
      </c>
      <c r="G2480" s="6" t="s">
        <v>34</v>
      </c>
      <c r="H2480" s="9" t="s">
        <v>35</v>
      </c>
      <c r="I2480" s="7" t="str">
        <f t="shared" si="152"/>
        <v>61001002000</v>
      </c>
      <c r="J2480" s="7" t="str">
        <f t="shared" si="153"/>
        <v>Материал по ЕГРН</v>
      </c>
      <c r="K2480" s="7">
        <f>VLOOKUP(J2480,Лист2!A$2:B$4,2,FALSE)</f>
        <v>792</v>
      </c>
      <c r="L2480" s="7" t="str">
        <f t="shared" si="154"/>
        <v>ГОТОВ</v>
      </c>
      <c r="M2480" s="7" t="str">
        <f t="shared" si="155"/>
        <v>61001002000</v>
      </c>
    </row>
    <row r="2481" spans="1:13" x14ac:dyDescent="0.25">
      <c r="A2481" s="1">
        <v>704724</v>
      </c>
      <c r="B2481" s="6" t="s">
        <v>2608</v>
      </c>
      <c r="C2481" s="9" t="s">
        <v>33</v>
      </c>
      <c r="D2481" s="6" t="s">
        <v>20</v>
      </c>
      <c r="E2481" s="6" t="s">
        <v>37</v>
      </c>
      <c r="F2481" s="6" t="s">
        <v>9</v>
      </c>
      <c r="G2481" s="6" t="s">
        <v>38</v>
      </c>
      <c r="H2481" s="9" t="s">
        <v>33</v>
      </c>
      <c r="I2481" s="7" t="str">
        <f t="shared" si="152"/>
        <v>61001005000</v>
      </c>
      <c r="J2481" s="7" t="str">
        <f t="shared" si="153"/>
        <v>Материал по ЕГРН</v>
      </c>
      <c r="K2481" s="7">
        <f>VLOOKUP(J2481,Лист2!A$2:B$4,2,FALSE)</f>
        <v>792</v>
      </c>
      <c r="L2481" s="7" t="str">
        <f t="shared" si="154"/>
        <v>ГОТОВ</v>
      </c>
      <c r="M2481" s="7" t="str">
        <f t="shared" si="155"/>
        <v>61001005000</v>
      </c>
    </row>
    <row r="2482" spans="1:13" x14ac:dyDescent="0.25">
      <c r="A2482" s="1">
        <v>945494</v>
      </c>
      <c r="B2482" s="6" t="s">
        <v>2609</v>
      </c>
      <c r="F2482" s="6" t="s">
        <v>9</v>
      </c>
      <c r="G2482" s="6" t="s">
        <v>38</v>
      </c>
      <c r="H2482" s="9" t="s">
        <v>33</v>
      </c>
      <c r="I2482" s="7" t="str">
        <f t="shared" si="152"/>
        <v>61001005000</v>
      </c>
      <c r="J2482" s="7" t="str">
        <f t="shared" si="153"/>
        <v>Материал по ЕГРН</v>
      </c>
      <c r="K2482" s="7">
        <f>VLOOKUP(J2482,Лист2!A$2:B$4,2,FALSE)</f>
        <v>792</v>
      </c>
      <c r="L2482" s="7" t="str">
        <f t="shared" si="154"/>
        <v>ГОТОВ_ИЗМЕНЕН</v>
      </c>
      <c r="M2482" s="7">
        <f t="shared" si="155"/>
        <v>0</v>
      </c>
    </row>
    <row r="2483" spans="1:13" x14ac:dyDescent="0.25">
      <c r="A2483" s="1">
        <v>945506</v>
      </c>
      <c r="B2483" s="6" t="s">
        <v>2610</v>
      </c>
      <c r="F2483" s="6" t="s">
        <v>9</v>
      </c>
      <c r="G2483" s="6" t="s">
        <v>38</v>
      </c>
      <c r="H2483" s="9" t="s">
        <v>33</v>
      </c>
      <c r="I2483" s="7" t="str">
        <f t="shared" si="152"/>
        <v>61001005000</v>
      </c>
      <c r="J2483" s="7" t="str">
        <f t="shared" si="153"/>
        <v>Материал по ЕГРН</v>
      </c>
      <c r="K2483" s="7">
        <f>VLOOKUP(J2483,Лист2!A$2:B$4,2,FALSE)</f>
        <v>792</v>
      </c>
      <c r="L2483" s="7" t="str">
        <f t="shared" si="154"/>
        <v>ГОТОВ_ИЗМЕНЕН</v>
      </c>
      <c r="M2483" s="7">
        <f t="shared" si="155"/>
        <v>0</v>
      </c>
    </row>
    <row r="2484" spans="1:13" x14ac:dyDescent="0.25">
      <c r="A2484" s="1">
        <v>945518</v>
      </c>
      <c r="B2484" s="6" t="s">
        <v>2611</v>
      </c>
      <c r="F2484" s="6" t="s">
        <v>9</v>
      </c>
      <c r="G2484" s="6" t="s">
        <v>125</v>
      </c>
      <c r="H2484" s="9" t="s">
        <v>126</v>
      </c>
      <c r="I2484" s="7" t="str">
        <f t="shared" si="152"/>
        <v>61001007004</v>
      </c>
      <c r="J2484" s="7" t="str">
        <f t="shared" si="153"/>
        <v>Материал по ЕГРН</v>
      </c>
      <c r="K2484" s="7">
        <f>VLOOKUP(J2484,Лист2!A$2:B$4,2,FALSE)</f>
        <v>792</v>
      </c>
      <c r="L2484" s="7" t="str">
        <f t="shared" si="154"/>
        <v>ГОТОВ_ИЗМЕНЕН</v>
      </c>
      <c r="M2484" s="7">
        <f t="shared" si="155"/>
        <v>0</v>
      </c>
    </row>
    <row r="2485" spans="1:13" x14ac:dyDescent="0.25">
      <c r="A2485" s="1">
        <v>945530</v>
      </c>
      <c r="B2485" s="6" t="s">
        <v>2612</v>
      </c>
      <c r="F2485" s="6" t="s">
        <v>9</v>
      </c>
      <c r="G2485" s="6" t="s">
        <v>10</v>
      </c>
      <c r="H2485" s="9" t="s">
        <v>11</v>
      </c>
      <c r="I2485" s="7" t="str">
        <f t="shared" si="152"/>
        <v>61001003000</v>
      </c>
      <c r="J2485" s="7" t="str">
        <f t="shared" si="153"/>
        <v>Материал по ЕГРН</v>
      </c>
      <c r="K2485" s="7">
        <f>VLOOKUP(J2485,Лист2!A$2:B$4,2,FALSE)</f>
        <v>792</v>
      </c>
      <c r="L2485" s="7" t="str">
        <f t="shared" si="154"/>
        <v>ГОТОВ_ИЗМЕНЕН</v>
      </c>
      <c r="M2485" s="7">
        <f t="shared" si="155"/>
        <v>0</v>
      </c>
    </row>
    <row r="2486" spans="1:13" x14ac:dyDescent="0.25">
      <c r="A2486" s="1">
        <v>945542</v>
      </c>
      <c r="B2486" s="6" t="s">
        <v>2613</v>
      </c>
      <c r="F2486" s="6" t="s">
        <v>9</v>
      </c>
      <c r="G2486" s="6" t="s">
        <v>1183</v>
      </c>
      <c r="H2486" s="9" t="s">
        <v>1182</v>
      </c>
      <c r="I2486" s="7" t="str">
        <f t="shared" si="152"/>
        <v>61001002004</v>
      </c>
      <c r="J2486" s="7" t="str">
        <f t="shared" si="153"/>
        <v>Материал по ЕГРН</v>
      </c>
      <c r="K2486" s="7">
        <f>VLOOKUP(J2486,Лист2!A$2:B$4,2,FALSE)</f>
        <v>792</v>
      </c>
      <c r="L2486" s="7" t="str">
        <f t="shared" si="154"/>
        <v>ГОТОВ_ИЗМЕНЕН</v>
      </c>
      <c r="M2486" s="7">
        <f t="shared" si="155"/>
        <v>0</v>
      </c>
    </row>
    <row r="2487" spans="1:13" x14ac:dyDescent="0.25">
      <c r="A2487" s="1">
        <v>945554</v>
      </c>
      <c r="B2487" s="6" t="s">
        <v>2614</v>
      </c>
      <c r="F2487" s="6" t="s">
        <v>9</v>
      </c>
      <c r="G2487" s="6" t="s">
        <v>62</v>
      </c>
      <c r="H2487" s="9" t="s">
        <v>63</v>
      </c>
      <c r="I2487" s="7" t="str">
        <f t="shared" si="152"/>
        <v>61001006002</v>
      </c>
      <c r="J2487" s="7" t="str">
        <f t="shared" si="153"/>
        <v>Материал по ЕГРН</v>
      </c>
      <c r="K2487" s="7">
        <f>VLOOKUP(J2487,Лист2!A$2:B$4,2,FALSE)</f>
        <v>792</v>
      </c>
      <c r="L2487" s="7" t="str">
        <f t="shared" si="154"/>
        <v>ГОТОВ_ИЗМЕНЕН</v>
      </c>
      <c r="M2487" s="7">
        <f t="shared" si="155"/>
        <v>0</v>
      </c>
    </row>
    <row r="2488" spans="1:13" x14ac:dyDescent="0.25">
      <c r="A2488" s="1">
        <v>945566</v>
      </c>
      <c r="B2488" s="6" t="s">
        <v>2615</v>
      </c>
      <c r="F2488" s="6" t="s">
        <v>9</v>
      </c>
      <c r="G2488" s="6" t="s">
        <v>38</v>
      </c>
      <c r="H2488" s="9" t="s">
        <v>33</v>
      </c>
      <c r="I2488" s="7" t="str">
        <f t="shared" si="152"/>
        <v>61001005000</v>
      </c>
      <c r="J2488" s="7" t="str">
        <f t="shared" si="153"/>
        <v>Материал по ЕГРН</v>
      </c>
      <c r="K2488" s="7">
        <f>VLOOKUP(J2488,Лист2!A$2:B$4,2,FALSE)</f>
        <v>792</v>
      </c>
      <c r="L2488" s="7" t="str">
        <f t="shared" si="154"/>
        <v>ГОТОВ_ИЗМЕНЕН</v>
      </c>
      <c r="M2488" s="7">
        <f t="shared" si="155"/>
        <v>0</v>
      </c>
    </row>
    <row r="2489" spans="1:13" x14ac:dyDescent="0.25">
      <c r="A2489" s="1">
        <v>945578</v>
      </c>
      <c r="B2489" s="6" t="s">
        <v>2616</v>
      </c>
      <c r="F2489" s="6" t="s">
        <v>9</v>
      </c>
      <c r="G2489" s="6" t="s">
        <v>180</v>
      </c>
      <c r="H2489" s="9" t="s">
        <v>181</v>
      </c>
      <c r="I2489" s="7" t="str">
        <f t="shared" si="152"/>
        <v>61001009000</v>
      </c>
      <c r="J2489" s="7" t="str">
        <f t="shared" si="153"/>
        <v>Материал по ЕГРН</v>
      </c>
      <c r="K2489" s="7">
        <f>VLOOKUP(J2489,Лист2!A$2:B$4,2,FALSE)</f>
        <v>792</v>
      </c>
      <c r="L2489" s="7" t="str">
        <f t="shared" si="154"/>
        <v>ГОТОВ_ИЗМЕНЕН</v>
      </c>
      <c r="M2489" s="7">
        <f t="shared" si="155"/>
        <v>0</v>
      </c>
    </row>
    <row r="2490" spans="1:13" x14ac:dyDescent="0.25">
      <c r="A2490" s="1">
        <v>945590</v>
      </c>
      <c r="B2490" s="6" t="s">
        <v>2617</v>
      </c>
      <c r="F2490" s="6" t="s">
        <v>9</v>
      </c>
      <c r="G2490" s="6" t="s">
        <v>34</v>
      </c>
      <c r="H2490" s="9" t="s">
        <v>35</v>
      </c>
      <c r="I2490" s="7" t="str">
        <f t="shared" si="152"/>
        <v>61001002000</v>
      </c>
      <c r="J2490" s="7" t="str">
        <f t="shared" si="153"/>
        <v>Материал по ЕГРН</v>
      </c>
      <c r="K2490" s="7">
        <f>VLOOKUP(J2490,Лист2!A$2:B$4,2,FALSE)</f>
        <v>792</v>
      </c>
      <c r="L2490" s="7" t="str">
        <f t="shared" si="154"/>
        <v>ГОТОВ_ИЗМЕНЕН</v>
      </c>
      <c r="M2490" s="7">
        <f t="shared" si="155"/>
        <v>0</v>
      </c>
    </row>
    <row r="2491" spans="1:13" x14ac:dyDescent="0.25">
      <c r="A2491" s="1">
        <v>945602</v>
      </c>
      <c r="B2491" s="6" t="s">
        <v>2618</v>
      </c>
      <c r="F2491" s="6" t="s">
        <v>9</v>
      </c>
      <c r="G2491" s="6" t="s">
        <v>34</v>
      </c>
      <c r="H2491" s="9" t="s">
        <v>35</v>
      </c>
      <c r="I2491" s="7" t="str">
        <f t="shared" si="152"/>
        <v>61001002000</v>
      </c>
      <c r="J2491" s="7" t="str">
        <f t="shared" si="153"/>
        <v>Материал по ЕГРН</v>
      </c>
      <c r="K2491" s="7">
        <f>VLOOKUP(J2491,Лист2!A$2:B$4,2,FALSE)</f>
        <v>792</v>
      </c>
      <c r="L2491" s="7" t="str">
        <f t="shared" si="154"/>
        <v>ГОТОВ_ИЗМЕНЕН</v>
      </c>
      <c r="M2491" s="7">
        <f t="shared" si="155"/>
        <v>0</v>
      </c>
    </row>
    <row r="2492" spans="1:13" x14ac:dyDescent="0.25">
      <c r="A2492" s="1">
        <v>945614</v>
      </c>
      <c r="B2492" s="6" t="s">
        <v>2619</v>
      </c>
      <c r="F2492" s="6" t="s">
        <v>9</v>
      </c>
      <c r="G2492" s="6" t="s">
        <v>1183</v>
      </c>
      <c r="H2492" s="9" t="s">
        <v>1182</v>
      </c>
      <c r="I2492" s="7" t="str">
        <f t="shared" si="152"/>
        <v>61001002004</v>
      </c>
      <c r="J2492" s="7" t="str">
        <f t="shared" si="153"/>
        <v>Материал по ЕГРН</v>
      </c>
      <c r="K2492" s="7">
        <f>VLOOKUP(J2492,Лист2!A$2:B$4,2,FALSE)</f>
        <v>792</v>
      </c>
      <c r="L2492" s="7" t="str">
        <f t="shared" si="154"/>
        <v>ГОТОВ_ИЗМЕНЕН</v>
      </c>
      <c r="M2492" s="7">
        <f t="shared" si="155"/>
        <v>0</v>
      </c>
    </row>
    <row r="2493" spans="1:13" x14ac:dyDescent="0.25">
      <c r="A2493" s="1">
        <v>945626</v>
      </c>
      <c r="B2493" s="6" t="s">
        <v>2620</v>
      </c>
      <c r="F2493" s="6" t="s">
        <v>9</v>
      </c>
      <c r="G2493" s="6" t="s">
        <v>43</v>
      </c>
      <c r="H2493" s="9" t="s">
        <v>42</v>
      </c>
      <c r="I2493" s="7" t="str">
        <f t="shared" si="152"/>
        <v>61001002001</v>
      </c>
      <c r="J2493" s="7" t="str">
        <f t="shared" si="153"/>
        <v>Материал по ЕГРН</v>
      </c>
      <c r="K2493" s="7">
        <f>VLOOKUP(J2493,Лист2!A$2:B$4,2,FALSE)</f>
        <v>792</v>
      </c>
      <c r="L2493" s="7" t="str">
        <f t="shared" si="154"/>
        <v>ГОТОВ_ИЗМЕНЕН</v>
      </c>
      <c r="M2493" s="7">
        <f t="shared" si="155"/>
        <v>0</v>
      </c>
    </row>
    <row r="2494" spans="1:13" x14ac:dyDescent="0.25">
      <c r="A2494" s="1">
        <v>945638</v>
      </c>
      <c r="B2494" s="6" t="s">
        <v>2621</v>
      </c>
      <c r="F2494" s="6" t="s">
        <v>9</v>
      </c>
      <c r="G2494" s="6" t="s">
        <v>38</v>
      </c>
      <c r="H2494" s="9" t="s">
        <v>33</v>
      </c>
      <c r="I2494" s="7" t="str">
        <f t="shared" si="152"/>
        <v>61001005000</v>
      </c>
      <c r="J2494" s="7" t="str">
        <f t="shared" si="153"/>
        <v>Материал по ЕГРН</v>
      </c>
      <c r="K2494" s="7">
        <f>VLOOKUP(J2494,Лист2!A$2:B$4,2,FALSE)</f>
        <v>792</v>
      </c>
      <c r="L2494" s="7" t="str">
        <f t="shared" si="154"/>
        <v>ГОТОВ_ИЗМЕНЕН</v>
      </c>
      <c r="M2494" s="7">
        <f t="shared" si="155"/>
        <v>0</v>
      </c>
    </row>
    <row r="2495" spans="1:13" x14ac:dyDescent="0.25">
      <c r="A2495" s="1">
        <v>945650</v>
      </c>
      <c r="B2495" s="6" t="s">
        <v>2622</v>
      </c>
      <c r="F2495" s="6" t="s">
        <v>9</v>
      </c>
      <c r="G2495" s="6" t="s">
        <v>34</v>
      </c>
      <c r="H2495" s="9" t="s">
        <v>35</v>
      </c>
      <c r="I2495" s="7" t="str">
        <f t="shared" si="152"/>
        <v>61001002000</v>
      </c>
      <c r="J2495" s="7" t="str">
        <f t="shared" si="153"/>
        <v>Материал по ЕГРН</v>
      </c>
      <c r="K2495" s="7">
        <f>VLOOKUP(J2495,Лист2!A$2:B$4,2,FALSE)</f>
        <v>792</v>
      </c>
      <c r="L2495" s="7" t="str">
        <f t="shared" si="154"/>
        <v>ГОТОВ_ИЗМЕНЕН</v>
      </c>
      <c r="M2495" s="7">
        <f t="shared" si="155"/>
        <v>0</v>
      </c>
    </row>
    <row r="2496" spans="1:13" x14ac:dyDescent="0.25">
      <c r="A2496" s="1">
        <v>945662</v>
      </c>
      <c r="B2496" s="6" t="s">
        <v>2623</v>
      </c>
      <c r="F2496" s="6" t="s">
        <v>9</v>
      </c>
      <c r="G2496" s="6" t="s">
        <v>34</v>
      </c>
      <c r="H2496" s="9" t="s">
        <v>35</v>
      </c>
      <c r="I2496" s="7" t="str">
        <f t="shared" si="152"/>
        <v>61001002000</v>
      </c>
      <c r="J2496" s="7" t="str">
        <f t="shared" si="153"/>
        <v>Материал по ЕГРН</v>
      </c>
      <c r="K2496" s="7">
        <f>VLOOKUP(J2496,Лист2!A$2:B$4,2,FALSE)</f>
        <v>792</v>
      </c>
      <c r="L2496" s="7" t="str">
        <f t="shared" si="154"/>
        <v>ГОТОВ_ИЗМЕНЕН</v>
      </c>
      <c r="M2496" s="7">
        <f t="shared" si="155"/>
        <v>0</v>
      </c>
    </row>
    <row r="2497" spans="1:13" x14ac:dyDescent="0.25">
      <c r="A2497" s="1">
        <v>945674</v>
      </c>
      <c r="B2497" s="6" t="s">
        <v>2624</v>
      </c>
      <c r="F2497" s="6" t="s">
        <v>9</v>
      </c>
      <c r="G2497" s="6" t="s">
        <v>34</v>
      </c>
      <c r="H2497" s="9" t="s">
        <v>35</v>
      </c>
      <c r="I2497" s="7" t="str">
        <f t="shared" si="152"/>
        <v>61001002000</v>
      </c>
      <c r="J2497" s="7" t="str">
        <f t="shared" si="153"/>
        <v>Материал по ЕГРН</v>
      </c>
      <c r="K2497" s="7">
        <f>VLOOKUP(J2497,Лист2!A$2:B$4,2,FALSE)</f>
        <v>792</v>
      </c>
      <c r="L2497" s="7" t="str">
        <f t="shared" si="154"/>
        <v>ГОТОВ_ИЗМЕНЕН</v>
      </c>
      <c r="M2497" s="7">
        <f t="shared" si="155"/>
        <v>0</v>
      </c>
    </row>
    <row r="2498" spans="1:13" x14ac:dyDescent="0.25">
      <c r="A2498" s="1">
        <v>945686</v>
      </c>
      <c r="B2498" s="6" t="s">
        <v>2625</v>
      </c>
      <c r="F2498" s="6" t="s">
        <v>9</v>
      </c>
      <c r="G2498" s="6" t="s">
        <v>10</v>
      </c>
      <c r="H2498" s="9" t="s">
        <v>11</v>
      </c>
      <c r="I2498" s="7" t="str">
        <f t="shared" si="152"/>
        <v>61001003000</v>
      </c>
      <c r="J2498" s="7" t="str">
        <f t="shared" si="153"/>
        <v>Материал по ЕГРН</v>
      </c>
      <c r="K2498" s="7">
        <f>VLOOKUP(J2498,Лист2!A$2:B$4,2,FALSE)</f>
        <v>792</v>
      </c>
      <c r="L2498" s="7" t="str">
        <f t="shared" si="154"/>
        <v>ГОТОВ_ИЗМЕНЕН</v>
      </c>
      <c r="M2498" s="7">
        <f t="shared" si="155"/>
        <v>0</v>
      </c>
    </row>
    <row r="2499" spans="1:13" x14ac:dyDescent="0.25">
      <c r="A2499" s="1">
        <v>945698</v>
      </c>
      <c r="B2499" s="6" t="s">
        <v>2626</v>
      </c>
      <c r="F2499" s="6" t="s">
        <v>9</v>
      </c>
      <c r="G2499" s="6" t="s">
        <v>38</v>
      </c>
      <c r="H2499" s="9" t="s">
        <v>33</v>
      </c>
      <c r="I2499" s="7" t="str">
        <f t="shared" si="152"/>
        <v>61001005000</v>
      </c>
      <c r="J2499" s="7" t="str">
        <f t="shared" si="153"/>
        <v>Материал по ЕГРН</v>
      </c>
      <c r="K2499" s="7">
        <f>VLOOKUP(J2499,Лист2!A$2:B$4,2,FALSE)</f>
        <v>792</v>
      </c>
      <c r="L2499" s="7" t="str">
        <f t="shared" si="154"/>
        <v>ГОТОВ_ИЗМЕНЕН</v>
      </c>
      <c r="M2499" s="7">
        <f t="shared" si="155"/>
        <v>0</v>
      </c>
    </row>
    <row r="2500" spans="1:13" x14ac:dyDescent="0.25">
      <c r="A2500" s="1">
        <v>945710</v>
      </c>
      <c r="B2500" s="6" t="s">
        <v>2627</v>
      </c>
      <c r="F2500" s="6" t="s">
        <v>9</v>
      </c>
      <c r="G2500" s="6" t="s">
        <v>38</v>
      </c>
      <c r="H2500" s="9" t="s">
        <v>33</v>
      </c>
      <c r="I2500" s="7" t="str">
        <f t="shared" si="152"/>
        <v>61001005000</v>
      </c>
      <c r="J2500" s="7" t="str">
        <f t="shared" si="153"/>
        <v>Материал по ЕГРН</v>
      </c>
      <c r="K2500" s="7">
        <f>VLOOKUP(J2500,Лист2!A$2:B$4,2,FALSE)</f>
        <v>792</v>
      </c>
      <c r="L2500" s="7" t="str">
        <f t="shared" si="154"/>
        <v>ГОТОВ_ИЗМЕНЕН</v>
      </c>
      <c r="M2500" s="7">
        <f t="shared" si="155"/>
        <v>0</v>
      </c>
    </row>
    <row r="2501" spans="1:13" x14ac:dyDescent="0.25">
      <c r="A2501" s="1">
        <v>945722</v>
      </c>
      <c r="B2501" s="6" t="s">
        <v>2628</v>
      </c>
      <c r="F2501" s="6" t="s">
        <v>9</v>
      </c>
      <c r="G2501" s="6" t="s">
        <v>62</v>
      </c>
      <c r="H2501" s="9" t="s">
        <v>63</v>
      </c>
      <c r="I2501" s="7" t="str">
        <f t="shared" ref="I2501:I2564" si="156">IF(LEN(H2501)=11,H2501,IF(LEN(H2501)=0,"61001005000","61001003000"))</f>
        <v>61001006002</v>
      </c>
      <c r="J2501" s="7" t="str">
        <f t="shared" ref="J2501:J2564" si="157">IF(LEN(H2501)=11,"Материал по ЕГРН",IF(LEN(H2501)=0,"Прочие по допущению","Смешанные по допущению"))</f>
        <v>Материал по ЕГРН</v>
      </c>
      <c r="K2501" s="7">
        <f>VLOOKUP(J2501,Лист2!A$2:B$4,2,FALSE)</f>
        <v>792</v>
      </c>
      <c r="L2501" s="7" t="str">
        <f t="shared" ref="L2501:L2564" si="158">IF(I2501=C2501,"ГОТОВ","ГОТОВ_ИЗМЕНЕН")</f>
        <v>ГОТОВ_ИЗМЕНЕН</v>
      </c>
      <c r="M2501" s="7">
        <f t="shared" ref="M2501:M2564" si="159">C2501</f>
        <v>0</v>
      </c>
    </row>
    <row r="2502" spans="1:13" x14ac:dyDescent="0.25">
      <c r="A2502" s="1">
        <v>945734</v>
      </c>
      <c r="B2502" s="6" t="s">
        <v>2629</v>
      </c>
      <c r="F2502" s="6" t="s">
        <v>9</v>
      </c>
      <c r="G2502" s="6" t="s">
        <v>59</v>
      </c>
      <c r="H2502" s="9" t="s">
        <v>60</v>
      </c>
      <c r="I2502" s="7" t="str">
        <f t="shared" si="156"/>
        <v>61001001001</v>
      </c>
      <c r="J2502" s="7" t="str">
        <f t="shared" si="157"/>
        <v>Материал по ЕГРН</v>
      </c>
      <c r="K2502" s="7">
        <f>VLOOKUP(J2502,Лист2!A$2:B$4,2,FALSE)</f>
        <v>792</v>
      </c>
      <c r="L2502" s="7" t="str">
        <f t="shared" si="158"/>
        <v>ГОТОВ_ИЗМЕНЕН</v>
      </c>
      <c r="M2502" s="7">
        <f t="shared" si="159"/>
        <v>0</v>
      </c>
    </row>
    <row r="2503" spans="1:13" x14ac:dyDescent="0.25">
      <c r="A2503" s="1">
        <v>945746</v>
      </c>
      <c r="B2503" s="6" t="s">
        <v>2630</v>
      </c>
      <c r="F2503" s="6" t="s">
        <v>9</v>
      </c>
      <c r="G2503" s="6" t="s">
        <v>59</v>
      </c>
      <c r="H2503" s="9" t="s">
        <v>60</v>
      </c>
      <c r="I2503" s="7" t="str">
        <f t="shared" si="156"/>
        <v>61001001001</v>
      </c>
      <c r="J2503" s="7" t="str">
        <f t="shared" si="157"/>
        <v>Материал по ЕГРН</v>
      </c>
      <c r="K2503" s="7">
        <f>VLOOKUP(J2503,Лист2!A$2:B$4,2,FALSE)</f>
        <v>792</v>
      </c>
      <c r="L2503" s="7" t="str">
        <f t="shared" si="158"/>
        <v>ГОТОВ_ИЗМЕНЕН</v>
      </c>
      <c r="M2503" s="7">
        <f t="shared" si="159"/>
        <v>0</v>
      </c>
    </row>
    <row r="2504" spans="1:13" x14ac:dyDescent="0.25">
      <c r="A2504" s="1">
        <v>945758</v>
      </c>
      <c r="B2504" s="6" t="s">
        <v>2631</v>
      </c>
      <c r="F2504" s="6" t="s">
        <v>9</v>
      </c>
      <c r="G2504" s="6" t="s">
        <v>38</v>
      </c>
      <c r="H2504" s="9" t="s">
        <v>33</v>
      </c>
      <c r="I2504" s="7" t="str">
        <f t="shared" si="156"/>
        <v>61001005000</v>
      </c>
      <c r="J2504" s="7" t="str">
        <f t="shared" si="157"/>
        <v>Материал по ЕГРН</v>
      </c>
      <c r="K2504" s="7">
        <f>VLOOKUP(J2504,Лист2!A$2:B$4,2,FALSE)</f>
        <v>792</v>
      </c>
      <c r="L2504" s="7" t="str">
        <f t="shared" si="158"/>
        <v>ГОТОВ_ИЗМЕНЕН</v>
      </c>
      <c r="M2504" s="7">
        <f t="shared" si="159"/>
        <v>0</v>
      </c>
    </row>
    <row r="2505" spans="1:13" x14ac:dyDescent="0.25">
      <c r="A2505" s="1">
        <v>945770</v>
      </c>
      <c r="B2505" s="6" t="s">
        <v>2632</v>
      </c>
      <c r="F2505" s="6" t="s">
        <v>9</v>
      </c>
      <c r="G2505" s="6" t="s">
        <v>59</v>
      </c>
      <c r="H2505" s="9" t="s">
        <v>60</v>
      </c>
      <c r="I2505" s="7" t="str">
        <f t="shared" si="156"/>
        <v>61001001001</v>
      </c>
      <c r="J2505" s="7" t="str">
        <f t="shared" si="157"/>
        <v>Материал по ЕГРН</v>
      </c>
      <c r="K2505" s="7">
        <f>VLOOKUP(J2505,Лист2!A$2:B$4,2,FALSE)</f>
        <v>792</v>
      </c>
      <c r="L2505" s="7" t="str">
        <f t="shared" si="158"/>
        <v>ГОТОВ_ИЗМЕНЕН</v>
      </c>
      <c r="M2505" s="7">
        <f t="shared" si="159"/>
        <v>0</v>
      </c>
    </row>
    <row r="2506" spans="1:13" x14ac:dyDescent="0.25">
      <c r="A2506" s="1">
        <v>220997</v>
      </c>
      <c r="B2506" s="6" t="s">
        <v>2633</v>
      </c>
      <c r="C2506" s="9" t="s">
        <v>33</v>
      </c>
      <c r="D2506" s="6" t="s">
        <v>20</v>
      </c>
      <c r="E2506" s="6" t="s">
        <v>37</v>
      </c>
      <c r="F2506" s="6" t="s">
        <v>9</v>
      </c>
      <c r="G2506" s="6" t="s">
        <v>38</v>
      </c>
      <c r="H2506" s="9" t="s">
        <v>33</v>
      </c>
      <c r="I2506" s="7" t="str">
        <f t="shared" si="156"/>
        <v>61001005000</v>
      </c>
      <c r="J2506" s="7" t="str">
        <f t="shared" si="157"/>
        <v>Материал по ЕГРН</v>
      </c>
      <c r="K2506" s="7">
        <f>VLOOKUP(J2506,Лист2!A$2:B$4,2,FALSE)</f>
        <v>792</v>
      </c>
      <c r="L2506" s="7" t="str">
        <f t="shared" si="158"/>
        <v>ГОТОВ</v>
      </c>
      <c r="M2506" s="7" t="str">
        <f t="shared" si="159"/>
        <v>61001005000</v>
      </c>
    </row>
    <row r="2507" spans="1:13" x14ac:dyDescent="0.25">
      <c r="A2507" s="1">
        <v>599388</v>
      </c>
      <c r="B2507" s="6" t="s">
        <v>2634</v>
      </c>
      <c r="C2507" s="9" t="s">
        <v>33</v>
      </c>
      <c r="D2507" s="6" t="s">
        <v>20</v>
      </c>
      <c r="E2507" s="6" t="s">
        <v>37</v>
      </c>
      <c r="F2507" s="6" t="s">
        <v>9</v>
      </c>
      <c r="G2507" s="6" t="s">
        <v>38</v>
      </c>
      <c r="H2507" s="9" t="s">
        <v>33</v>
      </c>
      <c r="I2507" s="7" t="str">
        <f t="shared" si="156"/>
        <v>61001005000</v>
      </c>
      <c r="J2507" s="7" t="str">
        <f t="shared" si="157"/>
        <v>Материал по ЕГРН</v>
      </c>
      <c r="K2507" s="7">
        <f>VLOOKUP(J2507,Лист2!A$2:B$4,2,FALSE)</f>
        <v>792</v>
      </c>
      <c r="L2507" s="7" t="str">
        <f t="shared" si="158"/>
        <v>ГОТОВ</v>
      </c>
      <c r="M2507" s="7" t="str">
        <f t="shared" si="159"/>
        <v>61001005000</v>
      </c>
    </row>
    <row r="2508" spans="1:13" x14ac:dyDescent="0.25">
      <c r="A2508" s="1">
        <v>944281</v>
      </c>
      <c r="B2508" s="6" t="s">
        <v>2635</v>
      </c>
      <c r="F2508" s="6" t="s">
        <v>9</v>
      </c>
      <c r="G2508" s="6" t="s">
        <v>38</v>
      </c>
      <c r="H2508" s="9" t="s">
        <v>33</v>
      </c>
      <c r="I2508" s="7" t="str">
        <f t="shared" si="156"/>
        <v>61001005000</v>
      </c>
      <c r="J2508" s="7" t="str">
        <f t="shared" si="157"/>
        <v>Материал по ЕГРН</v>
      </c>
      <c r="K2508" s="7">
        <f>VLOOKUP(J2508,Лист2!A$2:B$4,2,FALSE)</f>
        <v>792</v>
      </c>
      <c r="L2508" s="7" t="str">
        <f t="shared" si="158"/>
        <v>ГОТОВ_ИЗМЕНЕН</v>
      </c>
      <c r="M2508" s="7">
        <f t="shared" si="159"/>
        <v>0</v>
      </c>
    </row>
    <row r="2509" spans="1:13" x14ac:dyDescent="0.25">
      <c r="A2509" s="1">
        <v>944293</v>
      </c>
      <c r="B2509" s="6" t="s">
        <v>2636</v>
      </c>
      <c r="F2509" s="6" t="s">
        <v>9</v>
      </c>
      <c r="G2509" s="6" t="s">
        <v>170</v>
      </c>
      <c r="H2509" s="9" t="s">
        <v>171</v>
      </c>
      <c r="I2509" s="7" t="str">
        <f t="shared" si="156"/>
        <v>61001001000</v>
      </c>
      <c r="J2509" s="7" t="str">
        <f t="shared" si="157"/>
        <v>Материал по ЕГРН</v>
      </c>
      <c r="K2509" s="7">
        <f>VLOOKUP(J2509,Лист2!A$2:B$4,2,FALSE)</f>
        <v>792</v>
      </c>
      <c r="L2509" s="7" t="str">
        <f t="shared" si="158"/>
        <v>ГОТОВ_ИЗМЕНЕН</v>
      </c>
      <c r="M2509" s="7">
        <f t="shared" si="159"/>
        <v>0</v>
      </c>
    </row>
    <row r="2510" spans="1:13" x14ac:dyDescent="0.25">
      <c r="A2510" s="1">
        <v>944305</v>
      </c>
      <c r="B2510" s="6" t="s">
        <v>2637</v>
      </c>
      <c r="F2510" s="6" t="s">
        <v>9</v>
      </c>
      <c r="G2510" s="6" t="s">
        <v>34</v>
      </c>
      <c r="H2510" s="9" t="s">
        <v>35</v>
      </c>
      <c r="I2510" s="7" t="str">
        <f t="shared" si="156"/>
        <v>61001002000</v>
      </c>
      <c r="J2510" s="7" t="str">
        <f t="shared" si="157"/>
        <v>Материал по ЕГРН</v>
      </c>
      <c r="K2510" s="7">
        <f>VLOOKUP(J2510,Лист2!A$2:B$4,2,FALSE)</f>
        <v>792</v>
      </c>
      <c r="L2510" s="7" t="str">
        <f t="shared" si="158"/>
        <v>ГОТОВ_ИЗМЕНЕН</v>
      </c>
      <c r="M2510" s="7">
        <f t="shared" si="159"/>
        <v>0</v>
      </c>
    </row>
    <row r="2511" spans="1:13" x14ac:dyDescent="0.25">
      <c r="A2511" s="1">
        <v>944317</v>
      </c>
      <c r="B2511" s="6" t="s">
        <v>2638</v>
      </c>
      <c r="F2511" s="6" t="s">
        <v>9</v>
      </c>
      <c r="G2511" s="6" t="s">
        <v>306</v>
      </c>
      <c r="H2511" s="9" t="s">
        <v>307</v>
      </c>
      <c r="I2511" s="7" t="str">
        <f t="shared" si="156"/>
        <v>61001002002</v>
      </c>
      <c r="J2511" s="7" t="str">
        <f t="shared" si="157"/>
        <v>Материал по ЕГРН</v>
      </c>
      <c r="K2511" s="7">
        <f>VLOOKUP(J2511,Лист2!A$2:B$4,2,FALSE)</f>
        <v>792</v>
      </c>
      <c r="L2511" s="7" t="str">
        <f t="shared" si="158"/>
        <v>ГОТОВ_ИЗМЕНЕН</v>
      </c>
      <c r="M2511" s="7">
        <f t="shared" si="159"/>
        <v>0</v>
      </c>
    </row>
    <row r="2512" spans="1:13" x14ac:dyDescent="0.25">
      <c r="A2512" s="1">
        <v>944329</v>
      </c>
      <c r="B2512" s="6" t="s">
        <v>2639</v>
      </c>
      <c r="F2512" s="6" t="s">
        <v>9</v>
      </c>
      <c r="G2512" s="6" t="s">
        <v>34</v>
      </c>
      <c r="H2512" s="9" t="s">
        <v>35</v>
      </c>
      <c r="I2512" s="7" t="str">
        <f t="shared" si="156"/>
        <v>61001002000</v>
      </c>
      <c r="J2512" s="7" t="str">
        <f t="shared" si="157"/>
        <v>Материал по ЕГРН</v>
      </c>
      <c r="K2512" s="7">
        <f>VLOOKUP(J2512,Лист2!A$2:B$4,2,FALSE)</f>
        <v>792</v>
      </c>
      <c r="L2512" s="7" t="str">
        <f t="shared" si="158"/>
        <v>ГОТОВ_ИЗМЕНЕН</v>
      </c>
      <c r="M2512" s="7">
        <f t="shared" si="159"/>
        <v>0</v>
      </c>
    </row>
    <row r="2513" spans="1:13" x14ac:dyDescent="0.25">
      <c r="A2513" s="1">
        <v>944341</v>
      </c>
      <c r="B2513" s="6" t="s">
        <v>2640</v>
      </c>
      <c r="F2513" s="6" t="s">
        <v>9</v>
      </c>
      <c r="G2513" s="6" t="s">
        <v>34</v>
      </c>
      <c r="H2513" s="9" t="s">
        <v>35</v>
      </c>
      <c r="I2513" s="7" t="str">
        <f t="shared" si="156"/>
        <v>61001002000</v>
      </c>
      <c r="J2513" s="7" t="str">
        <f t="shared" si="157"/>
        <v>Материал по ЕГРН</v>
      </c>
      <c r="K2513" s="7">
        <f>VLOOKUP(J2513,Лист2!A$2:B$4,2,FALSE)</f>
        <v>792</v>
      </c>
      <c r="L2513" s="7" t="str">
        <f t="shared" si="158"/>
        <v>ГОТОВ_ИЗМЕНЕН</v>
      </c>
      <c r="M2513" s="7">
        <f t="shared" si="159"/>
        <v>0</v>
      </c>
    </row>
    <row r="2514" spans="1:13" x14ac:dyDescent="0.25">
      <c r="A2514" s="1">
        <v>944353</v>
      </c>
      <c r="B2514" s="6" t="s">
        <v>2641</v>
      </c>
      <c r="F2514" s="6" t="s">
        <v>9</v>
      </c>
      <c r="G2514" s="6" t="s">
        <v>38</v>
      </c>
      <c r="H2514" s="9" t="s">
        <v>33</v>
      </c>
      <c r="I2514" s="7" t="str">
        <f t="shared" si="156"/>
        <v>61001005000</v>
      </c>
      <c r="J2514" s="7" t="str">
        <f t="shared" si="157"/>
        <v>Материал по ЕГРН</v>
      </c>
      <c r="K2514" s="7">
        <f>VLOOKUP(J2514,Лист2!A$2:B$4,2,FALSE)</f>
        <v>792</v>
      </c>
      <c r="L2514" s="7" t="str">
        <f t="shared" si="158"/>
        <v>ГОТОВ_ИЗМЕНЕН</v>
      </c>
      <c r="M2514" s="7">
        <f t="shared" si="159"/>
        <v>0</v>
      </c>
    </row>
    <row r="2515" spans="1:13" x14ac:dyDescent="0.25">
      <c r="A2515" s="1">
        <v>944365</v>
      </c>
      <c r="B2515" s="6" t="s">
        <v>2642</v>
      </c>
      <c r="F2515" s="6" t="s">
        <v>9</v>
      </c>
      <c r="G2515" s="6" t="s">
        <v>59</v>
      </c>
      <c r="H2515" s="9" t="s">
        <v>60</v>
      </c>
      <c r="I2515" s="7" t="str">
        <f t="shared" si="156"/>
        <v>61001001001</v>
      </c>
      <c r="J2515" s="7" t="str">
        <f t="shared" si="157"/>
        <v>Материал по ЕГРН</v>
      </c>
      <c r="K2515" s="7">
        <f>VLOOKUP(J2515,Лист2!A$2:B$4,2,FALSE)</f>
        <v>792</v>
      </c>
      <c r="L2515" s="7" t="str">
        <f t="shared" si="158"/>
        <v>ГОТОВ_ИЗМЕНЕН</v>
      </c>
      <c r="M2515" s="7">
        <f t="shared" si="159"/>
        <v>0</v>
      </c>
    </row>
    <row r="2516" spans="1:13" x14ac:dyDescent="0.25">
      <c r="A2516" s="1">
        <v>944377</v>
      </c>
      <c r="B2516" s="6" t="s">
        <v>2643</v>
      </c>
      <c r="F2516" s="6" t="s">
        <v>9</v>
      </c>
      <c r="G2516" s="6" t="s">
        <v>38</v>
      </c>
      <c r="H2516" s="9" t="s">
        <v>33</v>
      </c>
      <c r="I2516" s="7" t="str">
        <f t="shared" si="156"/>
        <v>61001005000</v>
      </c>
      <c r="J2516" s="7" t="str">
        <f t="shared" si="157"/>
        <v>Материал по ЕГРН</v>
      </c>
      <c r="K2516" s="7">
        <f>VLOOKUP(J2516,Лист2!A$2:B$4,2,FALSE)</f>
        <v>792</v>
      </c>
      <c r="L2516" s="7" t="str">
        <f t="shared" si="158"/>
        <v>ГОТОВ_ИЗМЕНЕН</v>
      </c>
      <c r="M2516" s="7">
        <f t="shared" si="159"/>
        <v>0</v>
      </c>
    </row>
    <row r="2517" spans="1:13" x14ac:dyDescent="0.25">
      <c r="A2517" s="1">
        <v>944389</v>
      </c>
      <c r="B2517" s="6" t="s">
        <v>2644</v>
      </c>
      <c r="F2517" s="6" t="s">
        <v>9</v>
      </c>
      <c r="G2517" s="6" t="s">
        <v>10</v>
      </c>
      <c r="H2517" s="9" t="s">
        <v>11</v>
      </c>
      <c r="I2517" s="7" t="str">
        <f t="shared" si="156"/>
        <v>61001003000</v>
      </c>
      <c r="J2517" s="7" t="str">
        <f t="shared" si="157"/>
        <v>Материал по ЕГРН</v>
      </c>
      <c r="K2517" s="7">
        <f>VLOOKUP(J2517,Лист2!A$2:B$4,2,FALSE)</f>
        <v>792</v>
      </c>
      <c r="L2517" s="7" t="str">
        <f t="shared" si="158"/>
        <v>ГОТОВ_ИЗМЕНЕН</v>
      </c>
      <c r="M2517" s="7">
        <f t="shared" si="159"/>
        <v>0</v>
      </c>
    </row>
    <row r="2518" spans="1:13" x14ac:dyDescent="0.25">
      <c r="A2518" s="1">
        <v>944401</v>
      </c>
      <c r="B2518" s="6" t="s">
        <v>2645</v>
      </c>
      <c r="F2518" s="6" t="s">
        <v>9</v>
      </c>
      <c r="G2518" s="6" t="s">
        <v>38</v>
      </c>
      <c r="H2518" s="9" t="s">
        <v>33</v>
      </c>
      <c r="I2518" s="7" t="str">
        <f t="shared" si="156"/>
        <v>61001005000</v>
      </c>
      <c r="J2518" s="7" t="str">
        <f t="shared" si="157"/>
        <v>Материал по ЕГРН</v>
      </c>
      <c r="K2518" s="7">
        <f>VLOOKUP(J2518,Лист2!A$2:B$4,2,FALSE)</f>
        <v>792</v>
      </c>
      <c r="L2518" s="7" t="str">
        <f t="shared" si="158"/>
        <v>ГОТОВ_ИЗМЕНЕН</v>
      </c>
      <c r="M2518" s="7">
        <f t="shared" si="159"/>
        <v>0</v>
      </c>
    </row>
    <row r="2519" spans="1:13" x14ac:dyDescent="0.25">
      <c r="A2519" s="1">
        <v>944413</v>
      </c>
      <c r="B2519" s="6" t="s">
        <v>2646</v>
      </c>
      <c r="F2519" s="6" t="s">
        <v>9</v>
      </c>
      <c r="G2519" s="6" t="s">
        <v>59</v>
      </c>
      <c r="H2519" s="9" t="s">
        <v>60</v>
      </c>
      <c r="I2519" s="7" t="str">
        <f t="shared" si="156"/>
        <v>61001001001</v>
      </c>
      <c r="J2519" s="7" t="str">
        <f t="shared" si="157"/>
        <v>Материал по ЕГРН</v>
      </c>
      <c r="K2519" s="7">
        <f>VLOOKUP(J2519,Лист2!A$2:B$4,2,FALSE)</f>
        <v>792</v>
      </c>
      <c r="L2519" s="7" t="str">
        <f t="shared" si="158"/>
        <v>ГОТОВ_ИЗМЕНЕН</v>
      </c>
      <c r="M2519" s="7">
        <f t="shared" si="159"/>
        <v>0</v>
      </c>
    </row>
    <row r="2520" spans="1:13" x14ac:dyDescent="0.25">
      <c r="A2520" s="1">
        <v>944425</v>
      </c>
      <c r="B2520" s="6" t="s">
        <v>2647</v>
      </c>
      <c r="F2520" s="6" t="s">
        <v>9</v>
      </c>
      <c r="G2520" s="6" t="s">
        <v>59</v>
      </c>
      <c r="H2520" s="9" t="s">
        <v>60</v>
      </c>
      <c r="I2520" s="7" t="str">
        <f t="shared" si="156"/>
        <v>61001001001</v>
      </c>
      <c r="J2520" s="7" t="str">
        <f t="shared" si="157"/>
        <v>Материал по ЕГРН</v>
      </c>
      <c r="K2520" s="7">
        <f>VLOOKUP(J2520,Лист2!A$2:B$4,2,FALSE)</f>
        <v>792</v>
      </c>
      <c r="L2520" s="7" t="str">
        <f t="shared" si="158"/>
        <v>ГОТОВ_ИЗМЕНЕН</v>
      </c>
      <c r="M2520" s="7">
        <f t="shared" si="159"/>
        <v>0</v>
      </c>
    </row>
    <row r="2521" spans="1:13" x14ac:dyDescent="0.25">
      <c r="A2521" s="1">
        <v>944437</v>
      </c>
      <c r="B2521" s="6" t="s">
        <v>2648</v>
      </c>
      <c r="F2521" s="6" t="s">
        <v>9</v>
      </c>
      <c r="G2521" s="6" t="s">
        <v>62</v>
      </c>
      <c r="H2521" s="9" t="s">
        <v>63</v>
      </c>
      <c r="I2521" s="7" t="str">
        <f t="shared" si="156"/>
        <v>61001006002</v>
      </c>
      <c r="J2521" s="7" t="str">
        <f t="shared" si="157"/>
        <v>Материал по ЕГРН</v>
      </c>
      <c r="K2521" s="7">
        <f>VLOOKUP(J2521,Лист2!A$2:B$4,2,FALSE)</f>
        <v>792</v>
      </c>
      <c r="L2521" s="7" t="str">
        <f t="shared" si="158"/>
        <v>ГОТОВ_ИЗМЕНЕН</v>
      </c>
      <c r="M2521" s="7">
        <f t="shared" si="159"/>
        <v>0</v>
      </c>
    </row>
    <row r="2522" spans="1:13" x14ac:dyDescent="0.25">
      <c r="A2522" s="1">
        <v>944449</v>
      </c>
      <c r="B2522" s="6" t="s">
        <v>2649</v>
      </c>
      <c r="F2522" s="6" t="s">
        <v>9</v>
      </c>
      <c r="G2522" s="6" t="s">
        <v>34</v>
      </c>
      <c r="H2522" s="9" t="s">
        <v>35</v>
      </c>
      <c r="I2522" s="7" t="str">
        <f t="shared" si="156"/>
        <v>61001002000</v>
      </c>
      <c r="J2522" s="7" t="str">
        <f t="shared" si="157"/>
        <v>Материал по ЕГРН</v>
      </c>
      <c r="K2522" s="7">
        <f>VLOOKUP(J2522,Лист2!A$2:B$4,2,FALSE)</f>
        <v>792</v>
      </c>
      <c r="L2522" s="7" t="str">
        <f t="shared" si="158"/>
        <v>ГОТОВ_ИЗМЕНЕН</v>
      </c>
      <c r="M2522" s="7">
        <f t="shared" si="159"/>
        <v>0</v>
      </c>
    </row>
    <row r="2523" spans="1:13" x14ac:dyDescent="0.25">
      <c r="A2523" s="1">
        <v>944461</v>
      </c>
      <c r="B2523" s="6" t="s">
        <v>2650</v>
      </c>
      <c r="F2523" s="6" t="s">
        <v>9</v>
      </c>
      <c r="G2523" s="6" t="s">
        <v>59</v>
      </c>
      <c r="H2523" s="9" t="s">
        <v>60</v>
      </c>
      <c r="I2523" s="7" t="str">
        <f t="shared" si="156"/>
        <v>61001001001</v>
      </c>
      <c r="J2523" s="7" t="str">
        <f t="shared" si="157"/>
        <v>Материал по ЕГРН</v>
      </c>
      <c r="K2523" s="7">
        <f>VLOOKUP(J2523,Лист2!A$2:B$4,2,FALSE)</f>
        <v>792</v>
      </c>
      <c r="L2523" s="7" t="str">
        <f t="shared" si="158"/>
        <v>ГОТОВ_ИЗМЕНЕН</v>
      </c>
      <c r="M2523" s="7">
        <f t="shared" si="159"/>
        <v>0</v>
      </c>
    </row>
    <row r="2524" spans="1:13" x14ac:dyDescent="0.25">
      <c r="A2524" s="1">
        <v>944473</v>
      </c>
      <c r="B2524" s="6" t="s">
        <v>2651</v>
      </c>
      <c r="F2524" s="6" t="s">
        <v>9</v>
      </c>
      <c r="G2524" s="6" t="s">
        <v>38</v>
      </c>
      <c r="H2524" s="9" t="s">
        <v>33</v>
      </c>
      <c r="I2524" s="7" t="str">
        <f t="shared" si="156"/>
        <v>61001005000</v>
      </c>
      <c r="J2524" s="7" t="str">
        <f t="shared" si="157"/>
        <v>Материал по ЕГРН</v>
      </c>
      <c r="K2524" s="7">
        <f>VLOOKUP(J2524,Лист2!A$2:B$4,2,FALSE)</f>
        <v>792</v>
      </c>
      <c r="L2524" s="7" t="str">
        <f t="shared" si="158"/>
        <v>ГОТОВ_ИЗМЕНЕН</v>
      </c>
      <c r="M2524" s="7">
        <f t="shared" si="159"/>
        <v>0</v>
      </c>
    </row>
    <row r="2525" spans="1:13" x14ac:dyDescent="0.25">
      <c r="A2525" s="1">
        <v>944485</v>
      </c>
      <c r="B2525" s="6" t="s">
        <v>2652</v>
      </c>
      <c r="F2525" s="6" t="s">
        <v>9</v>
      </c>
      <c r="G2525" s="6" t="s">
        <v>62</v>
      </c>
      <c r="H2525" s="9" t="s">
        <v>63</v>
      </c>
      <c r="I2525" s="7" t="str">
        <f t="shared" si="156"/>
        <v>61001006002</v>
      </c>
      <c r="J2525" s="7" t="str">
        <f t="shared" si="157"/>
        <v>Материал по ЕГРН</v>
      </c>
      <c r="K2525" s="7">
        <f>VLOOKUP(J2525,Лист2!A$2:B$4,2,FALSE)</f>
        <v>792</v>
      </c>
      <c r="L2525" s="7" t="str">
        <f t="shared" si="158"/>
        <v>ГОТОВ_ИЗМЕНЕН</v>
      </c>
      <c r="M2525" s="7">
        <f t="shared" si="159"/>
        <v>0</v>
      </c>
    </row>
    <row r="2526" spans="1:13" x14ac:dyDescent="0.25">
      <c r="A2526" s="1">
        <v>944497</v>
      </c>
      <c r="B2526" s="6" t="s">
        <v>2653</v>
      </c>
      <c r="F2526" s="6" t="s">
        <v>9</v>
      </c>
      <c r="G2526" s="6" t="s">
        <v>59</v>
      </c>
      <c r="H2526" s="9" t="s">
        <v>60</v>
      </c>
      <c r="I2526" s="7" t="str">
        <f t="shared" si="156"/>
        <v>61001001001</v>
      </c>
      <c r="J2526" s="7" t="str">
        <f t="shared" si="157"/>
        <v>Материал по ЕГРН</v>
      </c>
      <c r="K2526" s="7">
        <f>VLOOKUP(J2526,Лист2!A$2:B$4,2,FALSE)</f>
        <v>792</v>
      </c>
      <c r="L2526" s="7" t="str">
        <f t="shared" si="158"/>
        <v>ГОТОВ_ИЗМЕНЕН</v>
      </c>
      <c r="M2526" s="7">
        <f t="shared" si="159"/>
        <v>0</v>
      </c>
    </row>
    <row r="2527" spans="1:13" x14ac:dyDescent="0.25">
      <c r="A2527" s="1">
        <v>944509</v>
      </c>
      <c r="B2527" s="6" t="s">
        <v>2654</v>
      </c>
      <c r="F2527" s="6" t="s">
        <v>9</v>
      </c>
      <c r="G2527" s="6" t="s">
        <v>38</v>
      </c>
      <c r="H2527" s="9" t="s">
        <v>33</v>
      </c>
      <c r="I2527" s="7" t="str">
        <f t="shared" si="156"/>
        <v>61001005000</v>
      </c>
      <c r="J2527" s="7" t="str">
        <f t="shared" si="157"/>
        <v>Материал по ЕГРН</v>
      </c>
      <c r="K2527" s="7">
        <f>VLOOKUP(J2527,Лист2!A$2:B$4,2,FALSE)</f>
        <v>792</v>
      </c>
      <c r="L2527" s="7" t="str">
        <f t="shared" si="158"/>
        <v>ГОТОВ_ИЗМЕНЕН</v>
      </c>
      <c r="M2527" s="7">
        <f t="shared" si="159"/>
        <v>0</v>
      </c>
    </row>
    <row r="2528" spans="1:13" x14ac:dyDescent="0.25">
      <c r="A2528" s="1">
        <v>944521</v>
      </c>
      <c r="B2528" s="6" t="s">
        <v>2655</v>
      </c>
      <c r="F2528" s="6" t="s">
        <v>9</v>
      </c>
      <c r="G2528" s="6" t="s">
        <v>38</v>
      </c>
      <c r="H2528" s="9" t="s">
        <v>33</v>
      </c>
      <c r="I2528" s="7" t="str">
        <f t="shared" si="156"/>
        <v>61001005000</v>
      </c>
      <c r="J2528" s="7" t="str">
        <f t="shared" si="157"/>
        <v>Материал по ЕГРН</v>
      </c>
      <c r="K2528" s="7">
        <f>VLOOKUP(J2528,Лист2!A$2:B$4,2,FALSE)</f>
        <v>792</v>
      </c>
      <c r="L2528" s="7" t="str">
        <f t="shared" si="158"/>
        <v>ГОТОВ_ИЗМЕНЕН</v>
      </c>
      <c r="M2528" s="7">
        <f t="shared" si="159"/>
        <v>0</v>
      </c>
    </row>
    <row r="2529" spans="1:13" x14ac:dyDescent="0.25">
      <c r="A2529" s="1">
        <v>944533</v>
      </c>
      <c r="B2529" s="6" t="s">
        <v>2656</v>
      </c>
      <c r="F2529" s="6" t="s">
        <v>9</v>
      </c>
      <c r="G2529" s="6" t="s">
        <v>10</v>
      </c>
      <c r="H2529" s="9" t="s">
        <v>11</v>
      </c>
      <c r="I2529" s="7" t="str">
        <f t="shared" si="156"/>
        <v>61001003000</v>
      </c>
      <c r="J2529" s="7" t="str">
        <f t="shared" si="157"/>
        <v>Материал по ЕГРН</v>
      </c>
      <c r="K2529" s="7">
        <f>VLOOKUP(J2529,Лист2!A$2:B$4,2,FALSE)</f>
        <v>792</v>
      </c>
      <c r="L2529" s="7" t="str">
        <f t="shared" si="158"/>
        <v>ГОТОВ_ИЗМЕНЕН</v>
      </c>
      <c r="M2529" s="7">
        <f t="shared" si="159"/>
        <v>0</v>
      </c>
    </row>
    <row r="2530" spans="1:13" x14ac:dyDescent="0.25">
      <c r="A2530" s="1">
        <v>944545</v>
      </c>
      <c r="B2530" s="6" t="s">
        <v>2657</v>
      </c>
      <c r="F2530" s="6" t="s">
        <v>9</v>
      </c>
      <c r="G2530" s="6" t="s">
        <v>34</v>
      </c>
      <c r="H2530" s="9" t="s">
        <v>35</v>
      </c>
      <c r="I2530" s="7" t="str">
        <f t="shared" si="156"/>
        <v>61001002000</v>
      </c>
      <c r="J2530" s="7" t="str">
        <f t="shared" si="157"/>
        <v>Материал по ЕГРН</v>
      </c>
      <c r="K2530" s="7">
        <f>VLOOKUP(J2530,Лист2!A$2:B$4,2,FALSE)</f>
        <v>792</v>
      </c>
      <c r="L2530" s="7" t="str">
        <f t="shared" si="158"/>
        <v>ГОТОВ_ИЗМЕНЕН</v>
      </c>
      <c r="M2530" s="7">
        <f t="shared" si="159"/>
        <v>0</v>
      </c>
    </row>
    <row r="2531" spans="1:13" x14ac:dyDescent="0.25">
      <c r="A2531" s="1">
        <v>944557</v>
      </c>
      <c r="B2531" s="6" t="s">
        <v>2658</v>
      </c>
      <c r="F2531" s="6" t="s">
        <v>9</v>
      </c>
      <c r="G2531" s="6" t="s">
        <v>10</v>
      </c>
      <c r="H2531" s="9" t="s">
        <v>11</v>
      </c>
      <c r="I2531" s="7" t="str">
        <f t="shared" si="156"/>
        <v>61001003000</v>
      </c>
      <c r="J2531" s="7" t="str">
        <f t="shared" si="157"/>
        <v>Материал по ЕГРН</v>
      </c>
      <c r="K2531" s="7">
        <f>VLOOKUP(J2531,Лист2!A$2:B$4,2,FALSE)</f>
        <v>792</v>
      </c>
      <c r="L2531" s="7" t="str">
        <f t="shared" si="158"/>
        <v>ГОТОВ_ИЗМЕНЕН</v>
      </c>
      <c r="M2531" s="7">
        <f t="shared" si="159"/>
        <v>0</v>
      </c>
    </row>
    <row r="2532" spans="1:13" x14ac:dyDescent="0.25">
      <c r="A2532" s="1">
        <v>944569</v>
      </c>
      <c r="B2532" s="6" t="s">
        <v>2659</v>
      </c>
      <c r="F2532" s="6" t="s">
        <v>9</v>
      </c>
      <c r="G2532" s="6" t="s">
        <v>38</v>
      </c>
      <c r="H2532" s="9" t="s">
        <v>33</v>
      </c>
      <c r="I2532" s="7" t="str">
        <f t="shared" si="156"/>
        <v>61001005000</v>
      </c>
      <c r="J2532" s="7" t="str">
        <f t="shared" si="157"/>
        <v>Материал по ЕГРН</v>
      </c>
      <c r="K2532" s="7">
        <f>VLOOKUP(J2532,Лист2!A$2:B$4,2,FALSE)</f>
        <v>792</v>
      </c>
      <c r="L2532" s="7" t="str">
        <f t="shared" si="158"/>
        <v>ГОТОВ_ИЗМЕНЕН</v>
      </c>
      <c r="M2532" s="7">
        <f t="shared" si="159"/>
        <v>0</v>
      </c>
    </row>
    <row r="2533" spans="1:13" x14ac:dyDescent="0.25">
      <c r="A2533" s="1">
        <v>944581</v>
      </c>
      <c r="B2533" s="6" t="s">
        <v>2660</v>
      </c>
      <c r="F2533" s="6" t="s">
        <v>9</v>
      </c>
      <c r="G2533" s="6" t="s">
        <v>59</v>
      </c>
      <c r="H2533" s="9" t="s">
        <v>60</v>
      </c>
      <c r="I2533" s="7" t="str">
        <f t="shared" si="156"/>
        <v>61001001001</v>
      </c>
      <c r="J2533" s="7" t="str">
        <f t="shared" si="157"/>
        <v>Материал по ЕГРН</v>
      </c>
      <c r="K2533" s="7">
        <f>VLOOKUP(J2533,Лист2!A$2:B$4,2,FALSE)</f>
        <v>792</v>
      </c>
      <c r="L2533" s="7" t="str">
        <f t="shared" si="158"/>
        <v>ГОТОВ_ИЗМЕНЕН</v>
      </c>
      <c r="M2533" s="7">
        <f t="shared" si="159"/>
        <v>0</v>
      </c>
    </row>
    <row r="2534" spans="1:13" x14ac:dyDescent="0.25">
      <c r="A2534" s="1">
        <v>944593</v>
      </c>
      <c r="B2534" s="6" t="s">
        <v>2661</v>
      </c>
      <c r="F2534" s="6" t="s">
        <v>9</v>
      </c>
      <c r="G2534" s="6" t="s">
        <v>10</v>
      </c>
      <c r="H2534" s="9" t="s">
        <v>11</v>
      </c>
      <c r="I2534" s="7" t="str">
        <f t="shared" si="156"/>
        <v>61001003000</v>
      </c>
      <c r="J2534" s="7" t="str">
        <f t="shared" si="157"/>
        <v>Материал по ЕГРН</v>
      </c>
      <c r="K2534" s="7">
        <f>VLOOKUP(J2534,Лист2!A$2:B$4,2,FALSE)</f>
        <v>792</v>
      </c>
      <c r="L2534" s="7" t="str">
        <f t="shared" si="158"/>
        <v>ГОТОВ_ИЗМЕНЕН</v>
      </c>
      <c r="M2534" s="7">
        <f t="shared" si="159"/>
        <v>0</v>
      </c>
    </row>
    <row r="2535" spans="1:13" x14ac:dyDescent="0.25">
      <c r="A2535" s="1">
        <v>944605</v>
      </c>
      <c r="B2535" s="6" t="s">
        <v>2662</v>
      </c>
      <c r="F2535" s="6" t="s">
        <v>9</v>
      </c>
      <c r="G2535" s="6" t="s">
        <v>34</v>
      </c>
      <c r="H2535" s="9" t="s">
        <v>35</v>
      </c>
      <c r="I2535" s="7" t="str">
        <f t="shared" si="156"/>
        <v>61001002000</v>
      </c>
      <c r="J2535" s="7" t="str">
        <f t="shared" si="157"/>
        <v>Материал по ЕГРН</v>
      </c>
      <c r="K2535" s="7">
        <f>VLOOKUP(J2535,Лист2!A$2:B$4,2,FALSE)</f>
        <v>792</v>
      </c>
      <c r="L2535" s="7" t="str">
        <f t="shared" si="158"/>
        <v>ГОТОВ_ИЗМЕНЕН</v>
      </c>
      <c r="M2535" s="7">
        <f t="shared" si="159"/>
        <v>0</v>
      </c>
    </row>
    <row r="2536" spans="1:13" x14ac:dyDescent="0.25">
      <c r="A2536" s="1">
        <v>944617</v>
      </c>
      <c r="B2536" s="6" t="s">
        <v>2663</v>
      </c>
      <c r="F2536" s="6" t="s">
        <v>9</v>
      </c>
      <c r="G2536" s="6" t="s">
        <v>38</v>
      </c>
      <c r="H2536" s="9" t="s">
        <v>33</v>
      </c>
      <c r="I2536" s="7" t="str">
        <f t="shared" si="156"/>
        <v>61001005000</v>
      </c>
      <c r="J2536" s="7" t="str">
        <f t="shared" si="157"/>
        <v>Материал по ЕГРН</v>
      </c>
      <c r="K2536" s="7">
        <f>VLOOKUP(J2536,Лист2!A$2:B$4,2,FALSE)</f>
        <v>792</v>
      </c>
      <c r="L2536" s="7" t="str">
        <f t="shared" si="158"/>
        <v>ГОТОВ_ИЗМЕНЕН</v>
      </c>
      <c r="M2536" s="7">
        <f t="shared" si="159"/>
        <v>0</v>
      </c>
    </row>
    <row r="2537" spans="1:13" x14ac:dyDescent="0.25">
      <c r="A2537" s="1">
        <v>944629</v>
      </c>
      <c r="B2537" s="6" t="s">
        <v>2664</v>
      </c>
      <c r="F2537" s="6" t="s">
        <v>9</v>
      </c>
      <c r="G2537" s="6" t="s">
        <v>43</v>
      </c>
      <c r="H2537" s="9" t="s">
        <v>42</v>
      </c>
      <c r="I2537" s="7" t="str">
        <f t="shared" si="156"/>
        <v>61001002001</v>
      </c>
      <c r="J2537" s="7" t="str">
        <f t="shared" si="157"/>
        <v>Материал по ЕГРН</v>
      </c>
      <c r="K2537" s="7">
        <f>VLOOKUP(J2537,Лист2!A$2:B$4,2,FALSE)</f>
        <v>792</v>
      </c>
      <c r="L2537" s="7" t="str">
        <f t="shared" si="158"/>
        <v>ГОТОВ_ИЗМЕНЕН</v>
      </c>
      <c r="M2537" s="7">
        <f t="shared" si="159"/>
        <v>0</v>
      </c>
    </row>
    <row r="2538" spans="1:13" x14ac:dyDescent="0.25">
      <c r="A2538" s="1">
        <v>945821</v>
      </c>
      <c r="B2538" s="6" t="s">
        <v>2665</v>
      </c>
      <c r="F2538" s="6" t="s">
        <v>9</v>
      </c>
      <c r="G2538" s="6" t="s">
        <v>62</v>
      </c>
      <c r="H2538" s="9" t="s">
        <v>63</v>
      </c>
      <c r="I2538" s="7" t="str">
        <f t="shared" si="156"/>
        <v>61001006002</v>
      </c>
      <c r="J2538" s="7" t="str">
        <f t="shared" si="157"/>
        <v>Материал по ЕГРН</v>
      </c>
      <c r="K2538" s="7">
        <f>VLOOKUP(J2538,Лист2!A$2:B$4,2,FALSE)</f>
        <v>792</v>
      </c>
      <c r="L2538" s="7" t="str">
        <f t="shared" si="158"/>
        <v>ГОТОВ_ИЗМЕНЕН</v>
      </c>
      <c r="M2538" s="7">
        <f t="shared" si="159"/>
        <v>0</v>
      </c>
    </row>
    <row r="2539" spans="1:13" x14ac:dyDescent="0.25">
      <c r="A2539" s="1">
        <v>945833</v>
      </c>
      <c r="B2539" s="6" t="s">
        <v>2666</v>
      </c>
      <c r="F2539" s="6" t="s">
        <v>9</v>
      </c>
      <c r="G2539" s="6" t="s">
        <v>59</v>
      </c>
      <c r="H2539" s="9" t="s">
        <v>60</v>
      </c>
      <c r="I2539" s="7" t="str">
        <f t="shared" si="156"/>
        <v>61001001001</v>
      </c>
      <c r="J2539" s="7" t="str">
        <f t="shared" si="157"/>
        <v>Материал по ЕГРН</v>
      </c>
      <c r="K2539" s="7">
        <f>VLOOKUP(J2539,Лист2!A$2:B$4,2,FALSE)</f>
        <v>792</v>
      </c>
      <c r="L2539" s="7" t="str">
        <f t="shared" si="158"/>
        <v>ГОТОВ_ИЗМЕНЕН</v>
      </c>
      <c r="M2539" s="7">
        <f t="shared" si="159"/>
        <v>0</v>
      </c>
    </row>
    <row r="2540" spans="1:13" x14ac:dyDescent="0.25">
      <c r="A2540" s="1">
        <v>945845</v>
      </c>
      <c r="B2540" s="6" t="s">
        <v>2667</v>
      </c>
      <c r="F2540" s="6" t="s">
        <v>9</v>
      </c>
      <c r="G2540" s="6" t="s">
        <v>59</v>
      </c>
      <c r="H2540" s="9" t="s">
        <v>60</v>
      </c>
      <c r="I2540" s="7" t="str">
        <f t="shared" si="156"/>
        <v>61001001001</v>
      </c>
      <c r="J2540" s="7" t="str">
        <f t="shared" si="157"/>
        <v>Материал по ЕГРН</v>
      </c>
      <c r="K2540" s="7">
        <f>VLOOKUP(J2540,Лист2!A$2:B$4,2,FALSE)</f>
        <v>792</v>
      </c>
      <c r="L2540" s="7" t="str">
        <f t="shared" si="158"/>
        <v>ГОТОВ_ИЗМЕНЕН</v>
      </c>
      <c r="M2540" s="7">
        <f t="shared" si="159"/>
        <v>0</v>
      </c>
    </row>
    <row r="2541" spans="1:13" x14ac:dyDescent="0.25">
      <c r="A2541" s="1">
        <v>945857</v>
      </c>
      <c r="B2541" s="6" t="s">
        <v>2668</v>
      </c>
      <c r="F2541" s="6" t="s">
        <v>9</v>
      </c>
      <c r="G2541" s="6" t="s">
        <v>34</v>
      </c>
      <c r="H2541" s="9" t="s">
        <v>35</v>
      </c>
      <c r="I2541" s="7" t="str">
        <f t="shared" si="156"/>
        <v>61001002000</v>
      </c>
      <c r="J2541" s="7" t="str">
        <f t="shared" si="157"/>
        <v>Материал по ЕГРН</v>
      </c>
      <c r="K2541" s="7">
        <f>VLOOKUP(J2541,Лист2!A$2:B$4,2,FALSE)</f>
        <v>792</v>
      </c>
      <c r="L2541" s="7" t="str">
        <f t="shared" si="158"/>
        <v>ГОТОВ_ИЗМЕНЕН</v>
      </c>
      <c r="M2541" s="7">
        <f t="shared" si="159"/>
        <v>0</v>
      </c>
    </row>
    <row r="2542" spans="1:13" x14ac:dyDescent="0.25">
      <c r="A2542" s="1">
        <v>945869</v>
      </c>
      <c r="B2542" s="6" t="s">
        <v>2669</v>
      </c>
      <c r="F2542" s="6" t="s">
        <v>9</v>
      </c>
      <c r="G2542" s="6" t="s">
        <v>90</v>
      </c>
      <c r="H2542" s="9" t="s">
        <v>12</v>
      </c>
      <c r="I2542" s="7" t="str">
        <f t="shared" si="156"/>
        <v>61001008000</v>
      </c>
      <c r="J2542" s="7" t="str">
        <f t="shared" si="157"/>
        <v>Материал по ЕГРН</v>
      </c>
      <c r="K2542" s="7">
        <f>VLOOKUP(J2542,Лист2!A$2:B$4,2,FALSE)</f>
        <v>792</v>
      </c>
      <c r="L2542" s="7" t="str">
        <f t="shared" si="158"/>
        <v>ГОТОВ_ИЗМЕНЕН</v>
      </c>
      <c r="M2542" s="7">
        <f t="shared" si="159"/>
        <v>0</v>
      </c>
    </row>
    <row r="2543" spans="1:13" x14ac:dyDescent="0.25">
      <c r="A2543" s="1">
        <v>945881</v>
      </c>
      <c r="B2543" s="6" t="s">
        <v>2670</v>
      </c>
      <c r="F2543" s="6" t="s">
        <v>9</v>
      </c>
      <c r="G2543" s="6" t="s">
        <v>10</v>
      </c>
      <c r="H2543" s="9" t="s">
        <v>11</v>
      </c>
      <c r="I2543" s="7" t="str">
        <f t="shared" si="156"/>
        <v>61001003000</v>
      </c>
      <c r="J2543" s="7" t="str">
        <f t="shared" si="157"/>
        <v>Материал по ЕГРН</v>
      </c>
      <c r="K2543" s="7">
        <f>VLOOKUP(J2543,Лист2!A$2:B$4,2,FALSE)</f>
        <v>792</v>
      </c>
      <c r="L2543" s="7" t="str">
        <f t="shared" si="158"/>
        <v>ГОТОВ_ИЗМЕНЕН</v>
      </c>
      <c r="M2543" s="7">
        <f t="shared" si="159"/>
        <v>0</v>
      </c>
    </row>
    <row r="2544" spans="1:13" x14ac:dyDescent="0.25">
      <c r="A2544" s="1">
        <v>945893</v>
      </c>
      <c r="B2544" s="6" t="s">
        <v>2671</v>
      </c>
      <c r="F2544" s="6" t="s">
        <v>9</v>
      </c>
      <c r="G2544" s="6" t="s">
        <v>10</v>
      </c>
      <c r="H2544" s="9" t="s">
        <v>11</v>
      </c>
      <c r="I2544" s="7" t="str">
        <f t="shared" si="156"/>
        <v>61001003000</v>
      </c>
      <c r="J2544" s="7" t="str">
        <f t="shared" si="157"/>
        <v>Материал по ЕГРН</v>
      </c>
      <c r="K2544" s="7">
        <f>VLOOKUP(J2544,Лист2!A$2:B$4,2,FALSE)</f>
        <v>792</v>
      </c>
      <c r="L2544" s="7" t="str">
        <f t="shared" si="158"/>
        <v>ГОТОВ_ИЗМЕНЕН</v>
      </c>
      <c r="M2544" s="7">
        <f t="shared" si="159"/>
        <v>0</v>
      </c>
    </row>
    <row r="2545" spans="1:13" x14ac:dyDescent="0.25">
      <c r="A2545" s="1">
        <v>945905</v>
      </c>
      <c r="B2545" s="6" t="s">
        <v>2672</v>
      </c>
      <c r="F2545" s="6" t="s">
        <v>9</v>
      </c>
      <c r="G2545" s="6" t="s">
        <v>34</v>
      </c>
      <c r="H2545" s="9" t="s">
        <v>35</v>
      </c>
      <c r="I2545" s="7" t="str">
        <f t="shared" si="156"/>
        <v>61001002000</v>
      </c>
      <c r="J2545" s="7" t="str">
        <f t="shared" si="157"/>
        <v>Материал по ЕГРН</v>
      </c>
      <c r="K2545" s="7">
        <f>VLOOKUP(J2545,Лист2!A$2:B$4,2,FALSE)</f>
        <v>792</v>
      </c>
      <c r="L2545" s="7" t="str">
        <f t="shared" si="158"/>
        <v>ГОТОВ_ИЗМЕНЕН</v>
      </c>
      <c r="M2545" s="7">
        <f t="shared" si="159"/>
        <v>0</v>
      </c>
    </row>
    <row r="2546" spans="1:13" x14ac:dyDescent="0.25">
      <c r="A2546" s="1">
        <v>945917</v>
      </c>
      <c r="B2546" s="6" t="s">
        <v>2673</v>
      </c>
      <c r="F2546" s="6" t="s">
        <v>9</v>
      </c>
      <c r="G2546" s="6" t="s">
        <v>34</v>
      </c>
      <c r="H2546" s="9" t="s">
        <v>35</v>
      </c>
      <c r="I2546" s="7" t="str">
        <f t="shared" si="156"/>
        <v>61001002000</v>
      </c>
      <c r="J2546" s="7" t="str">
        <f t="shared" si="157"/>
        <v>Материал по ЕГРН</v>
      </c>
      <c r="K2546" s="7">
        <f>VLOOKUP(J2546,Лист2!A$2:B$4,2,FALSE)</f>
        <v>792</v>
      </c>
      <c r="L2546" s="7" t="str">
        <f t="shared" si="158"/>
        <v>ГОТОВ_ИЗМЕНЕН</v>
      </c>
      <c r="M2546" s="7">
        <f t="shared" si="159"/>
        <v>0</v>
      </c>
    </row>
    <row r="2547" spans="1:13" x14ac:dyDescent="0.25">
      <c r="A2547" s="1">
        <v>945929</v>
      </c>
      <c r="B2547" s="6" t="s">
        <v>2674</v>
      </c>
      <c r="F2547" s="6" t="s">
        <v>9</v>
      </c>
      <c r="G2547" s="6" t="s">
        <v>38</v>
      </c>
      <c r="H2547" s="9" t="s">
        <v>33</v>
      </c>
      <c r="I2547" s="7" t="str">
        <f t="shared" si="156"/>
        <v>61001005000</v>
      </c>
      <c r="J2547" s="7" t="str">
        <f t="shared" si="157"/>
        <v>Материал по ЕГРН</v>
      </c>
      <c r="K2547" s="7">
        <f>VLOOKUP(J2547,Лист2!A$2:B$4,2,FALSE)</f>
        <v>792</v>
      </c>
      <c r="L2547" s="7" t="str">
        <f t="shared" si="158"/>
        <v>ГОТОВ_ИЗМЕНЕН</v>
      </c>
      <c r="M2547" s="7">
        <f t="shared" si="159"/>
        <v>0</v>
      </c>
    </row>
    <row r="2548" spans="1:13" x14ac:dyDescent="0.25">
      <c r="A2548" s="1">
        <v>945941</v>
      </c>
      <c r="B2548" s="6" t="s">
        <v>2675</v>
      </c>
      <c r="F2548" s="6" t="s">
        <v>9</v>
      </c>
      <c r="G2548" s="6" t="s">
        <v>62</v>
      </c>
      <c r="H2548" s="9" t="s">
        <v>63</v>
      </c>
      <c r="I2548" s="7" t="str">
        <f t="shared" si="156"/>
        <v>61001006002</v>
      </c>
      <c r="J2548" s="7" t="str">
        <f t="shared" si="157"/>
        <v>Материал по ЕГРН</v>
      </c>
      <c r="K2548" s="7">
        <f>VLOOKUP(J2548,Лист2!A$2:B$4,2,FALSE)</f>
        <v>792</v>
      </c>
      <c r="L2548" s="7" t="str">
        <f t="shared" si="158"/>
        <v>ГОТОВ_ИЗМЕНЕН</v>
      </c>
      <c r="M2548" s="7">
        <f t="shared" si="159"/>
        <v>0</v>
      </c>
    </row>
    <row r="2549" spans="1:13" x14ac:dyDescent="0.25">
      <c r="A2549" s="1">
        <v>945953</v>
      </c>
      <c r="B2549" s="6" t="s">
        <v>2676</v>
      </c>
      <c r="F2549" s="6" t="s">
        <v>9</v>
      </c>
      <c r="G2549" s="6" t="s">
        <v>62</v>
      </c>
      <c r="H2549" s="9" t="s">
        <v>63</v>
      </c>
      <c r="I2549" s="7" t="str">
        <f t="shared" si="156"/>
        <v>61001006002</v>
      </c>
      <c r="J2549" s="7" t="str">
        <f t="shared" si="157"/>
        <v>Материал по ЕГРН</v>
      </c>
      <c r="K2549" s="7">
        <f>VLOOKUP(J2549,Лист2!A$2:B$4,2,FALSE)</f>
        <v>792</v>
      </c>
      <c r="L2549" s="7" t="str">
        <f t="shared" si="158"/>
        <v>ГОТОВ_ИЗМЕНЕН</v>
      </c>
      <c r="M2549" s="7">
        <f t="shared" si="159"/>
        <v>0</v>
      </c>
    </row>
    <row r="2550" spans="1:13" x14ac:dyDescent="0.25">
      <c r="A2550" s="1">
        <v>945965</v>
      </c>
      <c r="B2550" s="6" t="s">
        <v>2677</v>
      </c>
      <c r="F2550" s="6" t="s">
        <v>9</v>
      </c>
      <c r="G2550" s="6" t="s">
        <v>34</v>
      </c>
      <c r="H2550" s="9" t="s">
        <v>35</v>
      </c>
      <c r="I2550" s="7" t="str">
        <f t="shared" si="156"/>
        <v>61001002000</v>
      </c>
      <c r="J2550" s="7" t="str">
        <f t="shared" si="157"/>
        <v>Материал по ЕГРН</v>
      </c>
      <c r="K2550" s="7">
        <f>VLOOKUP(J2550,Лист2!A$2:B$4,2,FALSE)</f>
        <v>792</v>
      </c>
      <c r="L2550" s="7" t="str">
        <f t="shared" si="158"/>
        <v>ГОТОВ_ИЗМЕНЕН</v>
      </c>
      <c r="M2550" s="7">
        <f t="shared" si="159"/>
        <v>0</v>
      </c>
    </row>
    <row r="2551" spans="1:13" x14ac:dyDescent="0.25">
      <c r="A2551" s="1">
        <v>945977</v>
      </c>
      <c r="B2551" s="6" t="s">
        <v>2678</v>
      </c>
      <c r="F2551" s="6" t="s">
        <v>9</v>
      </c>
      <c r="G2551" s="6" t="s">
        <v>38</v>
      </c>
      <c r="H2551" s="9" t="s">
        <v>33</v>
      </c>
      <c r="I2551" s="7" t="str">
        <f t="shared" si="156"/>
        <v>61001005000</v>
      </c>
      <c r="J2551" s="7" t="str">
        <f t="shared" si="157"/>
        <v>Материал по ЕГРН</v>
      </c>
      <c r="K2551" s="7">
        <f>VLOOKUP(J2551,Лист2!A$2:B$4,2,FALSE)</f>
        <v>792</v>
      </c>
      <c r="L2551" s="7" t="str">
        <f t="shared" si="158"/>
        <v>ГОТОВ_ИЗМЕНЕН</v>
      </c>
      <c r="M2551" s="7">
        <f t="shared" si="159"/>
        <v>0</v>
      </c>
    </row>
    <row r="2552" spans="1:13" x14ac:dyDescent="0.25">
      <c r="A2552" s="1">
        <v>945989</v>
      </c>
      <c r="B2552" s="6" t="s">
        <v>2679</v>
      </c>
      <c r="F2552" s="6" t="s">
        <v>9</v>
      </c>
      <c r="G2552" s="6" t="s">
        <v>59</v>
      </c>
      <c r="H2552" s="9" t="s">
        <v>60</v>
      </c>
      <c r="I2552" s="7" t="str">
        <f t="shared" si="156"/>
        <v>61001001001</v>
      </c>
      <c r="J2552" s="7" t="str">
        <f t="shared" si="157"/>
        <v>Материал по ЕГРН</v>
      </c>
      <c r="K2552" s="7">
        <f>VLOOKUP(J2552,Лист2!A$2:B$4,2,FALSE)</f>
        <v>792</v>
      </c>
      <c r="L2552" s="7" t="str">
        <f t="shared" si="158"/>
        <v>ГОТОВ_ИЗМЕНЕН</v>
      </c>
      <c r="M2552" s="7">
        <f t="shared" si="159"/>
        <v>0</v>
      </c>
    </row>
    <row r="2553" spans="1:13" x14ac:dyDescent="0.25">
      <c r="A2553" s="1">
        <v>946001</v>
      </c>
      <c r="B2553" s="6" t="s">
        <v>2680</v>
      </c>
      <c r="F2553" s="6" t="s">
        <v>9</v>
      </c>
      <c r="G2553" s="6" t="s">
        <v>38</v>
      </c>
      <c r="H2553" s="9" t="s">
        <v>33</v>
      </c>
      <c r="I2553" s="7" t="str">
        <f t="shared" si="156"/>
        <v>61001005000</v>
      </c>
      <c r="J2553" s="7" t="str">
        <f t="shared" si="157"/>
        <v>Материал по ЕГРН</v>
      </c>
      <c r="K2553" s="7">
        <f>VLOOKUP(J2553,Лист2!A$2:B$4,2,FALSE)</f>
        <v>792</v>
      </c>
      <c r="L2553" s="7" t="str">
        <f t="shared" si="158"/>
        <v>ГОТОВ_ИЗМЕНЕН</v>
      </c>
      <c r="M2553" s="7">
        <f t="shared" si="159"/>
        <v>0</v>
      </c>
    </row>
    <row r="2554" spans="1:13" x14ac:dyDescent="0.25">
      <c r="A2554" s="1">
        <v>946013</v>
      </c>
      <c r="B2554" s="6" t="s">
        <v>2681</v>
      </c>
      <c r="F2554" s="6" t="s">
        <v>9</v>
      </c>
      <c r="G2554" s="6" t="s">
        <v>34</v>
      </c>
      <c r="H2554" s="9" t="s">
        <v>35</v>
      </c>
      <c r="I2554" s="7" t="str">
        <f t="shared" si="156"/>
        <v>61001002000</v>
      </c>
      <c r="J2554" s="7" t="str">
        <f t="shared" si="157"/>
        <v>Материал по ЕГРН</v>
      </c>
      <c r="K2554" s="7">
        <f>VLOOKUP(J2554,Лист2!A$2:B$4,2,FALSE)</f>
        <v>792</v>
      </c>
      <c r="L2554" s="7" t="str">
        <f t="shared" si="158"/>
        <v>ГОТОВ_ИЗМЕНЕН</v>
      </c>
      <c r="M2554" s="7">
        <f t="shared" si="159"/>
        <v>0</v>
      </c>
    </row>
    <row r="2555" spans="1:13" x14ac:dyDescent="0.25">
      <c r="A2555" s="1">
        <v>946025</v>
      </c>
      <c r="B2555" s="6" t="s">
        <v>2682</v>
      </c>
      <c r="F2555" s="6" t="s">
        <v>9</v>
      </c>
      <c r="G2555" s="6" t="s">
        <v>10</v>
      </c>
      <c r="H2555" s="9" t="s">
        <v>11</v>
      </c>
      <c r="I2555" s="7" t="str">
        <f t="shared" si="156"/>
        <v>61001003000</v>
      </c>
      <c r="J2555" s="7" t="str">
        <f t="shared" si="157"/>
        <v>Материал по ЕГРН</v>
      </c>
      <c r="K2555" s="7">
        <f>VLOOKUP(J2555,Лист2!A$2:B$4,2,FALSE)</f>
        <v>792</v>
      </c>
      <c r="L2555" s="7" t="str">
        <f t="shared" si="158"/>
        <v>ГОТОВ_ИЗМЕНЕН</v>
      </c>
      <c r="M2555" s="7">
        <f t="shared" si="159"/>
        <v>0</v>
      </c>
    </row>
    <row r="2556" spans="1:13" x14ac:dyDescent="0.25">
      <c r="A2556" s="1">
        <v>946037</v>
      </c>
      <c r="B2556" s="6" t="s">
        <v>2683</v>
      </c>
      <c r="F2556" s="6" t="s">
        <v>9</v>
      </c>
      <c r="G2556" s="6" t="s">
        <v>10</v>
      </c>
      <c r="H2556" s="9" t="s">
        <v>11</v>
      </c>
      <c r="I2556" s="7" t="str">
        <f t="shared" si="156"/>
        <v>61001003000</v>
      </c>
      <c r="J2556" s="7" t="str">
        <f t="shared" si="157"/>
        <v>Материал по ЕГРН</v>
      </c>
      <c r="K2556" s="7">
        <f>VLOOKUP(J2556,Лист2!A$2:B$4,2,FALSE)</f>
        <v>792</v>
      </c>
      <c r="L2556" s="7" t="str">
        <f t="shared" si="158"/>
        <v>ГОТОВ_ИЗМЕНЕН</v>
      </c>
      <c r="M2556" s="7">
        <f t="shared" si="159"/>
        <v>0</v>
      </c>
    </row>
    <row r="2557" spans="1:13" x14ac:dyDescent="0.25">
      <c r="A2557" s="1">
        <v>946049</v>
      </c>
      <c r="B2557" s="6" t="s">
        <v>2684</v>
      </c>
      <c r="F2557" s="6" t="s">
        <v>9</v>
      </c>
      <c r="G2557" s="6" t="s">
        <v>10</v>
      </c>
      <c r="H2557" s="9" t="s">
        <v>11</v>
      </c>
      <c r="I2557" s="7" t="str">
        <f t="shared" si="156"/>
        <v>61001003000</v>
      </c>
      <c r="J2557" s="7" t="str">
        <f t="shared" si="157"/>
        <v>Материал по ЕГРН</v>
      </c>
      <c r="K2557" s="7">
        <f>VLOOKUP(J2557,Лист2!A$2:B$4,2,FALSE)</f>
        <v>792</v>
      </c>
      <c r="L2557" s="7" t="str">
        <f t="shared" si="158"/>
        <v>ГОТОВ_ИЗМЕНЕН</v>
      </c>
      <c r="M2557" s="7">
        <f t="shared" si="159"/>
        <v>0</v>
      </c>
    </row>
    <row r="2558" spans="1:13" x14ac:dyDescent="0.25">
      <c r="A2558" s="1">
        <v>946061</v>
      </c>
      <c r="B2558" s="6" t="s">
        <v>2685</v>
      </c>
      <c r="F2558" s="6" t="s">
        <v>9</v>
      </c>
      <c r="G2558" s="6" t="s">
        <v>125</v>
      </c>
      <c r="H2558" s="9" t="s">
        <v>126</v>
      </c>
      <c r="I2558" s="7" t="str">
        <f t="shared" si="156"/>
        <v>61001007004</v>
      </c>
      <c r="J2558" s="7" t="str">
        <f t="shared" si="157"/>
        <v>Материал по ЕГРН</v>
      </c>
      <c r="K2558" s="7">
        <f>VLOOKUP(J2558,Лист2!A$2:B$4,2,FALSE)</f>
        <v>792</v>
      </c>
      <c r="L2558" s="7" t="str">
        <f t="shared" si="158"/>
        <v>ГОТОВ_ИЗМЕНЕН</v>
      </c>
      <c r="M2558" s="7">
        <f t="shared" si="159"/>
        <v>0</v>
      </c>
    </row>
    <row r="2559" spans="1:13" x14ac:dyDescent="0.25">
      <c r="A2559" s="1">
        <v>946073</v>
      </c>
      <c r="B2559" s="6" t="s">
        <v>2686</v>
      </c>
      <c r="F2559" s="6" t="s">
        <v>9</v>
      </c>
      <c r="G2559" s="6" t="s">
        <v>38</v>
      </c>
      <c r="H2559" s="9" t="s">
        <v>33</v>
      </c>
      <c r="I2559" s="7" t="str">
        <f t="shared" si="156"/>
        <v>61001005000</v>
      </c>
      <c r="J2559" s="7" t="str">
        <f t="shared" si="157"/>
        <v>Материал по ЕГРН</v>
      </c>
      <c r="K2559" s="7">
        <f>VLOOKUP(J2559,Лист2!A$2:B$4,2,FALSE)</f>
        <v>792</v>
      </c>
      <c r="L2559" s="7" t="str">
        <f t="shared" si="158"/>
        <v>ГОТОВ_ИЗМЕНЕН</v>
      </c>
      <c r="M2559" s="7">
        <f t="shared" si="159"/>
        <v>0</v>
      </c>
    </row>
    <row r="2560" spans="1:13" x14ac:dyDescent="0.25">
      <c r="A2560" s="1">
        <v>946085</v>
      </c>
      <c r="B2560" s="6" t="s">
        <v>2687</v>
      </c>
      <c r="F2560" s="6" t="s">
        <v>9</v>
      </c>
      <c r="G2560" s="6" t="s">
        <v>38</v>
      </c>
      <c r="H2560" s="9" t="s">
        <v>33</v>
      </c>
      <c r="I2560" s="7" t="str">
        <f t="shared" si="156"/>
        <v>61001005000</v>
      </c>
      <c r="J2560" s="7" t="str">
        <f t="shared" si="157"/>
        <v>Материал по ЕГРН</v>
      </c>
      <c r="K2560" s="7">
        <f>VLOOKUP(J2560,Лист2!A$2:B$4,2,FALSE)</f>
        <v>792</v>
      </c>
      <c r="L2560" s="7" t="str">
        <f t="shared" si="158"/>
        <v>ГОТОВ_ИЗМЕНЕН</v>
      </c>
      <c r="M2560" s="7">
        <f t="shared" si="159"/>
        <v>0</v>
      </c>
    </row>
    <row r="2561" spans="1:13" x14ac:dyDescent="0.25">
      <c r="A2561" s="1">
        <v>946097</v>
      </c>
      <c r="B2561" s="6" t="s">
        <v>2688</v>
      </c>
      <c r="F2561" s="6" t="s">
        <v>9</v>
      </c>
      <c r="G2561" s="6" t="s">
        <v>146</v>
      </c>
      <c r="H2561" s="9" t="s">
        <v>147</v>
      </c>
      <c r="I2561" s="7" t="str">
        <f t="shared" si="156"/>
        <v>61001000000</v>
      </c>
      <c r="J2561" s="7" t="str">
        <f t="shared" si="157"/>
        <v>Материал по ЕГРН</v>
      </c>
      <c r="K2561" s="7">
        <f>VLOOKUP(J2561,Лист2!A$2:B$4,2,FALSE)</f>
        <v>792</v>
      </c>
      <c r="L2561" s="7" t="str">
        <f t="shared" si="158"/>
        <v>ГОТОВ_ИЗМЕНЕН</v>
      </c>
      <c r="M2561" s="7">
        <f t="shared" si="159"/>
        <v>0</v>
      </c>
    </row>
    <row r="2562" spans="1:13" x14ac:dyDescent="0.25">
      <c r="A2562" s="1">
        <v>946109</v>
      </c>
      <c r="B2562" s="6" t="s">
        <v>2689</v>
      </c>
      <c r="F2562" s="6" t="s">
        <v>9</v>
      </c>
      <c r="G2562" s="6" t="s">
        <v>38</v>
      </c>
      <c r="H2562" s="9" t="s">
        <v>33</v>
      </c>
      <c r="I2562" s="7" t="str">
        <f t="shared" si="156"/>
        <v>61001005000</v>
      </c>
      <c r="J2562" s="7" t="str">
        <f t="shared" si="157"/>
        <v>Материал по ЕГРН</v>
      </c>
      <c r="K2562" s="7">
        <f>VLOOKUP(J2562,Лист2!A$2:B$4,2,FALSE)</f>
        <v>792</v>
      </c>
      <c r="L2562" s="7" t="str">
        <f t="shared" si="158"/>
        <v>ГОТОВ_ИЗМЕНЕН</v>
      </c>
      <c r="M2562" s="7">
        <f t="shared" si="159"/>
        <v>0</v>
      </c>
    </row>
    <row r="2563" spans="1:13" x14ac:dyDescent="0.25">
      <c r="A2563" s="1">
        <v>946121</v>
      </c>
      <c r="B2563" s="6" t="s">
        <v>2690</v>
      </c>
      <c r="F2563" s="6" t="s">
        <v>9</v>
      </c>
      <c r="G2563" s="6" t="s">
        <v>38</v>
      </c>
      <c r="H2563" s="9" t="s">
        <v>33</v>
      </c>
      <c r="I2563" s="7" t="str">
        <f t="shared" si="156"/>
        <v>61001005000</v>
      </c>
      <c r="J2563" s="7" t="str">
        <f t="shared" si="157"/>
        <v>Материал по ЕГРН</v>
      </c>
      <c r="K2563" s="7">
        <f>VLOOKUP(J2563,Лист2!A$2:B$4,2,FALSE)</f>
        <v>792</v>
      </c>
      <c r="L2563" s="7" t="str">
        <f t="shared" si="158"/>
        <v>ГОТОВ_ИЗМЕНЕН</v>
      </c>
      <c r="M2563" s="7">
        <f t="shared" si="159"/>
        <v>0</v>
      </c>
    </row>
    <row r="2564" spans="1:13" x14ac:dyDescent="0.25">
      <c r="A2564" s="1">
        <v>946133</v>
      </c>
      <c r="B2564" s="6" t="s">
        <v>2691</v>
      </c>
      <c r="F2564" s="6" t="s">
        <v>9</v>
      </c>
      <c r="G2564" s="6" t="s">
        <v>59</v>
      </c>
      <c r="H2564" s="9" t="s">
        <v>60</v>
      </c>
      <c r="I2564" s="7" t="str">
        <f t="shared" si="156"/>
        <v>61001001001</v>
      </c>
      <c r="J2564" s="7" t="str">
        <f t="shared" si="157"/>
        <v>Материал по ЕГРН</v>
      </c>
      <c r="K2564" s="7">
        <f>VLOOKUP(J2564,Лист2!A$2:B$4,2,FALSE)</f>
        <v>792</v>
      </c>
      <c r="L2564" s="7" t="str">
        <f t="shared" si="158"/>
        <v>ГОТОВ_ИЗМЕНЕН</v>
      </c>
      <c r="M2564" s="7">
        <f t="shared" si="159"/>
        <v>0</v>
      </c>
    </row>
    <row r="2565" spans="1:13" x14ac:dyDescent="0.25">
      <c r="A2565" s="1">
        <v>946145</v>
      </c>
      <c r="B2565" s="6" t="s">
        <v>2692</v>
      </c>
      <c r="F2565" s="6" t="s">
        <v>9</v>
      </c>
      <c r="G2565" s="6" t="s">
        <v>38</v>
      </c>
      <c r="H2565" s="9" t="s">
        <v>33</v>
      </c>
      <c r="I2565" s="7" t="str">
        <f t="shared" ref="I2565:I2628" si="160">IF(LEN(H2565)=11,H2565,IF(LEN(H2565)=0,"61001005000","61001003000"))</f>
        <v>61001005000</v>
      </c>
      <c r="J2565" s="7" t="str">
        <f t="shared" ref="J2565:J2628" si="161">IF(LEN(H2565)=11,"Материал по ЕГРН",IF(LEN(H2565)=0,"Прочие по допущению","Смешанные по допущению"))</f>
        <v>Материал по ЕГРН</v>
      </c>
      <c r="K2565" s="7">
        <f>VLOOKUP(J2565,Лист2!A$2:B$4,2,FALSE)</f>
        <v>792</v>
      </c>
      <c r="L2565" s="7" t="str">
        <f t="shared" ref="L2565:L2628" si="162">IF(I2565=C2565,"ГОТОВ","ГОТОВ_ИЗМЕНЕН")</f>
        <v>ГОТОВ_ИЗМЕНЕН</v>
      </c>
      <c r="M2565" s="7">
        <f t="shared" ref="M2565:M2628" si="163">C2565</f>
        <v>0</v>
      </c>
    </row>
    <row r="2566" spans="1:13" x14ac:dyDescent="0.25">
      <c r="A2566" s="1">
        <v>946157</v>
      </c>
      <c r="B2566" s="6" t="s">
        <v>2693</v>
      </c>
      <c r="F2566" s="6" t="s">
        <v>9</v>
      </c>
      <c r="G2566" s="6" t="s">
        <v>170</v>
      </c>
      <c r="H2566" s="9" t="s">
        <v>171</v>
      </c>
      <c r="I2566" s="7" t="str">
        <f t="shared" si="160"/>
        <v>61001001000</v>
      </c>
      <c r="J2566" s="7" t="str">
        <f t="shared" si="161"/>
        <v>Материал по ЕГРН</v>
      </c>
      <c r="K2566" s="7">
        <f>VLOOKUP(J2566,Лист2!A$2:B$4,2,FALSE)</f>
        <v>792</v>
      </c>
      <c r="L2566" s="7" t="str">
        <f t="shared" si="162"/>
        <v>ГОТОВ_ИЗМЕНЕН</v>
      </c>
      <c r="M2566" s="7">
        <f t="shared" si="163"/>
        <v>0</v>
      </c>
    </row>
    <row r="2567" spans="1:13" x14ac:dyDescent="0.25">
      <c r="A2567" s="1">
        <v>256760</v>
      </c>
      <c r="B2567" s="6" t="s">
        <v>2694</v>
      </c>
      <c r="C2567" s="9" t="s">
        <v>33</v>
      </c>
      <c r="D2567" s="6" t="s">
        <v>20</v>
      </c>
      <c r="E2567" s="6" t="s">
        <v>37</v>
      </c>
      <c r="F2567" s="6" t="s">
        <v>9</v>
      </c>
      <c r="G2567" s="6" t="s">
        <v>38</v>
      </c>
      <c r="H2567" s="9" t="s">
        <v>33</v>
      </c>
      <c r="I2567" s="7" t="str">
        <f t="shared" si="160"/>
        <v>61001005000</v>
      </c>
      <c r="J2567" s="7" t="str">
        <f t="shared" si="161"/>
        <v>Материал по ЕГРН</v>
      </c>
      <c r="K2567" s="7">
        <f>VLOOKUP(J2567,Лист2!A$2:B$4,2,FALSE)</f>
        <v>792</v>
      </c>
      <c r="L2567" s="7" t="str">
        <f t="shared" si="162"/>
        <v>ГОТОВ</v>
      </c>
      <c r="M2567" s="7" t="str">
        <f t="shared" si="163"/>
        <v>61001005000</v>
      </c>
    </row>
    <row r="2568" spans="1:13" x14ac:dyDescent="0.25">
      <c r="A2568" s="1">
        <v>789551</v>
      </c>
      <c r="B2568" s="6" t="s">
        <v>2695</v>
      </c>
      <c r="C2568" s="9" t="s">
        <v>33</v>
      </c>
      <c r="D2568" s="6" t="s">
        <v>20</v>
      </c>
      <c r="E2568" s="6" t="s">
        <v>37</v>
      </c>
      <c r="F2568" s="6" t="s">
        <v>9</v>
      </c>
      <c r="G2568" s="6" t="s">
        <v>38</v>
      </c>
      <c r="H2568" s="9" t="s">
        <v>33</v>
      </c>
      <c r="I2568" s="7" t="str">
        <f t="shared" si="160"/>
        <v>61001005000</v>
      </c>
      <c r="J2568" s="7" t="str">
        <f t="shared" si="161"/>
        <v>Материал по ЕГРН</v>
      </c>
      <c r="K2568" s="7">
        <f>VLOOKUP(J2568,Лист2!A$2:B$4,2,FALSE)</f>
        <v>792</v>
      </c>
      <c r="L2568" s="7" t="str">
        <f t="shared" si="162"/>
        <v>ГОТОВ</v>
      </c>
      <c r="M2568" s="7" t="str">
        <f t="shared" si="163"/>
        <v>61001005000</v>
      </c>
    </row>
    <row r="2569" spans="1:13" x14ac:dyDescent="0.25">
      <c r="A2569" s="1">
        <v>945497</v>
      </c>
      <c r="B2569" s="6" t="s">
        <v>2696</v>
      </c>
      <c r="F2569" s="6" t="s">
        <v>9</v>
      </c>
      <c r="G2569" s="6" t="s">
        <v>34</v>
      </c>
      <c r="H2569" s="9" t="s">
        <v>35</v>
      </c>
      <c r="I2569" s="7" t="str">
        <f t="shared" si="160"/>
        <v>61001002000</v>
      </c>
      <c r="J2569" s="7" t="str">
        <f t="shared" si="161"/>
        <v>Материал по ЕГРН</v>
      </c>
      <c r="K2569" s="7">
        <f>VLOOKUP(J2569,Лист2!A$2:B$4,2,FALSE)</f>
        <v>792</v>
      </c>
      <c r="L2569" s="7" t="str">
        <f t="shared" si="162"/>
        <v>ГОТОВ_ИЗМЕНЕН</v>
      </c>
      <c r="M2569" s="7">
        <f t="shared" si="163"/>
        <v>0</v>
      </c>
    </row>
    <row r="2570" spans="1:13" x14ac:dyDescent="0.25">
      <c r="A2570" s="1">
        <v>945509</v>
      </c>
      <c r="B2570" s="6" t="s">
        <v>2697</v>
      </c>
      <c r="F2570" s="6" t="s">
        <v>9</v>
      </c>
      <c r="G2570" s="6" t="s">
        <v>62</v>
      </c>
      <c r="H2570" s="9" t="s">
        <v>63</v>
      </c>
      <c r="I2570" s="7" t="str">
        <f t="shared" si="160"/>
        <v>61001006002</v>
      </c>
      <c r="J2570" s="7" t="str">
        <f t="shared" si="161"/>
        <v>Материал по ЕГРН</v>
      </c>
      <c r="K2570" s="7">
        <f>VLOOKUP(J2570,Лист2!A$2:B$4,2,FALSE)</f>
        <v>792</v>
      </c>
      <c r="L2570" s="7" t="str">
        <f t="shared" si="162"/>
        <v>ГОТОВ_ИЗМЕНЕН</v>
      </c>
      <c r="M2570" s="7">
        <f t="shared" si="163"/>
        <v>0</v>
      </c>
    </row>
    <row r="2571" spans="1:13" x14ac:dyDescent="0.25">
      <c r="A2571" s="1">
        <v>945521</v>
      </c>
      <c r="B2571" s="6" t="s">
        <v>2698</v>
      </c>
      <c r="F2571" s="6" t="s">
        <v>9</v>
      </c>
      <c r="G2571" s="6" t="s">
        <v>38</v>
      </c>
      <c r="H2571" s="9" t="s">
        <v>33</v>
      </c>
      <c r="I2571" s="7" t="str">
        <f t="shared" si="160"/>
        <v>61001005000</v>
      </c>
      <c r="J2571" s="7" t="str">
        <f t="shared" si="161"/>
        <v>Материал по ЕГРН</v>
      </c>
      <c r="K2571" s="7">
        <f>VLOOKUP(J2571,Лист2!A$2:B$4,2,FALSE)</f>
        <v>792</v>
      </c>
      <c r="L2571" s="7" t="str">
        <f t="shared" si="162"/>
        <v>ГОТОВ_ИЗМЕНЕН</v>
      </c>
      <c r="M2571" s="7">
        <f t="shared" si="163"/>
        <v>0</v>
      </c>
    </row>
    <row r="2572" spans="1:13" x14ac:dyDescent="0.25">
      <c r="A2572" s="1">
        <v>945533</v>
      </c>
      <c r="B2572" s="6" t="s">
        <v>2699</v>
      </c>
      <c r="F2572" s="6" t="s">
        <v>9</v>
      </c>
      <c r="G2572" s="6" t="s">
        <v>34</v>
      </c>
      <c r="H2572" s="9" t="s">
        <v>35</v>
      </c>
      <c r="I2572" s="7" t="str">
        <f t="shared" si="160"/>
        <v>61001002000</v>
      </c>
      <c r="J2572" s="7" t="str">
        <f t="shared" si="161"/>
        <v>Материал по ЕГРН</v>
      </c>
      <c r="K2572" s="7">
        <f>VLOOKUP(J2572,Лист2!A$2:B$4,2,FALSE)</f>
        <v>792</v>
      </c>
      <c r="L2572" s="7" t="str">
        <f t="shared" si="162"/>
        <v>ГОТОВ_ИЗМЕНЕН</v>
      </c>
      <c r="M2572" s="7">
        <f t="shared" si="163"/>
        <v>0</v>
      </c>
    </row>
    <row r="2573" spans="1:13" x14ac:dyDescent="0.25">
      <c r="A2573" s="1">
        <v>945545</v>
      </c>
      <c r="B2573" s="6" t="s">
        <v>2700</v>
      </c>
      <c r="F2573" s="6" t="s">
        <v>9</v>
      </c>
      <c r="G2573" s="6" t="s">
        <v>149</v>
      </c>
      <c r="H2573" s="9" t="s">
        <v>150</v>
      </c>
      <c r="I2573" s="7" t="str">
        <f t="shared" si="160"/>
        <v>61001007000</v>
      </c>
      <c r="J2573" s="7" t="str">
        <f t="shared" si="161"/>
        <v>Материал по ЕГРН</v>
      </c>
      <c r="K2573" s="7">
        <f>VLOOKUP(J2573,Лист2!A$2:B$4,2,FALSE)</f>
        <v>792</v>
      </c>
      <c r="L2573" s="7" t="str">
        <f t="shared" si="162"/>
        <v>ГОТОВ_ИЗМЕНЕН</v>
      </c>
      <c r="M2573" s="7">
        <f t="shared" si="163"/>
        <v>0</v>
      </c>
    </row>
    <row r="2574" spans="1:13" x14ac:dyDescent="0.25">
      <c r="A2574" s="1">
        <v>945557</v>
      </c>
      <c r="B2574" s="6" t="s">
        <v>2701</v>
      </c>
      <c r="F2574" s="6" t="s">
        <v>9</v>
      </c>
      <c r="G2574" s="6" t="s">
        <v>73</v>
      </c>
      <c r="H2574" s="9" t="s">
        <v>74</v>
      </c>
      <c r="I2574" s="7" t="str">
        <f t="shared" si="160"/>
        <v>61001006000</v>
      </c>
      <c r="J2574" s="7" t="str">
        <f t="shared" si="161"/>
        <v>Материал по ЕГРН</v>
      </c>
      <c r="K2574" s="7">
        <f>VLOOKUP(J2574,Лист2!A$2:B$4,2,FALSE)</f>
        <v>792</v>
      </c>
      <c r="L2574" s="7" t="str">
        <f t="shared" si="162"/>
        <v>ГОТОВ_ИЗМЕНЕН</v>
      </c>
      <c r="M2574" s="7">
        <f t="shared" si="163"/>
        <v>0</v>
      </c>
    </row>
    <row r="2575" spans="1:13" x14ac:dyDescent="0.25">
      <c r="A2575" s="1">
        <v>945569</v>
      </c>
      <c r="B2575" s="6" t="s">
        <v>2702</v>
      </c>
      <c r="F2575" s="6" t="s">
        <v>9</v>
      </c>
      <c r="G2575" s="6" t="s">
        <v>73</v>
      </c>
      <c r="H2575" s="9" t="s">
        <v>74</v>
      </c>
      <c r="I2575" s="7" t="str">
        <f t="shared" si="160"/>
        <v>61001006000</v>
      </c>
      <c r="J2575" s="7" t="str">
        <f t="shared" si="161"/>
        <v>Материал по ЕГРН</v>
      </c>
      <c r="K2575" s="7">
        <f>VLOOKUP(J2575,Лист2!A$2:B$4,2,FALSE)</f>
        <v>792</v>
      </c>
      <c r="L2575" s="7" t="str">
        <f t="shared" si="162"/>
        <v>ГОТОВ_ИЗМЕНЕН</v>
      </c>
      <c r="M2575" s="7">
        <f t="shared" si="163"/>
        <v>0</v>
      </c>
    </row>
    <row r="2576" spans="1:13" x14ac:dyDescent="0.25">
      <c r="A2576" s="1">
        <v>945581</v>
      </c>
      <c r="B2576" s="6" t="s">
        <v>2703</v>
      </c>
      <c r="F2576" s="6" t="s">
        <v>9</v>
      </c>
      <c r="G2576" s="6" t="s">
        <v>10</v>
      </c>
      <c r="H2576" s="9" t="s">
        <v>11</v>
      </c>
      <c r="I2576" s="7" t="str">
        <f t="shared" si="160"/>
        <v>61001003000</v>
      </c>
      <c r="J2576" s="7" t="str">
        <f t="shared" si="161"/>
        <v>Материал по ЕГРН</v>
      </c>
      <c r="K2576" s="7">
        <f>VLOOKUP(J2576,Лист2!A$2:B$4,2,FALSE)</f>
        <v>792</v>
      </c>
      <c r="L2576" s="7" t="str">
        <f t="shared" si="162"/>
        <v>ГОТОВ_ИЗМЕНЕН</v>
      </c>
      <c r="M2576" s="7">
        <f t="shared" si="163"/>
        <v>0</v>
      </c>
    </row>
    <row r="2577" spans="1:13" ht="25.5" x14ac:dyDescent="0.25">
      <c r="A2577" s="1">
        <v>945593</v>
      </c>
      <c r="B2577" s="6" t="s">
        <v>2704</v>
      </c>
      <c r="F2577" s="6" t="s">
        <v>9</v>
      </c>
      <c r="G2577" s="6" t="s">
        <v>2705</v>
      </c>
      <c r="H2577" s="9" t="s">
        <v>2706</v>
      </c>
      <c r="I2577" s="7" t="str">
        <f t="shared" si="160"/>
        <v>61001003000</v>
      </c>
      <c r="J2577" s="7" t="str">
        <f t="shared" si="161"/>
        <v>Смешанные по допущению</v>
      </c>
      <c r="K2577" s="7">
        <f>VLOOKUP(J2577,Лист2!A$2:B$4,2,FALSE)</f>
        <v>793</v>
      </c>
      <c r="L2577" s="7" t="str">
        <f t="shared" si="162"/>
        <v>ГОТОВ_ИЗМЕНЕН</v>
      </c>
      <c r="M2577" s="7">
        <f t="shared" si="163"/>
        <v>0</v>
      </c>
    </row>
    <row r="2578" spans="1:13" x14ac:dyDescent="0.25">
      <c r="A2578" s="1">
        <v>945605</v>
      </c>
      <c r="B2578" s="6" t="s">
        <v>2707</v>
      </c>
      <c r="F2578" s="6" t="s">
        <v>9</v>
      </c>
      <c r="G2578" s="6" t="s">
        <v>34</v>
      </c>
      <c r="H2578" s="9" t="s">
        <v>35</v>
      </c>
      <c r="I2578" s="7" t="str">
        <f t="shared" si="160"/>
        <v>61001002000</v>
      </c>
      <c r="J2578" s="7" t="str">
        <f t="shared" si="161"/>
        <v>Материал по ЕГРН</v>
      </c>
      <c r="K2578" s="7">
        <f>VLOOKUP(J2578,Лист2!A$2:B$4,2,FALSE)</f>
        <v>792</v>
      </c>
      <c r="L2578" s="7" t="str">
        <f t="shared" si="162"/>
        <v>ГОТОВ_ИЗМЕНЕН</v>
      </c>
      <c r="M2578" s="7">
        <f t="shared" si="163"/>
        <v>0</v>
      </c>
    </row>
    <row r="2579" spans="1:13" x14ac:dyDescent="0.25">
      <c r="A2579" s="1">
        <v>945617</v>
      </c>
      <c r="B2579" s="6" t="s">
        <v>2708</v>
      </c>
      <c r="F2579" s="6" t="s">
        <v>9</v>
      </c>
      <c r="G2579" s="6" t="s">
        <v>38</v>
      </c>
      <c r="H2579" s="9" t="s">
        <v>33</v>
      </c>
      <c r="I2579" s="7" t="str">
        <f t="shared" si="160"/>
        <v>61001005000</v>
      </c>
      <c r="J2579" s="7" t="str">
        <f t="shared" si="161"/>
        <v>Материал по ЕГРН</v>
      </c>
      <c r="K2579" s="7">
        <f>VLOOKUP(J2579,Лист2!A$2:B$4,2,FALSE)</f>
        <v>792</v>
      </c>
      <c r="L2579" s="7" t="str">
        <f t="shared" si="162"/>
        <v>ГОТОВ_ИЗМЕНЕН</v>
      </c>
      <c r="M2579" s="7">
        <f t="shared" si="163"/>
        <v>0</v>
      </c>
    </row>
    <row r="2580" spans="1:13" x14ac:dyDescent="0.25">
      <c r="A2580" s="1">
        <v>945629</v>
      </c>
      <c r="B2580" s="6" t="s">
        <v>2709</v>
      </c>
      <c r="F2580" s="6" t="s">
        <v>9</v>
      </c>
      <c r="G2580" s="6" t="s">
        <v>73</v>
      </c>
      <c r="H2580" s="9" t="s">
        <v>74</v>
      </c>
      <c r="I2580" s="7" t="str">
        <f t="shared" si="160"/>
        <v>61001006000</v>
      </c>
      <c r="J2580" s="7" t="str">
        <f t="shared" si="161"/>
        <v>Материал по ЕГРН</v>
      </c>
      <c r="K2580" s="7">
        <f>VLOOKUP(J2580,Лист2!A$2:B$4,2,FALSE)</f>
        <v>792</v>
      </c>
      <c r="L2580" s="7" t="str">
        <f t="shared" si="162"/>
        <v>ГОТОВ_ИЗМЕНЕН</v>
      </c>
      <c r="M2580" s="7">
        <f t="shared" si="163"/>
        <v>0</v>
      </c>
    </row>
    <row r="2581" spans="1:13" x14ac:dyDescent="0.25">
      <c r="A2581" s="1">
        <v>945641</v>
      </c>
      <c r="B2581" s="6" t="s">
        <v>2710</v>
      </c>
      <c r="F2581" s="6" t="s">
        <v>9</v>
      </c>
      <c r="G2581" s="6" t="s">
        <v>38</v>
      </c>
      <c r="H2581" s="9" t="s">
        <v>33</v>
      </c>
      <c r="I2581" s="7" t="str">
        <f t="shared" si="160"/>
        <v>61001005000</v>
      </c>
      <c r="J2581" s="7" t="str">
        <f t="shared" si="161"/>
        <v>Материал по ЕГРН</v>
      </c>
      <c r="K2581" s="7">
        <f>VLOOKUP(J2581,Лист2!A$2:B$4,2,FALSE)</f>
        <v>792</v>
      </c>
      <c r="L2581" s="7" t="str">
        <f t="shared" si="162"/>
        <v>ГОТОВ_ИЗМЕНЕН</v>
      </c>
      <c r="M2581" s="7">
        <f t="shared" si="163"/>
        <v>0</v>
      </c>
    </row>
    <row r="2582" spans="1:13" x14ac:dyDescent="0.25">
      <c r="A2582" s="1">
        <v>945653</v>
      </c>
      <c r="B2582" s="6" t="s">
        <v>2711</v>
      </c>
      <c r="F2582" s="6" t="s">
        <v>9</v>
      </c>
      <c r="G2582" s="6" t="s">
        <v>59</v>
      </c>
      <c r="H2582" s="9" t="s">
        <v>60</v>
      </c>
      <c r="I2582" s="7" t="str">
        <f t="shared" si="160"/>
        <v>61001001001</v>
      </c>
      <c r="J2582" s="7" t="str">
        <f t="shared" si="161"/>
        <v>Материал по ЕГРН</v>
      </c>
      <c r="K2582" s="7">
        <f>VLOOKUP(J2582,Лист2!A$2:B$4,2,FALSE)</f>
        <v>792</v>
      </c>
      <c r="L2582" s="7" t="str">
        <f t="shared" si="162"/>
        <v>ГОТОВ_ИЗМЕНЕН</v>
      </c>
      <c r="M2582" s="7">
        <f t="shared" si="163"/>
        <v>0</v>
      </c>
    </row>
    <row r="2583" spans="1:13" x14ac:dyDescent="0.25">
      <c r="A2583" s="1">
        <v>945665</v>
      </c>
      <c r="B2583" s="6" t="s">
        <v>2712</v>
      </c>
      <c r="F2583" s="6" t="s">
        <v>9</v>
      </c>
      <c r="G2583" s="6" t="s">
        <v>34</v>
      </c>
      <c r="H2583" s="9" t="s">
        <v>35</v>
      </c>
      <c r="I2583" s="7" t="str">
        <f t="shared" si="160"/>
        <v>61001002000</v>
      </c>
      <c r="J2583" s="7" t="str">
        <f t="shared" si="161"/>
        <v>Материал по ЕГРН</v>
      </c>
      <c r="K2583" s="7">
        <f>VLOOKUP(J2583,Лист2!A$2:B$4,2,FALSE)</f>
        <v>792</v>
      </c>
      <c r="L2583" s="7" t="str">
        <f t="shared" si="162"/>
        <v>ГОТОВ_ИЗМЕНЕН</v>
      </c>
      <c r="M2583" s="7">
        <f t="shared" si="163"/>
        <v>0</v>
      </c>
    </row>
    <row r="2584" spans="1:13" x14ac:dyDescent="0.25">
      <c r="A2584" s="1">
        <v>945677</v>
      </c>
      <c r="B2584" s="6" t="s">
        <v>2713</v>
      </c>
      <c r="F2584" s="6" t="s">
        <v>9</v>
      </c>
      <c r="G2584" s="6" t="s">
        <v>38</v>
      </c>
      <c r="H2584" s="9" t="s">
        <v>33</v>
      </c>
      <c r="I2584" s="7" t="str">
        <f t="shared" si="160"/>
        <v>61001005000</v>
      </c>
      <c r="J2584" s="7" t="str">
        <f t="shared" si="161"/>
        <v>Материал по ЕГРН</v>
      </c>
      <c r="K2584" s="7">
        <f>VLOOKUP(J2584,Лист2!A$2:B$4,2,FALSE)</f>
        <v>792</v>
      </c>
      <c r="L2584" s="7" t="str">
        <f t="shared" si="162"/>
        <v>ГОТОВ_ИЗМЕНЕН</v>
      </c>
      <c r="M2584" s="7">
        <f t="shared" si="163"/>
        <v>0</v>
      </c>
    </row>
    <row r="2585" spans="1:13" x14ac:dyDescent="0.25">
      <c r="A2585" s="1">
        <v>945689</v>
      </c>
      <c r="B2585" s="6" t="s">
        <v>2714</v>
      </c>
      <c r="F2585" s="6" t="s">
        <v>9</v>
      </c>
      <c r="G2585" s="6" t="s">
        <v>38</v>
      </c>
      <c r="H2585" s="9" t="s">
        <v>33</v>
      </c>
      <c r="I2585" s="7" t="str">
        <f t="shared" si="160"/>
        <v>61001005000</v>
      </c>
      <c r="J2585" s="7" t="str">
        <f t="shared" si="161"/>
        <v>Материал по ЕГРН</v>
      </c>
      <c r="K2585" s="7">
        <f>VLOOKUP(J2585,Лист2!A$2:B$4,2,FALSE)</f>
        <v>792</v>
      </c>
      <c r="L2585" s="7" t="str">
        <f t="shared" si="162"/>
        <v>ГОТОВ_ИЗМЕНЕН</v>
      </c>
      <c r="M2585" s="7">
        <f t="shared" si="163"/>
        <v>0</v>
      </c>
    </row>
    <row r="2586" spans="1:13" x14ac:dyDescent="0.25">
      <c r="A2586" s="1">
        <v>945701</v>
      </c>
      <c r="B2586" s="6" t="s">
        <v>2715</v>
      </c>
      <c r="F2586" s="6" t="s">
        <v>9</v>
      </c>
      <c r="G2586" s="6" t="s">
        <v>73</v>
      </c>
      <c r="H2586" s="9" t="s">
        <v>74</v>
      </c>
      <c r="I2586" s="7" t="str">
        <f t="shared" si="160"/>
        <v>61001006000</v>
      </c>
      <c r="J2586" s="7" t="str">
        <f t="shared" si="161"/>
        <v>Материал по ЕГРН</v>
      </c>
      <c r="K2586" s="7">
        <f>VLOOKUP(J2586,Лист2!A$2:B$4,2,FALSE)</f>
        <v>792</v>
      </c>
      <c r="L2586" s="7" t="str">
        <f t="shared" si="162"/>
        <v>ГОТОВ_ИЗМЕНЕН</v>
      </c>
      <c r="M2586" s="7">
        <f t="shared" si="163"/>
        <v>0</v>
      </c>
    </row>
    <row r="2587" spans="1:13" x14ac:dyDescent="0.25">
      <c r="A2587" s="1">
        <v>945713</v>
      </c>
      <c r="B2587" s="6" t="s">
        <v>2716</v>
      </c>
      <c r="F2587" s="6" t="s">
        <v>9</v>
      </c>
      <c r="G2587" s="6" t="s">
        <v>38</v>
      </c>
      <c r="H2587" s="9" t="s">
        <v>33</v>
      </c>
      <c r="I2587" s="7" t="str">
        <f t="shared" si="160"/>
        <v>61001005000</v>
      </c>
      <c r="J2587" s="7" t="str">
        <f t="shared" si="161"/>
        <v>Материал по ЕГРН</v>
      </c>
      <c r="K2587" s="7">
        <f>VLOOKUP(J2587,Лист2!A$2:B$4,2,FALSE)</f>
        <v>792</v>
      </c>
      <c r="L2587" s="7" t="str">
        <f t="shared" si="162"/>
        <v>ГОТОВ_ИЗМЕНЕН</v>
      </c>
      <c r="M2587" s="7">
        <f t="shared" si="163"/>
        <v>0</v>
      </c>
    </row>
    <row r="2588" spans="1:13" x14ac:dyDescent="0.25">
      <c r="A2588" s="1">
        <v>945725</v>
      </c>
      <c r="B2588" s="6" t="s">
        <v>2717</v>
      </c>
      <c r="F2588" s="6" t="s">
        <v>9</v>
      </c>
      <c r="G2588" s="6" t="s">
        <v>34</v>
      </c>
      <c r="H2588" s="9" t="s">
        <v>35</v>
      </c>
      <c r="I2588" s="7" t="str">
        <f t="shared" si="160"/>
        <v>61001002000</v>
      </c>
      <c r="J2588" s="7" t="str">
        <f t="shared" si="161"/>
        <v>Материал по ЕГРН</v>
      </c>
      <c r="K2588" s="7">
        <f>VLOOKUP(J2588,Лист2!A$2:B$4,2,FALSE)</f>
        <v>792</v>
      </c>
      <c r="L2588" s="7" t="str">
        <f t="shared" si="162"/>
        <v>ГОТОВ_ИЗМЕНЕН</v>
      </c>
      <c r="M2588" s="7">
        <f t="shared" si="163"/>
        <v>0</v>
      </c>
    </row>
    <row r="2589" spans="1:13" x14ac:dyDescent="0.25">
      <c r="A2589" s="1">
        <v>945737</v>
      </c>
      <c r="B2589" s="6" t="s">
        <v>2718</v>
      </c>
      <c r="F2589" s="6" t="s">
        <v>9</v>
      </c>
      <c r="G2589" s="6" t="s">
        <v>59</v>
      </c>
      <c r="H2589" s="9" t="s">
        <v>60</v>
      </c>
      <c r="I2589" s="7" t="str">
        <f t="shared" si="160"/>
        <v>61001001001</v>
      </c>
      <c r="J2589" s="7" t="str">
        <f t="shared" si="161"/>
        <v>Материал по ЕГРН</v>
      </c>
      <c r="K2589" s="7">
        <f>VLOOKUP(J2589,Лист2!A$2:B$4,2,FALSE)</f>
        <v>792</v>
      </c>
      <c r="L2589" s="7" t="str">
        <f t="shared" si="162"/>
        <v>ГОТОВ_ИЗМЕНЕН</v>
      </c>
      <c r="M2589" s="7">
        <f t="shared" si="163"/>
        <v>0</v>
      </c>
    </row>
    <row r="2590" spans="1:13" x14ac:dyDescent="0.25">
      <c r="A2590" s="1">
        <v>945749</v>
      </c>
      <c r="B2590" s="6" t="s">
        <v>2719</v>
      </c>
      <c r="F2590" s="6" t="s">
        <v>9</v>
      </c>
      <c r="G2590" s="6" t="s">
        <v>90</v>
      </c>
      <c r="H2590" s="9" t="s">
        <v>12</v>
      </c>
      <c r="I2590" s="7" t="str">
        <f t="shared" si="160"/>
        <v>61001008000</v>
      </c>
      <c r="J2590" s="7" t="str">
        <f t="shared" si="161"/>
        <v>Материал по ЕГРН</v>
      </c>
      <c r="K2590" s="7">
        <f>VLOOKUP(J2590,Лист2!A$2:B$4,2,FALSE)</f>
        <v>792</v>
      </c>
      <c r="L2590" s="7" t="str">
        <f t="shared" si="162"/>
        <v>ГОТОВ_ИЗМЕНЕН</v>
      </c>
      <c r="M2590" s="7">
        <f t="shared" si="163"/>
        <v>0</v>
      </c>
    </row>
    <row r="2591" spans="1:13" x14ac:dyDescent="0.25">
      <c r="A2591" s="1">
        <v>945761</v>
      </c>
      <c r="B2591" s="6" t="s">
        <v>2720</v>
      </c>
      <c r="F2591" s="6" t="s">
        <v>9</v>
      </c>
      <c r="G2591" s="6" t="s">
        <v>34</v>
      </c>
      <c r="H2591" s="9" t="s">
        <v>35</v>
      </c>
      <c r="I2591" s="7" t="str">
        <f t="shared" si="160"/>
        <v>61001002000</v>
      </c>
      <c r="J2591" s="7" t="str">
        <f t="shared" si="161"/>
        <v>Материал по ЕГРН</v>
      </c>
      <c r="K2591" s="7">
        <f>VLOOKUP(J2591,Лист2!A$2:B$4,2,FALSE)</f>
        <v>792</v>
      </c>
      <c r="L2591" s="7" t="str">
        <f t="shared" si="162"/>
        <v>ГОТОВ_ИЗМЕНЕН</v>
      </c>
      <c r="M2591" s="7">
        <f t="shared" si="163"/>
        <v>0</v>
      </c>
    </row>
    <row r="2592" spans="1:13" x14ac:dyDescent="0.25">
      <c r="A2592" s="1">
        <v>945773</v>
      </c>
      <c r="B2592" s="6" t="s">
        <v>2721</v>
      </c>
      <c r="F2592" s="6" t="s">
        <v>9</v>
      </c>
      <c r="G2592" s="6" t="s">
        <v>38</v>
      </c>
      <c r="H2592" s="9" t="s">
        <v>33</v>
      </c>
      <c r="I2592" s="7" t="str">
        <f t="shared" si="160"/>
        <v>61001005000</v>
      </c>
      <c r="J2592" s="7" t="str">
        <f t="shared" si="161"/>
        <v>Материал по ЕГРН</v>
      </c>
      <c r="K2592" s="7">
        <f>VLOOKUP(J2592,Лист2!A$2:B$4,2,FALSE)</f>
        <v>792</v>
      </c>
      <c r="L2592" s="7" t="str">
        <f t="shared" si="162"/>
        <v>ГОТОВ_ИЗМЕНЕН</v>
      </c>
      <c r="M2592" s="7">
        <f t="shared" si="163"/>
        <v>0</v>
      </c>
    </row>
    <row r="2593" spans="1:13" x14ac:dyDescent="0.25">
      <c r="A2593" s="1">
        <v>221167</v>
      </c>
      <c r="B2593" s="6" t="s">
        <v>2722</v>
      </c>
      <c r="C2593" s="9" t="s">
        <v>33</v>
      </c>
      <c r="D2593" s="6" t="s">
        <v>20</v>
      </c>
      <c r="E2593" s="6" t="s">
        <v>37</v>
      </c>
      <c r="F2593" s="6" t="s">
        <v>9</v>
      </c>
      <c r="G2593" s="6" t="s">
        <v>38</v>
      </c>
      <c r="H2593" s="9" t="s">
        <v>33</v>
      </c>
      <c r="I2593" s="7" t="str">
        <f t="shared" si="160"/>
        <v>61001005000</v>
      </c>
      <c r="J2593" s="7" t="str">
        <f t="shared" si="161"/>
        <v>Материал по ЕГРН</v>
      </c>
      <c r="K2593" s="7">
        <f>VLOOKUP(J2593,Лист2!A$2:B$4,2,FALSE)</f>
        <v>792</v>
      </c>
      <c r="L2593" s="7" t="str">
        <f t="shared" si="162"/>
        <v>ГОТОВ</v>
      </c>
      <c r="M2593" s="7" t="str">
        <f t="shared" si="163"/>
        <v>61001005000</v>
      </c>
    </row>
    <row r="2594" spans="1:13" x14ac:dyDescent="0.25">
      <c r="A2594" s="1">
        <v>599423</v>
      </c>
      <c r="B2594" s="6" t="s">
        <v>2723</v>
      </c>
      <c r="C2594" s="9" t="s">
        <v>42</v>
      </c>
      <c r="D2594" s="6" t="s">
        <v>20</v>
      </c>
      <c r="E2594" s="6" t="s">
        <v>37</v>
      </c>
      <c r="F2594" s="6" t="s">
        <v>9</v>
      </c>
      <c r="G2594" s="6" t="s">
        <v>43</v>
      </c>
      <c r="H2594" s="9" t="s">
        <v>42</v>
      </c>
      <c r="I2594" s="7" t="str">
        <f t="shared" si="160"/>
        <v>61001002001</v>
      </c>
      <c r="J2594" s="7" t="str">
        <f t="shared" si="161"/>
        <v>Материал по ЕГРН</v>
      </c>
      <c r="K2594" s="7">
        <f>VLOOKUP(J2594,Лист2!A$2:B$4,2,FALSE)</f>
        <v>792</v>
      </c>
      <c r="L2594" s="7" t="str">
        <f t="shared" si="162"/>
        <v>ГОТОВ</v>
      </c>
      <c r="M2594" s="7" t="str">
        <f t="shared" si="163"/>
        <v>61001002001</v>
      </c>
    </row>
    <row r="2595" spans="1:13" x14ac:dyDescent="0.25">
      <c r="A2595" s="1">
        <v>944284</v>
      </c>
      <c r="B2595" s="6" t="s">
        <v>2724</v>
      </c>
      <c r="F2595" s="6" t="s">
        <v>9</v>
      </c>
      <c r="G2595" s="6" t="s">
        <v>2725</v>
      </c>
      <c r="H2595" s="9" t="s">
        <v>2726</v>
      </c>
      <c r="I2595" s="7" t="str">
        <f t="shared" si="160"/>
        <v>61001002006</v>
      </c>
      <c r="J2595" s="7" t="str">
        <f t="shared" si="161"/>
        <v>Материал по ЕГРН</v>
      </c>
      <c r="K2595" s="7">
        <f>VLOOKUP(J2595,Лист2!A$2:B$4,2,FALSE)</f>
        <v>792</v>
      </c>
      <c r="L2595" s="7" t="str">
        <f t="shared" si="162"/>
        <v>ГОТОВ_ИЗМЕНЕН</v>
      </c>
      <c r="M2595" s="7">
        <f t="shared" si="163"/>
        <v>0</v>
      </c>
    </row>
    <row r="2596" spans="1:13" x14ac:dyDescent="0.25">
      <c r="A2596" s="1">
        <v>944296</v>
      </c>
      <c r="B2596" s="6" t="s">
        <v>2727</v>
      </c>
      <c r="F2596" s="6" t="s">
        <v>9</v>
      </c>
      <c r="G2596" s="6" t="s">
        <v>139</v>
      </c>
      <c r="H2596" s="9" t="s">
        <v>140</v>
      </c>
      <c r="I2596" s="7" t="str">
        <f t="shared" si="160"/>
        <v>61001999000</v>
      </c>
      <c r="J2596" s="7" t="str">
        <f t="shared" si="161"/>
        <v>Материал по ЕГРН</v>
      </c>
      <c r="K2596" s="7">
        <f>VLOOKUP(J2596,Лист2!A$2:B$4,2,FALSE)</f>
        <v>792</v>
      </c>
      <c r="L2596" s="7" t="str">
        <f t="shared" si="162"/>
        <v>ГОТОВ_ИЗМЕНЕН</v>
      </c>
      <c r="M2596" s="7">
        <f t="shared" si="163"/>
        <v>0</v>
      </c>
    </row>
    <row r="2597" spans="1:13" x14ac:dyDescent="0.25">
      <c r="A2597" s="1">
        <v>944308</v>
      </c>
      <c r="B2597" s="6" t="s">
        <v>2728</v>
      </c>
      <c r="F2597" s="6" t="s">
        <v>9</v>
      </c>
      <c r="G2597" s="6" t="s">
        <v>34</v>
      </c>
      <c r="H2597" s="9" t="s">
        <v>35</v>
      </c>
      <c r="I2597" s="7" t="str">
        <f t="shared" si="160"/>
        <v>61001002000</v>
      </c>
      <c r="J2597" s="7" t="str">
        <f t="shared" si="161"/>
        <v>Материал по ЕГРН</v>
      </c>
      <c r="K2597" s="7">
        <f>VLOOKUP(J2597,Лист2!A$2:B$4,2,FALSE)</f>
        <v>792</v>
      </c>
      <c r="L2597" s="7" t="str">
        <f t="shared" si="162"/>
        <v>ГОТОВ_ИЗМЕНЕН</v>
      </c>
      <c r="M2597" s="7">
        <f t="shared" si="163"/>
        <v>0</v>
      </c>
    </row>
    <row r="2598" spans="1:13" x14ac:dyDescent="0.25">
      <c r="A2598" s="1">
        <v>944320</v>
      </c>
      <c r="B2598" s="6" t="s">
        <v>2729</v>
      </c>
      <c r="F2598" s="6" t="s">
        <v>9</v>
      </c>
      <c r="G2598" s="6" t="s">
        <v>10</v>
      </c>
      <c r="H2598" s="9" t="s">
        <v>11</v>
      </c>
      <c r="I2598" s="7" t="str">
        <f t="shared" si="160"/>
        <v>61001003000</v>
      </c>
      <c r="J2598" s="7" t="str">
        <f t="shared" si="161"/>
        <v>Материал по ЕГРН</v>
      </c>
      <c r="K2598" s="7">
        <f>VLOOKUP(J2598,Лист2!A$2:B$4,2,FALSE)</f>
        <v>792</v>
      </c>
      <c r="L2598" s="7" t="str">
        <f t="shared" si="162"/>
        <v>ГОТОВ_ИЗМЕНЕН</v>
      </c>
      <c r="M2598" s="7">
        <f t="shared" si="163"/>
        <v>0</v>
      </c>
    </row>
    <row r="2599" spans="1:13" x14ac:dyDescent="0.25">
      <c r="A2599" s="1">
        <v>944332</v>
      </c>
      <c r="B2599" s="6" t="s">
        <v>2730</v>
      </c>
      <c r="F2599" s="6" t="s">
        <v>9</v>
      </c>
      <c r="G2599" s="6" t="s">
        <v>10</v>
      </c>
      <c r="H2599" s="9" t="s">
        <v>11</v>
      </c>
      <c r="I2599" s="7" t="str">
        <f t="shared" si="160"/>
        <v>61001003000</v>
      </c>
      <c r="J2599" s="7" t="str">
        <f t="shared" si="161"/>
        <v>Материал по ЕГРН</v>
      </c>
      <c r="K2599" s="7">
        <f>VLOOKUP(J2599,Лист2!A$2:B$4,2,FALSE)</f>
        <v>792</v>
      </c>
      <c r="L2599" s="7" t="str">
        <f t="shared" si="162"/>
        <v>ГОТОВ_ИЗМЕНЕН</v>
      </c>
      <c r="M2599" s="7">
        <f t="shared" si="163"/>
        <v>0</v>
      </c>
    </row>
    <row r="2600" spans="1:13" x14ac:dyDescent="0.25">
      <c r="A2600" s="1">
        <v>944344</v>
      </c>
      <c r="B2600" s="6" t="s">
        <v>2731</v>
      </c>
      <c r="F2600" s="6" t="s">
        <v>9</v>
      </c>
      <c r="G2600" s="6" t="s">
        <v>38</v>
      </c>
      <c r="H2600" s="9" t="s">
        <v>33</v>
      </c>
      <c r="I2600" s="7" t="str">
        <f t="shared" si="160"/>
        <v>61001005000</v>
      </c>
      <c r="J2600" s="7" t="str">
        <f t="shared" si="161"/>
        <v>Материал по ЕГРН</v>
      </c>
      <c r="K2600" s="7">
        <f>VLOOKUP(J2600,Лист2!A$2:B$4,2,FALSE)</f>
        <v>792</v>
      </c>
      <c r="L2600" s="7" t="str">
        <f t="shared" si="162"/>
        <v>ГОТОВ_ИЗМЕНЕН</v>
      </c>
      <c r="M2600" s="7">
        <f t="shared" si="163"/>
        <v>0</v>
      </c>
    </row>
    <row r="2601" spans="1:13" x14ac:dyDescent="0.25">
      <c r="A2601" s="1">
        <v>944356</v>
      </c>
      <c r="B2601" s="6" t="s">
        <v>2732</v>
      </c>
      <c r="F2601" s="6" t="s">
        <v>9</v>
      </c>
      <c r="G2601" s="6" t="s">
        <v>38</v>
      </c>
      <c r="H2601" s="9" t="s">
        <v>33</v>
      </c>
      <c r="I2601" s="7" t="str">
        <f t="shared" si="160"/>
        <v>61001005000</v>
      </c>
      <c r="J2601" s="7" t="str">
        <f t="shared" si="161"/>
        <v>Материал по ЕГРН</v>
      </c>
      <c r="K2601" s="7">
        <f>VLOOKUP(J2601,Лист2!A$2:B$4,2,FALSE)</f>
        <v>792</v>
      </c>
      <c r="L2601" s="7" t="str">
        <f t="shared" si="162"/>
        <v>ГОТОВ_ИЗМЕНЕН</v>
      </c>
      <c r="M2601" s="7">
        <f t="shared" si="163"/>
        <v>0</v>
      </c>
    </row>
    <row r="2602" spans="1:13" x14ac:dyDescent="0.25">
      <c r="A2602" s="1">
        <v>944368</v>
      </c>
      <c r="B2602" s="6" t="s">
        <v>2733</v>
      </c>
      <c r="F2602" s="6" t="s">
        <v>9</v>
      </c>
      <c r="G2602" s="6" t="s">
        <v>10</v>
      </c>
      <c r="H2602" s="9" t="s">
        <v>11</v>
      </c>
      <c r="I2602" s="7" t="str">
        <f t="shared" si="160"/>
        <v>61001003000</v>
      </c>
      <c r="J2602" s="7" t="str">
        <f t="shared" si="161"/>
        <v>Материал по ЕГРН</v>
      </c>
      <c r="K2602" s="7">
        <f>VLOOKUP(J2602,Лист2!A$2:B$4,2,FALSE)</f>
        <v>792</v>
      </c>
      <c r="L2602" s="7" t="str">
        <f t="shared" si="162"/>
        <v>ГОТОВ_ИЗМЕНЕН</v>
      </c>
      <c r="M2602" s="7">
        <f t="shared" si="163"/>
        <v>0</v>
      </c>
    </row>
    <row r="2603" spans="1:13" x14ac:dyDescent="0.25">
      <c r="A2603" s="1">
        <v>944380</v>
      </c>
      <c r="B2603" s="6" t="s">
        <v>2734</v>
      </c>
      <c r="F2603" s="6" t="s">
        <v>9</v>
      </c>
      <c r="G2603" s="6" t="s">
        <v>125</v>
      </c>
      <c r="H2603" s="9" t="s">
        <v>126</v>
      </c>
      <c r="I2603" s="7" t="str">
        <f t="shared" si="160"/>
        <v>61001007004</v>
      </c>
      <c r="J2603" s="7" t="str">
        <f t="shared" si="161"/>
        <v>Материал по ЕГРН</v>
      </c>
      <c r="K2603" s="7">
        <f>VLOOKUP(J2603,Лист2!A$2:B$4,2,FALSE)</f>
        <v>792</v>
      </c>
      <c r="L2603" s="7" t="str">
        <f t="shared" si="162"/>
        <v>ГОТОВ_ИЗМЕНЕН</v>
      </c>
      <c r="M2603" s="7">
        <f t="shared" si="163"/>
        <v>0</v>
      </c>
    </row>
    <row r="2604" spans="1:13" x14ac:dyDescent="0.25">
      <c r="A2604" s="1">
        <v>944392</v>
      </c>
      <c r="B2604" s="6" t="s">
        <v>2735</v>
      </c>
      <c r="F2604" s="6" t="s">
        <v>9</v>
      </c>
      <c r="G2604" s="6" t="s">
        <v>38</v>
      </c>
      <c r="H2604" s="9" t="s">
        <v>33</v>
      </c>
      <c r="I2604" s="7" t="str">
        <f t="shared" si="160"/>
        <v>61001005000</v>
      </c>
      <c r="J2604" s="7" t="str">
        <f t="shared" si="161"/>
        <v>Материал по ЕГРН</v>
      </c>
      <c r="K2604" s="7">
        <f>VLOOKUP(J2604,Лист2!A$2:B$4,2,FALSE)</f>
        <v>792</v>
      </c>
      <c r="L2604" s="7" t="str">
        <f t="shared" si="162"/>
        <v>ГОТОВ_ИЗМЕНЕН</v>
      </c>
      <c r="M2604" s="7">
        <f t="shared" si="163"/>
        <v>0</v>
      </c>
    </row>
    <row r="2605" spans="1:13" x14ac:dyDescent="0.25">
      <c r="A2605" s="1">
        <v>944404</v>
      </c>
      <c r="B2605" s="6" t="s">
        <v>2736</v>
      </c>
      <c r="F2605" s="6" t="s">
        <v>9</v>
      </c>
      <c r="G2605" s="6" t="s">
        <v>38</v>
      </c>
      <c r="H2605" s="9" t="s">
        <v>33</v>
      </c>
      <c r="I2605" s="7" t="str">
        <f t="shared" si="160"/>
        <v>61001005000</v>
      </c>
      <c r="J2605" s="7" t="str">
        <f t="shared" si="161"/>
        <v>Материал по ЕГРН</v>
      </c>
      <c r="K2605" s="7">
        <f>VLOOKUP(J2605,Лист2!A$2:B$4,2,FALSE)</f>
        <v>792</v>
      </c>
      <c r="L2605" s="7" t="str">
        <f t="shared" si="162"/>
        <v>ГОТОВ_ИЗМЕНЕН</v>
      </c>
      <c r="M2605" s="7">
        <f t="shared" si="163"/>
        <v>0</v>
      </c>
    </row>
    <row r="2606" spans="1:13" x14ac:dyDescent="0.25">
      <c r="A2606" s="1">
        <v>944416</v>
      </c>
      <c r="B2606" s="6" t="s">
        <v>2737</v>
      </c>
      <c r="F2606" s="6" t="s">
        <v>9</v>
      </c>
      <c r="G2606" s="6" t="s">
        <v>10</v>
      </c>
      <c r="H2606" s="9" t="s">
        <v>11</v>
      </c>
      <c r="I2606" s="7" t="str">
        <f t="shared" si="160"/>
        <v>61001003000</v>
      </c>
      <c r="J2606" s="7" t="str">
        <f t="shared" si="161"/>
        <v>Материал по ЕГРН</v>
      </c>
      <c r="K2606" s="7">
        <f>VLOOKUP(J2606,Лист2!A$2:B$4,2,FALSE)</f>
        <v>792</v>
      </c>
      <c r="L2606" s="7" t="str">
        <f t="shared" si="162"/>
        <v>ГОТОВ_ИЗМЕНЕН</v>
      </c>
      <c r="M2606" s="7">
        <f t="shared" si="163"/>
        <v>0</v>
      </c>
    </row>
    <row r="2607" spans="1:13" x14ac:dyDescent="0.25">
      <c r="A2607" s="1">
        <v>944428</v>
      </c>
      <c r="B2607" s="6" t="s">
        <v>2738</v>
      </c>
      <c r="F2607" s="6" t="s">
        <v>9</v>
      </c>
      <c r="G2607" s="6" t="s">
        <v>34</v>
      </c>
      <c r="H2607" s="9" t="s">
        <v>35</v>
      </c>
      <c r="I2607" s="7" t="str">
        <f t="shared" si="160"/>
        <v>61001002000</v>
      </c>
      <c r="J2607" s="7" t="str">
        <f t="shared" si="161"/>
        <v>Материал по ЕГРН</v>
      </c>
      <c r="K2607" s="7">
        <f>VLOOKUP(J2607,Лист2!A$2:B$4,2,FALSE)</f>
        <v>792</v>
      </c>
      <c r="L2607" s="7" t="str">
        <f t="shared" si="162"/>
        <v>ГОТОВ_ИЗМЕНЕН</v>
      </c>
      <c r="M2607" s="7">
        <f t="shared" si="163"/>
        <v>0</v>
      </c>
    </row>
    <row r="2608" spans="1:13" x14ac:dyDescent="0.25">
      <c r="A2608" s="1">
        <v>944440</v>
      </c>
      <c r="B2608" s="6" t="s">
        <v>2739</v>
      </c>
      <c r="F2608" s="6" t="s">
        <v>9</v>
      </c>
      <c r="G2608" s="6" t="s">
        <v>38</v>
      </c>
      <c r="H2608" s="9" t="s">
        <v>33</v>
      </c>
      <c r="I2608" s="7" t="str">
        <f t="shared" si="160"/>
        <v>61001005000</v>
      </c>
      <c r="J2608" s="7" t="str">
        <f t="shared" si="161"/>
        <v>Материал по ЕГРН</v>
      </c>
      <c r="K2608" s="7">
        <f>VLOOKUP(J2608,Лист2!A$2:B$4,2,FALSE)</f>
        <v>792</v>
      </c>
      <c r="L2608" s="7" t="str">
        <f t="shared" si="162"/>
        <v>ГОТОВ_ИЗМЕНЕН</v>
      </c>
      <c r="M2608" s="7">
        <f t="shared" si="163"/>
        <v>0</v>
      </c>
    </row>
    <row r="2609" spans="1:13" x14ac:dyDescent="0.25">
      <c r="A2609" s="1">
        <v>944452</v>
      </c>
      <c r="B2609" s="6" t="s">
        <v>2740</v>
      </c>
      <c r="F2609" s="6" t="s">
        <v>9</v>
      </c>
      <c r="G2609" s="6" t="s">
        <v>34</v>
      </c>
      <c r="H2609" s="9" t="s">
        <v>35</v>
      </c>
      <c r="I2609" s="7" t="str">
        <f t="shared" si="160"/>
        <v>61001002000</v>
      </c>
      <c r="J2609" s="7" t="str">
        <f t="shared" si="161"/>
        <v>Материал по ЕГРН</v>
      </c>
      <c r="K2609" s="7">
        <f>VLOOKUP(J2609,Лист2!A$2:B$4,2,FALSE)</f>
        <v>792</v>
      </c>
      <c r="L2609" s="7" t="str">
        <f t="shared" si="162"/>
        <v>ГОТОВ_ИЗМЕНЕН</v>
      </c>
      <c r="M2609" s="7">
        <f t="shared" si="163"/>
        <v>0</v>
      </c>
    </row>
    <row r="2610" spans="1:13" x14ac:dyDescent="0.25">
      <c r="A2610" s="1">
        <v>944464</v>
      </c>
      <c r="B2610" s="6" t="s">
        <v>2741</v>
      </c>
      <c r="F2610" s="6" t="s">
        <v>9</v>
      </c>
      <c r="G2610" s="6" t="s">
        <v>38</v>
      </c>
      <c r="H2610" s="9" t="s">
        <v>33</v>
      </c>
      <c r="I2610" s="7" t="str">
        <f t="shared" si="160"/>
        <v>61001005000</v>
      </c>
      <c r="J2610" s="7" t="str">
        <f t="shared" si="161"/>
        <v>Материал по ЕГРН</v>
      </c>
      <c r="K2610" s="7">
        <f>VLOOKUP(J2610,Лист2!A$2:B$4,2,FALSE)</f>
        <v>792</v>
      </c>
      <c r="L2610" s="7" t="str">
        <f t="shared" si="162"/>
        <v>ГОТОВ_ИЗМЕНЕН</v>
      </c>
      <c r="M2610" s="7">
        <f t="shared" si="163"/>
        <v>0</v>
      </c>
    </row>
    <row r="2611" spans="1:13" x14ac:dyDescent="0.25">
      <c r="A2611" s="1">
        <v>944476</v>
      </c>
      <c r="B2611" s="6" t="s">
        <v>2742</v>
      </c>
      <c r="F2611" s="6" t="s">
        <v>9</v>
      </c>
      <c r="G2611" s="6" t="s">
        <v>59</v>
      </c>
      <c r="H2611" s="9" t="s">
        <v>60</v>
      </c>
      <c r="I2611" s="7" t="str">
        <f t="shared" si="160"/>
        <v>61001001001</v>
      </c>
      <c r="J2611" s="7" t="str">
        <f t="shared" si="161"/>
        <v>Материал по ЕГРН</v>
      </c>
      <c r="K2611" s="7">
        <f>VLOOKUP(J2611,Лист2!A$2:B$4,2,FALSE)</f>
        <v>792</v>
      </c>
      <c r="L2611" s="7" t="str">
        <f t="shared" si="162"/>
        <v>ГОТОВ_ИЗМЕНЕН</v>
      </c>
      <c r="M2611" s="7">
        <f t="shared" si="163"/>
        <v>0</v>
      </c>
    </row>
    <row r="2612" spans="1:13" x14ac:dyDescent="0.25">
      <c r="A2612" s="1">
        <v>944488</v>
      </c>
      <c r="B2612" s="6" t="s">
        <v>2743</v>
      </c>
      <c r="F2612" s="6" t="s">
        <v>9</v>
      </c>
      <c r="G2612" s="6" t="s">
        <v>10</v>
      </c>
      <c r="H2612" s="9" t="s">
        <v>11</v>
      </c>
      <c r="I2612" s="7" t="str">
        <f t="shared" si="160"/>
        <v>61001003000</v>
      </c>
      <c r="J2612" s="7" t="str">
        <f t="shared" si="161"/>
        <v>Материал по ЕГРН</v>
      </c>
      <c r="K2612" s="7">
        <f>VLOOKUP(J2612,Лист2!A$2:B$4,2,FALSE)</f>
        <v>792</v>
      </c>
      <c r="L2612" s="7" t="str">
        <f t="shared" si="162"/>
        <v>ГОТОВ_ИЗМЕНЕН</v>
      </c>
      <c r="M2612" s="7">
        <f t="shared" si="163"/>
        <v>0</v>
      </c>
    </row>
    <row r="2613" spans="1:13" x14ac:dyDescent="0.25">
      <c r="A2613" s="1">
        <v>944500</v>
      </c>
      <c r="B2613" s="6" t="s">
        <v>2744</v>
      </c>
      <c r="F2613" s="6" t="s">
        <v>9</v>
      </c>
      <c r="G2613" s="6" t="s">
        <v>34</v>
      </c>
      <c r="H2613" s="9" t="s">
        <v>35</v>
      </c>
      <c r="I2613" s="7" t="str">
        <f t="shared" si="160"/>
        <v>61001002000</v>
      </c>
      <c r="J2613" s="7" t="str">
        <f t="shared" si="161"/>
        <v>Материал по ЕГРН</v>
      </c>
      <c r="K2613" s="7">
        <f>VLOOKUP(J2613,Лист2!A$2:B$4,2,FALSE)</f>
        <v>792</v>
      </c>
      <c r="L2613" s="7" t="str">
        <f t="shared" si="162"/>
        <v>ГОТОВ_ИЗМЕНЕН</v>
      </c>
      <c r="M2613" s="7">
        <f t="shared" si="163"/>
        <v>0</v>
      </c>
    </row>
    <row r="2614" spans="1:13" x14ac:dyDescent="0.25">
      <c r="A2614" s="1">
        <v>944512</v>
      </c>
      <c r="B2614" s="6" t="s">
        <v>2745</v>
      </c>
      <c r="F2614" s="6" t="s">
        <v>9</v>
      </c>
      <c r="G2614" s="6" t="s">
        <v>73</v>
      </c>
      <c r="H2614" s="9" t="s">
        <v>74</v>
      </c>
      <c r="I2614" s="7" t="str">
        <f t="shared" si="160"/>
        <v>61001006000</v>
      </c>
      <c r="J2614" s="7" t="str">
        <f t="shared" si="161"/>
        <v>Материал по ЕГРН</v>
      </c>
      <c r="K2614" s="7">
        <f>VLOOKUP(J2614,Лист2!A$2:B$4,2,FALSE)</f>
        <v>792</v>
      </c>
      <c r="L2614" s="7" t="str">
        <f t="shared" si="162"/>
        <v>ГОТОВ_ИЗМЕНЕН</v>
      </c>
      <c r="M2614" s="7">
        <f t="shared" si="163"/>
        <v>0</v>
      </c>
    </row>
    <row r="2615" spans="1:13" x14ac:dyDescent="0.25">
      <c r="A2615" s="1">
        <v>944524</v>
      </c>
      <c r="B2615" s="6" t="s">
        <v>2746</v>
      </c>
      <c r="F2615" s="6" t="s">
        <v>9</v>
      </c>
      <c r="G2615" s="6" t="s">
        <v>149</v>
      </c>
      <c r="H2615" s="9" t="s">
        <v>150</v>
      </c>
      <c r="I2615" s="7" t="str">
        <f t="shared" si="160"/>
        <v>61001007000</v>
      </c>
      <c r="J2615" s="7" t="str">
        <f t="shared" si="161"/>
        <v>Материал по ЕГРН</v>
      </c>
      <c r="K2615" s="7">
        <f>VLOOKUP(J2615,Лист2!A$2:B$4,2,FALSE)</f>
        <v>792</v>
      </c>
      <c r="L2615" s="7" t="str">
        <f t="shared" si="162"/>
        <v>ГОТОВ_ИЗМЕНЕН</v>
      </c>
      <c r="M2615" s="7">
        <f t="shared" si="163"/>
        <v>0</v>
      </c>
    </row>
    <row r="2616" spans="1:13" x14ac:dyDescent="0.25">
      <c r="A2616" s="1">
        <v>944536</v>
      </c>
      <c r="B2616" s="6" t="s">
        <v>2747</v>
      </c>
      <c r="F2616" s="6" t="s">
        <v>9</v>
      </c>
      <c r="G2616" s="6" t="s">
        <v>34</v>
      </c>
      <c r="H2616" s="9" t="s">
        <v>35</v>
      </c>
      <c r="I2616" s="7" t="str">
        <f t="shared" si="160"/>
        <v>61001002000</v>
      </c>
      <c r="J2616" s="7" t="str">
        <f t="shared" si="161"/>
        <v>Материал по ЕГРН</v>
      </c>
      <c r="K2616" s="7">
        <f>VLOOKUP(J2616,Лист2!A$2:B$4,2,FALSE)</f>
        <v>792</v>
      </c>
      <c r="L2616" s="7" t="str">
        <f t="shared" si="162"/>
        <v>ГОТОВ_ИЗМЕНЕН</v>
      </c>
      <c r="M2616" s="7">
        <f t="shared" si="163"/>
        <v>0</v>
      </c>
    </row>
    <row r="2617" spans="1:13" x14ac:dyDescent="0.25">
      <c r="A2617" s="1">
        <v>944548</v>
      </c>
      <c r="B2617" s="6" t="s">
        <v>2748</v>
      </c>
      <c r="F2617" s="6" t="s">
        <v>9</v>
      </c>
      <c r="G2617" s="6" t="s">
        <v>139</v>
      </c>
      <c r="H2617" s="9" t="s">
        <v>140</v>
      </c>
      <c r="I2617" s="7" t="str">
        <f t="shared" si="160"/>
        <v>61001999000</v>
      </c>
      <c r="J2617" s="7" t="str">
        <f t="shared" si="161"/>
        <v>Материал по ЕГРН</v>
      </c>
      <c r="K2617" s="7">
        <f>VLOOKUP(J2617,Лист2!A$2:B$4,2,FALSE)</f>
        <v>792</v>
      </c>
      <c r="L2617" s="7" t="str">
        <f t="shared" si="162"/>
        <v>ГОТОВ_ИЗМЕНЕН</v>
      </c>
      <c r="M2617" s="7">
        <f t="shared" si="163"/>
        <v>0</v>
      </c>
    </row>
    <row r="2618" spans="1:13" x14ac:dyDescent="0.25">
      <c r="A2618" s="1">
        <v>944560</v>
      </c>
      <c r="B2618" s="6" t="s">
        <v>2749</v>
      </c>
      <c r="F2618" s="6" t="s">
        <v>9</v>
      </c>
      <c r="G2618" s="6" t="s">
        <v>38</v>
      </c>
      <c r="H2618" s="9" t="s">
        <v>33</v>
      </c>
      <c r="I2618" s="7" t="str">
        <f t="shared" si="160"/>
        <v>61001005000</v>
      </c>
      <c r="J2618" s="7" t="str">
        <f t="shared" si="161"/>
        <v>Материал по ЕГРН</v>
      </c>
      <c r="K2618" s="7">
        <f>VLOOKUP(J2618,Лист2!A$2:B$4,2,FALSE)</f>
        <v>792</v>
      </c>
      <c r="L2618" s="7" t="str">
        <f t="shared" si="162"/>
        <v>ГОТОВ_ИЗМЕНЕН</v>
      </c>
      <c r="M2618" s="7">
        <f t="shared" si="163"/>
        <v>0</v>
      </c>
    </row>
    <row r="2619" spans="1:13" x14ac:dyDescent="0.25">
      <c r="A2619" s="1">
        <v>944572</v>
      </c>
      <c r="B2619" s="6" t="s">
        <v>2750</v>
      </c>
      <c r="F2619" s="6" t="s">
        <v>9</v>
      </c>
      <c r="G2619" s="6" t="s">
        <v>62</v>
      </c>
      <c r="H2619" s="9" t="s">
        <v>63</v>
      </c>
      <c r="I2619" s="7" t="str">
        <f t="shared" si="160"/>
        <v>61001006002</v>
      </c>
      <c r="J2619" s="7" t="str">
        <f t="shared" si="161"/>
        <v>Материал по ЕГРН</v>
      </c>
      <c r="K2619" s="7">
        <f>VLOOKUP(J2619,Лист2!A$2:B$4,2,FALSE)</f>
        <v>792</v>
      </c>
      <c r="L2619" s="7" t="str">
        <f t="shared" si="162"/>
        <v>ГОТОВ_ИЗМЕНЕН</v>
      </c>
      <c r="M2619" s="7">
        <f t="shared" si="163"/>
        <v>0</v>
      </c>
    </row>
    <row r="2620" spans="1:13" x14ac:dyDescent="0.25">
      <c r="A2620" s="1">
        <v>944584</v>
      </c>
      <c r="B2620" s="6" t="s">
        <v>2751</v>
      </c>
      <c r="F2620" s="6" t="s">
        <v>9</v>
      </c>
      <c r="G2620" s="6" t="s">
        <v>62</v>
      </c>
      <c r="H2620" s="9" t="s">
        <v>63</v>
      </c>
      <c r="I2620" s="7" t="str">
        <f t="shared" si="160"/>
        <v>61001006002</v>
      </c>
      <c r="J2620" s="7" t="str">
        <f t="shared" si="161"/>
        <v>Материал по ЕГРН</v>
      </c>
      <c r="K2620" s="7">
        <f>VLOOKUP(J2620,Лист2!A$2:B$4,2,FALSE)</f>
        <v>792</v>
      </c>
      <c r="L2620" s="7" t="str">
        <f t="shared" si="162"/>
        <v>ГОТОВ_ИЗМЕНЕН</v>
      </c>
      <c r="M2620" s="7">
        <f t="shared" si="163"/>
        <v>0</v>
      </c>
    </row>
    <row r="2621" spans="1:13" x14ac:dyDescent="0.25">
      <c r="A2621" s="1">
        <v>944596</v>
      </c>
      <c r="B2621" s="6" t="s">
        <v>2752</v>
      </c>
      <c r="F2621" s="6" t="s">
        <v>9</v>
      </c>
      <c r="G2621" s="6" t="s">
        <v>10</v>
      </c>
      <c r="H2621" s="9" t="s">
        <v>11</v>
      </c>
      <c r="I2621" s="7" t="str">
        <f t="shared" si="160"/>
        <v>61001003000</v>
      </c>
      <c r="J2621" s="7" t="str">
        <f t="shared" si="161"/>
        <v>Материал по ЕГРН</v>
      </c>
      <c r="K2621" s="7">
        <f>VLOOKUP(J2621,Лист2!A$2:B$4,2,FALSE)</f>
        <v>792</v>
      </c>
      <c r="L2621" s="7" t="str">
        <f t="shared" si="162"/>
        <v>ГОТОВ_ИЗМЕНЕН</v>
      </c>
      <c r="M2621" s="7">
        <f t="shared" si="163"/>
        <v>0</v>
      </c>
    </row>
    <row r="2622" spans="1:13" x14ac:dyDescent="0.25">
      <c r="A2622" s="1">
        <v>944608</v>
      </c>
      <c r="B2622" s="6" t="s">
        <v>2753</v>
      </c>
      <c r="F2622" s="6" t="s">
        <v>9</v>
      </c>
      <c r="G2622" s="6" t="s">
        <v>170</v>
      </c>
      <c r="H2622" s="9" t="s">
        <v>171</v>
      </c>
      <c r="I2622" s="7" t="str">
        <f t="shared" si="160"/>
        <v>61001001000</v>
      </c>
      <c r="J2622" s="7" t="str">
        <f t="shared" si="161"/>
        <v>Материал по ЕГРН</v>
      </c>
      <c r="K2622" s="7">
        <f>VLOOKUP(J2622,Лист2!A$2:B$4,2,FALSE)</f>
        <v>792</v>
      </c>
      <c r="L2622" s="7" t="str">
        <f t="shared" si="162"/>
        <v>ГОТОВ_ИЗМЕНЕН</v>
      </c>
      <c r="M2622" s="7">
        <f t="shared" si="163"/>
        <v>0</v>
      </c>
    </row>
    <row r="2623" spans="1:13" x14ac:dyDescent="0.25">
      <c r="A2623" s="1">
        <v>944620</v>
      </c>
      <c r="B2623" s="6" t="s">
        <v>2754</v>
      </c>
      <c r="F2623" s="6" t="s">
        <v>9</v>
      </c>
      <c r="G2623" s="6" t="s">
        <v>34</v>
      </c>
      <c r="H2623" s="9" t="s">
        <v>35</v>
      </c>
      <c r="I2623" s="7" t="str">
        <f t="shared" si="160"/>
        <v>61001002000</v>
      </c>
      <c r="J2623" s="7" t="str">
        <f t="shared" si="161"/>
        <v>Материал по ЕГРН</v>
      </c>
      <c r="K2623" s="7">
        <f>VLOOKUP(J2623,Лист2!A$2:B$4,2,FALSE)</f>
        <v>792</v>
      </c>
      <c r="L2623" s="7" t="str">
        <f t="shared" si="162"/>
        <v>ГОТОВ_ИЗМЕНЕН</v>
      </c>
      <c r="M2623" s="7">
        <f t="shared" si="163"/>
        <v>0</v>
      </c>
    </row>
    <row r="2624" spans="1:13" x14ac:dyDescent="0.25">
      <c r="A2624" s="1">
        <v>944632</v>
      </c>
      <c r="B2624" s="6" t="s">
        <v>2755</v>
      </c>
      <c r="F2624" s="6" t="s">
        <v>9</v>
      </c>
      <c r="G2624" s="6" t="s">
        <v>34</v>
      </c>
      <c r="H2624" s="9" t="s">
        <v>35</v>
      </c>
      <c r="I2624" s="7" t="str">
        <f t="shared" si="160"/>
        <v>61001002000</v>
      </c>
      <c r="J2624" s="7" t="str">
        <f t="shared" si="161"/>
        <v>Материал по ЕГРН</v>
      </c>
      <c r="K2624" s="7">
        <f>VLOOKUP(J2624,Лист2!A$2:B$4,2,FALSE)</f>
        <v>792</v>
      </c>
      <c r="L2624" s="7" t="str">
        <f t="shared" si="162"/>
        <v>ГОТОВ_ИЗМЕНЕН</v>
      </c>
      <c r="M2624" s="7">
        <f t="shared" si="163"/>
        <v>0</v>
      </c>
    </row>
    <row r="2625" spans="1:13" x14ac:dyDescent="0.25">
      <c r="A2625" s="1">
        <v>945841</v>
      </c>
      <c r="B2625" s="6" t="s">
        <v>2756</v>
      </c>
      <c r="F2625" s="6" t="s">
        <v>9</v>
      </c>
      <c r="G2625" s="6" t="s">
        <v>38</v>
      </c>
      <c r="H2625" s="9" t="s">
        <v>33</v>
      </c>
      <c r="I2625" s="7" t="str">
        <f t="shared" si="160"/>
        <v>61001005000</v>
      </c>
      <c r="J2625" s="7" t="str">
        <f t="shared" si="161"/>
        <v>Материал по ЕГРН</v>
      </c>
      <c r="K2625" s="7">
        <f>VLOOKUP(J2625,Лист2!A$2:B$4,2,FALSE)</f>
        <v>792</v>
      </c>
      <c r="L2625" s="7" t="str">
        <f t="shared" si="162"/>
        <v>ГОТОВ_ИЗМЕНЕН</v>
      </c>
      <c r="M2625" s="7">
        <f t="shared" si="163"/>
        <v>0</v>
      </c>
    </row>
    <row r="2626" spans="1:13" x14ac:dyDescent="0.25">
      <c r="A2626" s="1">
        <v>945853</v>
      </c>
      <c r="B2626" s="6" t="s">
        <v>2757</v>
      </c>
      <c r="F2626" s="6" t="s">
        <v>9</v>
      </c>
      <c r="G2626" s="6" t="s">
        <v>38</v>
      </c>
      <c r="H2626" s="9" t="s">
        <v>33</v>
      </c>
      <c r="I2626" s="7" t="str">
        <f t="shared" si="160"/>
        <v>61001005000</v>
      </c>
      <c r="J2626" s="7" t="str">
        <f t="shared" si="161"/>
        <v>Материал по ЕГРН</v>
      </c>
      <c r="K2626" s="7">
        <f>VLOOKUP(J2626,Лист2!A$2:B$4,2,FALSE)</f>
        <v>792</v>
      </c>
      <c r="L2626" s="7" t="str">
        <f t="shared" si="162"/>
        <v>ГОТОВ_ИЗМЕНЕН</v>
      </c>
      <c r="M2626" s="7">
        <f t="shared" si="163"/>
        <v>0</v>
      </c>
    </row>
    <row r="2627" spans="1:13" x14ac:dyDescent="0.25">
      <c r="A2627" s="1">
        <v>945865</v>
      </c>
      <c r="B2627" s="6" t="s">
        <v>2758</v>
      </c>
      <c r="F2627" s="6" t="s">
        <v>9</v>
      </c>
      <c r="G2627" s="6" t="s">
        <v>34</v>
      </c>
      <c r="H2627" s="9" t="s">
        <v>35</v>
      </c>
      <c r="I2627" s="7" t="str">
        <f t="shared" si="160"/>
        <v>61001002000</v>
      </c>
      <c r="J2627" s="7" t="str">
        <f t="shared" si="161"/>
        <v>Материал по ЕГРН</v>
      </c>
      <c r="K2627" s="7">
        <f>VLOOKUP(J2627,Лист2!A$2:B$4,2,FALSE)</f>
        <v>792</v>
      </c>
      <c r="L2627" s="7" t="str">
        <f t="shared" si="162"/>
        <v>ГОТОВ_ИЗМЕНЕН</v>
      </c>
      <c r="M2627" s="7">
        <f t="shared" si="163"/>
        <v>0</v>
      </c>
    </row>
    <row r="2628" spans="1:13" x14ac:dyDescent="0.25">
      <c r="A2628" s="1">
        <v>945877</v>
      </c>
      <c r="B2628" s="6" t="s">
        <v>2759</v>
      </c>
      <c r="F2628" s="6" t="s">
        <v>9</v>
      </c>
      <c r="G2628" s="6" t="s">
        <v>10</v>
      </c>
      <c r="H2628" s="9" t="s">
        <v>11</v>
      </c>
      <c r="I2628" s="7" t="str">
        <f t="shared" si="160"/>
        <v>61001003000</v>
      </c>
      <c r="J2628" s="7" t="str">
        <f t="shared" si="161"/>
        <v>Материал по ЕГРН</v>
      </c>
      <c r="K2628" s="7">
        <f>VLOOKUP(J2628,Лист2!A$2:B$4,2,FALSE)</f>
        <v>792</v>
      </c>
      <c r="L2628" s="7" t="str">
        <f t="shared" si="162"/>
        <v>ГОТОВ_ИЗМЕНЕН</v>
      </c>
      <c r="M2628" s="7">
        <f t="shared" si="163"/>
        <v>0</v>
      </c>
    </row>
    <row r="2629" spans="1:13" x14ac:dyDescent="0.25">
      <c r="A2629" s="1">
        <v>945889</v>
      </c>
      <c r="B2629" s="6" t="s">
        <v>2760</v>
      </c>
      <c r="F2629" s="6" t="s">
        <v>9</v>
      </c>
      <c r="G2629" s="6" t="s">
        <v>38</v>
      </c>
      <c r="H2629" s="9" t="s">
        <v>33</v>
      </c>
      <c r="I2629" s="7" t="str">
        <f t="shared" ref="I2629:I2692" si="164">IF(LEN(H2629)=11,H2629,IF(LEN(H2629)=0,"61001005000","61001003000"))</f>
        <v>61001005000</v>
      </c>
      <c r="J2629" s="7" t="str">
        <f t="shared" ref="J2629:J2692" si="165">IF(LEN(H2629)=11,"Материал по ЕГРН",IF(LEN(H2629)=0,"Прочие по допущению","Смешанные по допущению"))</f>
        <v>Материал по ЕГРН</v>
      </c>
      <c r="K2629" s="7">
        <f>VLOOKUP(J2629,Лист2!A$2:B$4,2,FALSE)</f>
        <v>792</v>
      </c>
      <c r="L2629" s="7" t="str">
        <f t="shared" ref="L2629:L2692" si="166">IF(I2629=C2629,"ГОТОВ","ГОТОВ_ИЗМЕНЕН")</f>
        <v>ГОТОВ_ИЗМЕНЕН</v>
      </c>
      <c r="M2629" s="7">
        <f t="shared" ref="M2629:M2692" si="167">C2629</f>
        <v>0</v>
      </c>
    </row>
    <row r="2630" spans="1:13" x14ac:dyDescent="0.25">
      <c r="A2630" s="1">
        <v>945901</v>
      </c>
      <c r="B2630" s="6" t="s">
        <v>2761</v>
      </c>
      <c r="F2630" s="6" t="s">
        <v>9</v>
      </c>
      <c r="G2630" s="6" t="s">
        <v>38</v>
      </c>
      <c r="H2630" s="9" t="s">
        <v>33</v>
      </c>
      <c r="I2630" s="7" t="str">
        <f t="shared" si="164"/>
        <v>61001005000</v>
      </c>
      <c r="J2630" s="7" t="str">
        <f t="shared" si="165"/>
        <v>Материал по ЕГРН</v>
      </c>
      <c r="K2630" s="7">
        <f>VLOOKUP(J2630,Лист2!A$2:B$4,2,FALSE)</f>
        <v>792</v>
      </c>
      <c r="L2630" s="7" t="str">
        <f t="shared" si="166"/>
        <v>ГОТОВ_ИЗМЕНЕН</v>
      </c>
      <c r="M2630" s="7">
        <f t="shared" si="167"/>
        <v>0</v>
      </c>
    </row>
    <row r="2631" spans="1:13" x14ac:dyDescent="0.25">
      <c r="A2631" s="1">
        <v>945913</v>
      </c>
      <c r="B2631" s="6" t="s">
        <v>2762</v>
      </c>
      <c r="F2631" s="6" t="s">
        <v>9</v>
      </c>
      <c r="G2631" s="6" t="s">
        <v>34</v>
      </c>
      <c r="H2631" s="9" t="s">
        <v>35</v>
      </c>
      <c r="I2631" s="7" t="str">
        <f t="shared" si="164"/>
        <v>61001002000</v>
      </c>
      <c r="J2631" s="7" t="str">
        <f t="shared" si="165"/>
        <v>Материал по ЕГРН</v>
      </c>
      <c r="K2631" s="7">
        <f>VLOOKUP(J2631,Лист2!A$2:B$4,2,FALSE)</f>
        <v>792</v>
      </c>
      <c r="L2631" s="7" t="str">
        <f t="shared" si="166"/>
        <v>ГОТОВ_ИЗМЕНЕН</v>
      </c>
      <c r="M2631" s="7">
        <f t="shared" si="167"/>
        <v>0</v>
      </c>
    </row>
    <row r="2632" spans="1:13" x14ac:dyDescent="0.25">
      <c r="A2632" s="1">
        <v>945925</v>
      </c>
      <c r="B2632" s="6" t="s">
        <v>2763</v>
      </c>
      <c r="F2632" s="6" t="s">
        <v>9</v>
      </c>
      <c r="G2632" s="6" t="s">
        <v>10</v>
      </c>
      <c r="H2632" s="9" t="s">
        <v>11</v>
      </c>
      <c r="I2632" s="7" t="str">
        <f t="shared" si="164"/>
        <v>61001003000</v>
      </c>
      <c r="J2632" s="7" t="str">
        <f t="shared" si="165"/>
        <v>Материал по ЕГРН</v>
      </c>
      <c r="K2632" s="7">
        <f>VLOOKUP(J2632,Лист2!A$2:B$4,2,FALSE)</f>
        <v>792</v>
      </c>
      <c r="L2632" s="7" t="str">
        <f t="shared" si="166"/>
        <v>ГОТОВ_ИЗМЕНЕН</v>
      </c>
      <c r="M2632" s="7">
        <f t="shared" si="167"/>
        <v>0</v>
      </c>
    </row>
    <row r="2633" spans="1:13" x14ac:dyDescent="0.25">
      <c r="A2633" s="1">
        <v>945937</v>
      </c>
      <c r="B2633" s="6" t="s">
        <v>2764</v>
      </c>
      <c r="F2633" s="6" t="s">
        <v>9</v>
      </c>
      <c r="G2633" s="6" t="s">
        <v>90</v>
      </c>
      <c r="H2633" s="9" t="s">
        <v>12</v>
      </c>
      <c r="I2633" s="7" t="str">
        <f t="shared" si="164"/>
        <v>61001008000</v>
      </c>
      <c r="J2633" s="7" t="str">
        <f t="shared" si="165"/>
        <v>Материал по ЕГРН</v>
      </c>
      <c r="K2633" s="7">
        <f>VLOOKUP(J2633,Лист2!A$2:B$4,2,FALSE)</f>
        <v>792</v>
      </c>
      <c r="L2633" s="7" t="str">
        <f t="shared" si="166"/>
        <v>ГОТОВ_ИЗМЕНЕН</v>
      </c>
      <c r="M2633" s="7">
        <f t="shared" si="167"/>
        <v>0</v>
      </c>
    </row>
    <row r="2634" spans="1:13" x14ac:dyDescent="0.25">
      <c r="A2634" s="1">
        <v>945949</v>
      </c>
      <c r="B2634" s="6" t="s">
        <v>2765</v>
      </c>
      <c r="F2634" s="6" t="s">
        <v>9</v>
      </c>
      <c r="G2634" s="6" t="s">
        <v>149</v>
      </c>
      <c r="H2634" s="9" t="s">
        <v>150</v>
      </c>
      <c r="I2634" s="7" t="str">
        <f t="shared" si="164"/>
        <v>61001007000</v>
      </c>
      <c r="J2634" s="7" t="str">
        <f t="shared" si="165"/>
        <v>Материал по ЕГРН</v>
      </c>
      <c r="K2634" s="7">
        <f>VLOOKUP(J2634,Лист2!A$2:B$4,2,FALSE)</f>
        <v>792</v>
      </c>
      <c r="L2634" s="7" t="str">
        <f t="shared" si="166"/>
        <v>ГОТОВ_ИЗМЕНЕН</v>
      </c>
      <c r="M2634" s="7">
        <f t="shared" si="167"/>
        <v>0</v>
      </c>
    </row>
    <row r="2635" spans="1:13" x14ac:dyDescent="0.25">
      <c r="A2635" s="1">
        <v>945961</v>
      </c>
      <c r="B2635" s="6" t="s">
        <v>2766</v>
      </c>
      <c r="F2635" s="6" t="s">
        <v>9</v>
      </c>
      <c r="G2635" s="6" t="s">
        <v>34</v>
      </c>
      <c r="H2635" s="9" t="s">
        <v>35</v>
      </c>
      <c r="I2635" s="7" t="str">
        <f t="shared" si="164"/>
        <v>61001002000</v>
      </c>
      <c r="J2635" s="7" t="str">
        <f t="shared" si="165"/>
        <v>Материал по ЕГРН</v>
      </c>
      <c r="K2635" s="7">
        <f>VLOOKUP(J2635,Лист2!A$2:B$4,2,FALSE)</f>
        <v>792</v>
      </c>
      <c r="L2635" s="7" t="str">
        <f t="shared" si="166"/>
        <v>ГОТОВ_ИЗМЕНЕН</v>
      </c>
      <c r="M2635" s="7">
        <f t="shared" si="167"/>
        <v>0</v>
      </c>
    </row>
    <row r="2636" spans="1:13" x14ac:dyDescent="0.25">
      <c r="A2636" s="1">
        <v>945973</v>
      </c>
      <c r="B2636" s="6" t="s">
        <v>2767</v>
      </c>
      <c r="F2636" s="6" t="s">
        <v>9</v>
      </c>
      <c r="G2636" s="6" t="s">
        <v>125</v>
      </c>
      <c r="H2636" s="9" t="s">
        <v>126</v>
      </c>
      <c r="I2636" s="7" t="str">
        <f t="shared" si="164"/>
        <v>61001007004</v>
      </c>
      <c r="J2636" s="7" t="str">
        <f t="shared" si="165"/>
        <v>Материал по ЕГРН</v>
      </c>
      <c r="K2636" s="7">
        <f>VLOOKUP(J2636,Лист2!A$2:B$4,2,FALSE)</f>
        <v>792</v>
      </c>
      <c r="L2636" s="7" t="str">
        <f t="shared" si="166"/>
        <v>ГОТОВ_ИЗМЕНЕН</v>
      </c>
      <c r="M2636" s="7">
        <f t="shared" si="167"/>
        <v>0</v>
      </c>
    </row>
    <row r="2637" spans="1:13" x14ac:dyDescent="0.25">
      <c r="A2637" s="1">
        <v>945985</v>
      </c>
      <c r="B2637" s="6" t="s">
        <v>2768</v>
      </c>
      <c r="F2637" s="6" t="s">
        <v>9</v>
      </c>
      <c r="G2637" s="6" t="s">
        <v>10</v>
      </c>
      <c r="H2637" s="9" t="s">
        <v>11</v>
      </c>
      <c r="I2637" s="7" t="str">
        <f t="shared" si="164"/>
        <v>61001003000</v>
      </c>
      <c r="J2637" s="7" t="str">
        <f t="shared" si="165"/>
        <v>Материал по ЕГРН</v>
      </c>
      <c r="K2637" s="7">
        <f>VLOOKUP(J2637,Лист2!A$2:B$4,2,FALSE)</f>
        <v>792</v>
      </c>
      <c r="L2637" s="7" t="str">
        <f t="shared" si="166"/>
        <v>ГОТОВ_ИЗМЕНЕН</v>
      </c>
      <c r="M2637" s="7">
        <f t="shared" si="167"/>
        <v>0</v>
      </c>
    </row>
    <row r="2638" spans="1:13" x14ac:dyDescent="0.25">
      <c r="A2638" s="1">
        <v>945997</v>
      </c>
      <c r="B2638" s="6" t="s">
        <v>2769</v>
      </c>
      <c r="F2638" s="6" t="s">
        <v>9</v>
      </c>
      <c r="G2638" s="6" t="s">
        <v>38</v>
      </c>
      <c r="H2638" s="9" t="s">
        <v>33</v>
      </c>
      <c r="I2638" s="7" t="str">
        <f t="shared" si="164"/>
        <v>61001005000</v>
      </c>
      <c r="J2638" s="7" t="str">
        <f t="shared" si="165"/>
        <v>Материал по ЕГРН</v>
      </c>
      <c r="K2638" s="7">
        <f>VLOOKUP(J2638,Лист2!A$2:B$4,2,FALSE)</f>
        <v>792</v>
      </c>
      <c r="L2638" s="7" t="str">
        <f t="shared" si="166"/>
        <v>ГОТОВ_ИЗМЕНЕН</v>
      </c>
      <c r="M2638" s="7">
        <f t="shared" si="167"/>
        <v>0</v>
      </c>
    </row>
    <row r="2639" spans="1:13" x14ac:dyDescent="0.25">
      <c r="A2639" s="1">
        <v>946009</v>
      </c>
      <c r="B2639" s="6" t="s">
        <v>2770</v>
      </c>
      <c r="F2639" s="6" t="s">
        <v>9</v>
      </c>
      <c r="G2639" s="6" t="s">
        <v>34</v>
      </c>
      <c r="H2639" s="9" t="s">
        <v>35</v>
      </c>
      <c r="I2639" s="7" t="str">
        <f t="shared" si="164"/>
        <v>61001002000</v>
      </c>
      <c r="J2639" s="7" t="str">
        <f t="shared" si="165"/>
        <v>Материал по ЕГРН</v>
      </c>
      <c r="K2639" s="7">
        <f>VLOOKUP(J2639,Лист2!A$2:B$4,2,FALSE)</f>
        <v>792</v>
      </c>
      <c r="L2639" s="7" t="str">
        <f t="shared" si="166"/>
        <v>ГОТОВ_ИЗМЕНЕН</v>
      </c>
      <c r="M2639" s="7">
        <f t="shared" si="167"/>
        <v>0</v>
      </c>
    </row>
    <row r="2640" spans="1:13" x14ac:dyDescent="0.25">
      <c r="A2640" s="1">
        <v>946021</v>
      </c>
      <c r="B2640" s="6" t="s">
        <v>2771</v>
      </c>
      <c r="F2640" s="6" t="s">
        <v>9</v>
      </c>
      <c r="G2640" s="6" t="s">
        <v>10</v>
      </c>
      <c r="H2640" s="9" t="s">
        <v>11</v>
      </c>
      <c r="I2640" s="7" t="str">
        <f t="shared" si="164"/>
        <v>61001003000</v>
      </c>
      <c r="J2640" s="7" t="str">
        <f t="shared" si="165"/>
        <v>Материал по ЕГРН</v>
      </c>
      <c r="K2640" s="7">
        <f>VLOOKUP(J2640,Лист2!A$2:B$4,2,FALSE)</f>
        <v>792</v>
      </c>
      <c r="L2640" s="7" t="str">
        <f t="shared" si="166"/>
        <v>ГОТОВ_ИЗМЕНЕН</v>
      </c>
      <c r="M2640" s="7">
        <f t="shared" si="167"/>
        <v>0</v>
      </c>
    </row>
    <row r="2641" spans="1:13" x14ac:dyDescent="0.25">
      <c r="A2641" s="1">
        <v>946033</v>
      </c>
      <c r="B2641" s="6" t="s">
        <v>2772</v>
      </c>
      <c r="F2641" s="6" t="s">
        <v>9</v>
      </c>
      <c r="G2641" s="6" t="s">
        <v>38</v>
      </c>
      <c r="H2641" s="9" t="s">
        <v>33</v>
      </c>
      <c r="I2641" s="7" t="str">
        <f t="shared" si="164"/>
        <v>61001005000</v>
      </c>
      <c r="J2641" s="7" t="str">
        <f t="shared" si="165"/>
        <v>Материал по ЕГРН</v>
      </c>
      <c r="K2641" s="7">
        <f>VLOOKUP(J2641,Лист2!A$2:B$4,2,FALSE)</f>
        <v>792</v>
      </c>
      <c r="L2641" s="7" t="str">
        <f t="shared" si="166"/>
        <v>ГОТОВ_ИЗМЕНЕН</v>
      </c>
      <c r="M2641" s="7">
        <f t="shared" si="167"/>
        <v>0</v>
      </c>
    </row>
    <row r="2642" spans="1:13" x14ac:dyDescent="0.25">
      <c r="A2642" s="1">
        <v>946045</v>
      </c>
      <c r="B2642" s="6" t="s">
        <v>2773</v>
      </c>
      <c r="F2642" s="6" t="s">
        <v>9</v>
      </c>
      <c r="G2642" s="6" t="s">
        <v>65</v>
      </c>
      <c r="H2642" s="9" t="s">
        <v>66</v>
      </c>
      <c r="I2642" s="7" t="str">
        <f t="shared" si="164"/>
        <v>61001002003</v>
      </c>
      <c r="J2642" s="7" t="str">
        <f t="shared" si="165"/>
        <v>Материал по ЕГРН</v>
      </c>
      <c r="K2642" s="7">
        <f>VLOOKUP(J2642,Лист2!A$2:B$4,2,FALSE)</f>
        <v>792</v>
      </c>
      <c r="L2642" s="7" t="str">
        <f t="shared" si="166"/>
        <v>ГОТОВ_ИЗМЕНЕН</v>
      </c>
      <c r="M2642" s="7">
        <f t="shared" si="167"/>
        <v>0</v>
      </c>
    </row>
    <row r="2643" spans="1:13" x14ac:dyDescent="0.25">
      <c r="A2643" s="1">
        <v>946057</v>
      </c>
      <c r="B2643" s="6" t="s">
        <v>2774</v>
      </c>
      <c r="F2643" s="6" t="s">
        <v>9</v>
      </c>
      <c r="G2643" s="6" t="s">
        <v>34</v>
      </c>
      <c r="H2643" s="9" t="s">
        <v>35</v>
      </c>
      <c r="I2643" s="7" t="str">
        <f t="shared" si="164"/>
        <v>61001002000</v>
      </c>
      <c r="J2643" s="7" t="str">
        <f t="shared" si="165"/>
        <v>Материал по ЕГРН</v>
      </c>
      <c r="K2643" s="7">
        <f>VLOOKUP(J2643,Лист2!A$2:B$4,2,FALSE)</f>
        <v>792</v>
      </c>
      <c r="L2643" s="7" t="str">
        <f t="shared" si="166"/>
        <v>ГОТОВ_ИЗМЕНЕН</v>
      </c>
      <c r="M2643" s="7">
        <f t="shared" si="167"/>
        <v>0</v>
      </c>
    </row>
    <row r="2644" spans="1:13" x14ac:dyDescent="0.25">
      <c r="A2644" s="1">
        <v>946069</v>
      </c>
      <c r="B2644" s="6" t="s">
        <v>2775</v>
      </c>
      <c r="F2644" s="6" t="s">
        <v>9</v>
      </c>
      <c r="G2644" s="6" t="s">
        <v>59</v>
      </c>
      <c r="H2644" s="9" t="s">
        <v>60</v>
      </c>
      <c r="I2644" s="7" t="str">
        <f t="shared" si="164"/>
        <v>61001001001</v>
      </c>
      <c r="J2644" s="7" t="str">
        <f t="shared" si="165"/>
        <v>Материал по ЕГРН</v>
      </c>
      <c r="K2644" s="7">
        <f>VLOOKUP(J2644,Лист2!A$2:B$4,2,FALSE)</f>
        <v>792</v>
      </c>
      <c r="L2644" s="7" t="str">
        <f t="shared" si="166"/>
        <v>ГОТОВ_ИЗМЕНЕН</v>
      </c>
      <c r="M2644" s="7">
        <f t="shared" si="167"/>
        <v>0</v>
      </c>
    </row>
    <row r="2645" spans="1:13" x14ac:dyDescent="0.25">
      <c r="A2645" s="1">
        <v>946081</v>
      </c>
      <c r="B2645" s="6" t="s">
        <v>2776</v>
      </c>
      <c r="F2645" s="6" t="s">
        <v>9</v>
      </c>
      <c r="G2645" s="6" t="s">
        <v>34</v>
      </c>
      <c r="H2645" s="9" t="s">
        <v>35</v>
      </c>
      <c r="I2645" s="7" t="str">
        <f t="shared" si="164"/>
        <v>61001002000</v>
      </c>
      <c r="J2645" s="7" t="str">
        <f t="shared" si="165"/>
        <v>Материал по ЕГРН</v>
      </c>
      <c r="K2645" s="7">
        <f>VLOOKUP(J2645,Лист2!A$2:B$4,2,FALSE)</f>
        <v>792</v>
      </c>
      <c r="L2645" s="7" t="str">
        <f t="shared" si="166"/>
        <v>ГОТОВ_ИЗМЕНЕН</v>
      </c>
      <c r="M2645" s="7">
        <f t="shared" si="167"/>
        <v>0</v>
      </c>
    </row>
    <row r="2646" spans="1:13" x14ac:dyDescent="0.25">
      <c r="A2646" s="1">
        <v>946093</v>
      </c>
      <c r="B2646" s="6" t="s">
        <v>2777</v>
      </c>
      <c r="F2646" s="6" t="s">
        <v>9</v>
      </c>
      <c r="G2646" s="6" t="s">
        <v>34</v>
      </c>
      <c r="H2646" s="9" t="s">
        <v>35</v>
      </c>
      <c r="I2646" s="7" t="str">
        <f t="shared" si="164"/>
        <v>61001002000</v>
      </c>
      <c r="J2646" s="7" t="str">
        <f t="shared" si="165"/>
        <v>Материал по ЕГРН</v>
      </c>
      <c r="K2646" s="7">
        <f>VLOOKUP(J2646,Лист2!A$2:B$4,2,FALSE)</f>
        <v>792</v>
      </c>
      <c r="L2646" s="7" t="str">
        <f t="shared" si="166"/>
        <v>ГОТОВ_ИЗМЕНЕН</v>
      </c>
      <c r="M2646" s="7">
        <f t="shared" si="167"/>
        <v>0</v>
      </c>
    </row>
    <row r="2647" spans="1:13" x14ac:dyDescent="0.25">
      <c r="A2647" s="1">
        <v>946105</v>
      </c>
      <c r="B2647" s="6" t="s">
        <v>2778</v>
      </c>
      <c r="F2647" s="6" t="s">
        <v>9</v>
      </c>
      <c r="G2647" s="6" t="s">
        <v>34</v>
      </c>
      <c r="H2647" s="9" t="s">
        <v>35</v>
      </c>
      <c r="I2647" s="7" t="str">
        <f t="shared" si="164"/>
        <v>61001002000</v>
      </c>
      <c r="J2647" s="7" t="str">
        <f t="shared" si="165"/>
        <v>Материал по ЕГРН</v>
      </c>
      <c r="K2647" s="7">
        <f>VLOOKUP(J2647,Лист2!A$2:B$4,2,FALSE)</f>
        <v>792</v>
      </c>
      <c r="L2647" s="7" t="str">
        <f t="shared" si="166"/>
        <v>ГОТОВ_ИЗМЕНЕН</v>
      </c>
      <c r="M2647" s="7">
        <f t="shared" si="167"/>
        <v>0</v>
      </c>
    </row>
    <row r="2648" spans="1:13" x14ac:dyDescent="0.25">
      <c r="A2648" s="1">
        <v>946117</v>
      </c>
      <c r="B2648" s="6" t="s">
        <v>2779</v>
      </c>
      <c r="F2648" s="6" t="s">
        <v>9</v>
      </c>
      <c r="G2648" s="6" t="s">
        <v>38</v>
      </c>
      <c r="H2648" s="9" t="s">
        <v>33</v>
      </c>
      <c r="I2648" s="7" t="str">
        <f t="shared" si="164"/>
        <v>61001005000</v>
      </c>
      <c r="J2648" s="7" t="str">
        <f t="shared" si="165"/>
        <v>Материал по ЕГРН</v>
      </c>
      <c r="K2648" s="7">
        <f>VLOOKUP(J2648,Лист2!A$2:B$4,2,FALSE)</f>
        <v>792</v>
      </c>
      <c r="L2648" s="7" t="str">
        <f t="shared" si="166"/>
        <v>ГОТОВ_ИЗМЕНЕН</v>
      </c>
      <c r="M2648" s="7">
        <f t="shared" si="167"/>
        <v>0</v>
      </c>
    </row>
    <row r="2649" spans="1:13" x14ac:dyDescent="0.25">
      <c r="A2649" s="1">
        <v>946129</v>
      </c>
      <c r="B2649" s="6" t="s">
        <v>2780</v>
      </c>
      <c r="F2649" s="6" t="s">
        <v>9</v>
      </c>
      <c r="G2649" s="6" t="s">
        <v>10</v>
      </c>
      <c r="H2649" s="9" t="s">
        <v>11</v>
      </c>
      <c r="I2649" s="7" t="str">
        <f t="shared" si="164"/>
        <v>61001003000</v>
      </c>
      <c r="J2649" s="7" t="str">
        <f t="shared" si="165"/>
        <v>Материал по ЕГРН</v>
      </c>
      <c r="K2649" s="7">
        <f>VLOOKUP(J2649,Лист2!A$2:B$4,2,FALSE)</f>
        <v>792</v>
      </c>
      <c r="L2649" s="7" t="str">
        <f t="shared" si="166"/>
        <v>ГОТОВ_ИЗМЕНЕН</v>
      </c>
      <c r="M2649" s="7">
        <f t="shared" si="167"/>
        <v>0</v>
      </c>
    </row>
    <row r="2650" spans="1:13" x14ac:dyDescent="0.25">
      <c r="A2650" s="1">
        <v>946141</v>
      </c>
      <c r="B2650" s="6" t="s">
        <v>2781</v>
      </c>
      <c r="F2650" s="6" t="s">
        <v>9</v>
      </c>
      <c r="G2650" s="6" t="s">
        <v>170</v>
      </c>
      <c r="H2650" s="9" t="s">
        <v>171</v>
      </c>
      <c r="I2650" s="7" t="str">
        <f t="shared" si="164"/>
        <v>61001001000</v>
      </c>
      <c r="J2650" s="7" t="str">
        <f t="shared" si="165"/>
        <v>Материал по ЕГРН</v>
      </c>
      <c r="K2650" s="7">
        <f>VLOOKUP(J2650,Лист2!A$2:B$4,2,FALSE)</f>
        <v>792</v>
      </c>
      <c r="L2650" s="7" t="str">
        <f t="shared" si="166"/>
        <v>ГОТОВ_ИЗМЕНЕН</v>
      </c>
      <c r="M2650" s="7">
        <f t="shared" si="167"/>
        <v>0</v>
      </c>
    </row>
    <row r="2651" spans="1:13" x14ac:dyDescent="0.25">
      <c r="A2651" s="1">
        <v>946153</v>
      </c>
      <c r="B2651" s="6" t="s">
        <v>2782</v>
      </c>
      <c r="F2651" s="6" t="s">
        <v>9</v>
      </c>
      <c r="G2651" s="6" t="s">
        <v>38</v>
      </c>
      <c r="H2651" s="9" t="s">
        <v>33</v>
      </c>
      <c r="I2651" s="7" t="str">
        <f t="shared" si="164"/>
        <v>61001005000</v>
      </c>
      <c r="J2651" s="7" t="str">
        <f t="shared" si="165"/>
        <v>Материал по ЕГРН</v>
      </c>
      <c r="K2651" s="7">
        <f>VLOOKUP(J2651,Лист2!A$2:B$4,2,FALSE)</f>
        <v>792</v>
      </c>
      <c r="L2651" s="7" t="str">
        <f t="shared" si="166"/>
        <v>ГОТОВ_ИЗМЕНЕН</v>
      </c>
      <c r="M2651" s="7">
        <f t="shared" si="167"/>
        <v>0</v>
      </c>
    </row>
    <row r="2652" spans="1:13" x14ac:dyDescent="0.25">
      <c r="A2652" s="1">
        <v>207944</v>
      </c>
      <c r="B2652" s="6" t="s">
        <v>2783</v>
      </c>
      <c r="C2652" s="9" t="s">
        <v>33</v>
      </c>
      <c r="D2652" s="6" t="s">
        <v>20</v>
      </c>
      <c r="E2652" s="6" t="s">
        <v>37</v>
      </c>
      <c r="F2652" s="6" t="s">
        <v>9</v>
      </c>
      <c r="G2652" s="6" t="s">
        <v>38</v>
      </c>
      <c r="H2652" s="9" t="s">
        <v>33</v>
      </c>
      <c r="I2652" s="7" t="str">
        <f t="shared" si="164"/>
        <v>61001005000</v>
      </c>
      <c r="J2652" s="7" t="str">
        <f t="shared" si="165"/>
        <v>Материал по ЕГРН</v>
      </c>
      <c r="K2652" s="7">
        <f>VLOOKUP(J2652,Лист2!A$2:B$4,2,FALSE)</f>
        <v>792</v>
      </c>
      <c r="L2652" s="7" t="str">
        <f t="shared" si="166"/>
        <v>ГОТОВ</v>
      </c>
      <c r="M2652" s="7" t="str">
        <f t="shared" si="167"/>
        <v>61001005000</v>
      </c>
    </row>
    <row r="2653" spans="1:13" ht="25.5" x14ac:dyDescent="0.25">
      <c r="A2653" s="1">
        <v>634876</v>
      </c>
      <c r="B2653" s="6" t="s">
        <v>2784</v>
      </c>
      <c r="C2653" s="9" t="s">
        <v>33</v>
      </c>
      <c r="D2653" s="6" t="s">
        <v>20</v>
      </c>
      <c r="E2653" s="6" t="s">
        <v>8</v>
      </c>
      <c r="F2653" s="6" t="s">
        <v>9</v>
      </c>
      <c r="G2653" s="6" t="s">
        <v>2785</v>
      </c>
      <c r="H2653" s="9" t="s">
        <v>2786</v>
      </c>
      <c r="I2653" s="7" t="str">
        <f t="shared" si="164"/>
        <v>61001003000</v>
      </c>
      <c r="J2653" s="7" t="str">
        <f t="shared" si="165"/>
        <v>Смешанные по допущению</v>
      </c>
      <c r="K2653" s="7">
        <f>VLOOKUP(J2653,Лист2!A$2:B$4,2,FALSE)</f>
        <v>793</v>
      </c>
      <c r="L2653" s="7" t="str">
        <f t="shared" si="166"/>
        <v>ГОТОВ_ИЗМЕНЕН</v>
      </c>
      <c r="M2653" s="7" t="str">
        <f t="shared" si="167"/>
        <v>61001005000</v>
      </c>
    </row>
    <row r="2654" spans="1:13" x14ac:dyDescent="0.25">
      <c r="A2654" s="1">
        <v>945493</v>
      </c>
      <c r="B2654" s="6" t="s">
        <v>2787</v>
      </c>
      <c r="F2654" s="6" t="s">
        <v>9</v>
      </c>
      <c r="G2654" s="6" t="s">
        <v>38</v>
      </c>
      <c r="H2654" s="9" t="s">
        <v>33</v>
      </c>
      <c r="I2654" s="7" t="str">
        <f t="shared" si="164"/>
        <v>61001005000</v>
      </c>
      <c r="J2654" s="7" t="str">
        <f t="shared" si="165"/>
        <v>Материал по ЕГРН</v>
      </c>
      <c r="K2654" s="7">
        <f>VLOOKUP(J2654,Лист2!A$2:B$4,2,FALSE)</f>
        <v>792</v>
      </c>
      <c r="L2654" s="7" t="str">
        <f t="shared" si="166"/>
        <v>ГОТОВ_ИЗМЕНЕН</v>
      </c>
      <c r="M2654" s="7">
        <f t="shared" si="167"/>
        <v>0</v>
      </c>
    </row>
    <row r="2655" spans="1:13" x14ac:dyDescent="0.25">
      <c r="A2655" s="1">
        <v>945505</v>
      </c>
      <c r="B2655" s="6" t="s">
        <v>2788</v>
      </c>
      <c r="F2655" s="6" t="s">
        <v>9</v>
      </c>
      <c r="G2655" s="6" t="s">
        <v>38</v>
      </c>
      <c r="H2655" s="9" t="s">
        <v>33</v>
      </c>
      <c r="I2655" s="7" t="str">
        <f t="shared" si="164"/>
        <v>61001005000</v>
      </c>
      <c r="J2655" s="7" t="str">
        <f t="shared" si="165"/>
        <v>Материал по ЕГРН</v>
      </c>
      <c r="K2655" s="7">
        <f>VLOOKUP(J2655,Лист2!A$2:B$4,2,FALSE)</f>
        <v>792</v>
      </c>
      <c r="L2655" s="7" t="str">
        <f t="shared" si="166"/>
        <v>ГОТОВ_ИЗМЕНЕН</v>
      </c>
      <c r="M2655" s="7">
        <f t="shared" si="167"/>
        <v>0</v>
      </c>
    </row>
    <row r="2656" spans="1:13" x14ac:dyDescent="0.25">
      <c r="A2656" s="1">
        <v>945517</v>
      </c>
      <c r="B2656" s="6" t="s">
        <v>2789</v>
      </c>
      <c r="F2656" s="6" t="s">
        <v>9</v>
      </c>
      <c r="G2656" s="6" t="s">
        <v>125</v>
      </c>
      <c r="H2656" s="9" t="s">
        <v>126</v>
      </c>
      <c r="I2656" s="7" t="str">
        <f t="shared" si="164"/>
        <v>61001007004</v>
      </c>
      <c r="J2656" s="7" t="str">
        <f t="shared" si="165"/>
        <v>Материал по ЕГРН</v>
      </c>
      <c r="K2656" s="7">
        <f>VLOOKUP(J2656,Лист2!A$2:B$4,2,FALSE)</f>
        <v>792</v>
      </c>
      <c r="L2656" s="7" t="str">
        <f t="shared" si="166"/>
        <v>ГОТОВ_ИЗМЕНЕН</v>
      </c>
      <c r="M2656" s="7">
        <f t="shared" si="167"/>
        <v>0</v>
      </c>
    </row>
    <row r="2657" spans="1:13" x14ac:dyDescent="0.25">
      <c r="A2657" s="1">
        <v>945529</v>
      </c>
      <c r="B2657" s="6" t="s">
        <v>2790</v>
      </c>
      <c r="F2657" s="6" t="s">
        <v>9</v>
      </c>
      <c r="G2657" s="6" t="s">
        <v>38</v>
      </c>
      <c r="H2657" s="9" t="s">
        <v>33</v>
      </c>
      <c r="I2657" s="7" t="str">
        <f t="shared" si="164"/>
        <v>61001005000</v>
      </c>
      <c r="J2657" s="7" t="str">
        <f t="shared" si="165"/>
        <v>Материал по ЕГРН</v>
      </c>
      <c r="K2657" s="7">
        <f>VLOOKUP(J2657,Лист2!A$2:B$4,2,FALSE)</f>
        <v>792</v>
      </c>
      <c r="L2657" s="7" t="str">
        <f t="shared" si="166"/>
        <v>ГОТОВ_ИЗМЕНЕН</v>
      </c>
      <c r="M2657" s="7">
        <f t="shared" si="167"/>
        <v>0</v>
      </c>
    </row>
    <row r="2658" spans="1:13" x14ac:dyDescent="0.25">
      <c r="A2658" s="1">
        <v>945541</v>
      </c>
      <c r="B2658" s="6" t="s">
        <v>2791</v>
      </c>
      <c r="F2658" s="6" t="s">
        <v>9</v>
      </c>
      <c r="G2658" s="6" t="s">
        <v>34</v>
      </c>
      <c r="H2658" s="9" t="s">
        <v>35</v>
      </c>
      <c r="I2658" s="7" t="str">
        <f t="shared" si="164"/>
        <v>61001002000</v>
      </c>
      <c r="J2658" s="7" t="str">
        <f t="shared" si="165"/>
        <v>Материал по ЕГРН</v>
      </c>
      <c r="K2658" s="7">
        <f>VLOOKUP(J2658,Лист2!A$2:B$4,2,FALSE)</f>
        <v>792</v>
      </c>
      <c r="L2658" s="7" t="str">
        <f t="shared" si="166"/>
        <v>ГОТОВ_ИЗМЕНЕН</v>
      </c>
      <c r="M2658" s="7">
        <f t="shared" si="167"/>
        <v>0</v>
      </c>
    </row>
    <row r="2659" spans="1:13" x14ac:dyDescent="0.25">
      <c r="A2659" s="1">
        <v>945553</v>
      </c>
      <c r="B2659" s="6" t="s">
        <v>2792</v>
      </c>
      <c r="F2659" s="6" t="s">
        <v>9</v>
      </c>
      <c r="G2659" s="6" t="s">
        <v>38</v>
      </c>
      <c r="H2659" s="9" t="s">
        <v>33</v>
      </c>
      <c r="I2659" s="7" t="str">
        <f t="shared" si="164"/>
        <v>61001005000</v>
      </c>
      <c r="J2659" s="7" t="str">
        <f t="shared" si="165"/>
        <v>Материал по ЕГРН</v>
      </c>
      <c r="K2659" s="7">
        <f>VLOOKUP(J2659,Лист2!A$2:B$4,2,FALSE)</f>
        <v>792</v>
      </c>
      <c r="L2659" s="7" t="str">
        <f t="shared" si="166"/>
        <v>ГОТОВ_ИЗМЕНЕН</v>
      </c>
      <c r="M2659" s="7">
        <f t="shared" si="167"/>
        <v>0</v>
      </c>
    </row>
    <row r="2660" spans="1:13" x14ac:dyDescent="0.25">
      <c r="A2660" s="1">
        <v>945565</v>
      </c>
      <c r="B2660" s="6" t="s">
        <v>2793</v>
      </c>
      <c r="F2660" s="6" t="s">
        <v>9</v>
      </c>
      <c r="G2660" s="6" t="s">
        <v>62</v>
      </c>
      <c r="H2660" s="9" t="s">
        <v>63</v>
      </c>
      <c r="I2660" s="7" t="str">
        <f t="shared" si="164"/>
        <v>61001006002</v>
      </c>
      <c r="J2660" s="7" t="str">
        <f t="shared" si="165"/>
        <v>Материал по ЕГРН</v>
      </c>
      <c r="K2660" s="7">
        <f>VLOOKUP(J2660,Лист2!A$2:B$4,2,FALSE)</f>
        <v>792</v>
      </c>
      <c r="L2660" s="7" t="str">
        <f t="shared" si="166"/>
        <v>ГОТОВ_ИЗМЕНЕН</v>
      </c>
      <c r="M2660" s="7">
        <f t="shared" si="167"/>
        <v>0</v>
      </c>
    </row>
    <row r="2661" spans="1:13" x14ac:dyDescent="0.25">
      <c r="A2661" s="1">
        <v>945577</v>
      </c>
      <c r="B2661" s="6" t="s">
        <v>2794</v>
      </c>
      <c r="F2661" s="6" t="s">
        <v>9</v>
      </c>
      <c r="G2661" s="6" t="s">
        <v>180</v>
      </c>
      <c r="H2661" s="9" t="s">
        <v>181</v>
      </c>
      <c r="I2661" s="7" t="str">
        <f t="shared" si="164"/>
        <v>61001009000</v>
      </c>
      <c r="J2661" s="7" t="str">
        <f t="shared" si="165"/>
        <v>Материал по ЕГРН</v>
      </c>
      <c r="K2661" s="7">
        <f>VLOOKUP(J2661,Лист2!A$2:B$4,2,FALSE)</f>
        <v>792</v>
      </c>
      <c r="L2661" s="7" t="str">
        <f t="shared" si="166"/>
        <v>ГОТОВ_ИЗМЕНЕН</v>
      </c>
      <c r="M2661" s="7">
        <f t="shared" si="167"/>
        <v>0</v>
      </c>
    </row>
    <row r="2662" spans="1:13" x14ac:dyDescent="0.25">
      <c r="A2662" s="1">
        <v>945589</v>
      </c>
      <c r="B2662" s="6" t="s">
        <v>2795</v>
      </c>
      <c r="F2662" s="6" t="s">
        <v>9</v>
      </c>
      <c r="G2662" s="6" t="s">
        <v>10</v>
      </c>
      <c r="H2662" s="9" t="s">
        <v>11</v>
      </c>
      <c r="I2662" s="7" t="str">
        <f t="shared" si="164"/>
        <v>61001003000</v>
      </c>
      <c r="J2662" s="7" t="str">
        <f t="shared" si="165"/>
        <v>Материал по ЕГРН</v>
      </c>
      <c r="K2662" s="7">
        <f>VLOOKUP(J2662,Лист2!A$2:B$4,2,FALSE)</f>
        <v>792</v>
      </c>
      <c r="L2662" s="7" t="str">
        <f t="shared" si="166"/>
        <v>ГОТОВ_ИЗМЕНЕН</v>
      </c>
      <c r="M2662" s="7">
        <f t="shared" si="167"/>
        <v>0</v>
      </c>
    </row>
    <row r="2663" spans="1:13" x14ac:dyDescent="0.25">
      <c r="A2663" s="1">
        <v>945601</v>
      </c>
      <c r="B2663" s="6" t="s">
        <v>2796</v>
      </c>
      <c r="F2663" s="6" t="s">
        <v>9</v>
      </c>
      <c r="G2663" s="6" t="s">
        <v>34</v>
      </c>
      <c r="H2663" s="9" t="s">
        <v>35</v>
      </c>
      <c r="I2663" s="7" t="str">
        <f t="shared" si="164"/>
        <v>61001002000</v>
      </c>
      <c r="J2663" s="7" t="str">
        <f t="shared" si="165"/>
        <v>Материал по ЕГРН</v>
      </c>
      <c r="K2663" s="7">
        <f>VLOOKUP(J2663,Лист2!A$2:B$4,2,FALSE)</f>
        <v>792</v>
      </c>
      <c r="L2663" s="7" t="str">
        <f t="shared" si="166"/>
        <v>ГОТОВ_ИЗМЕНЕН</v>
      </c>
      <c r="M2663" s="7">
        <f t="shared" si="167"/>
        <v>0</v>
      </c>
    </row>
    <row r="2664" spans="1:13" x14ac:dyDescent="0.25">
      <c r="A2664" s="1">
        <v>945613</v>
      </c>
      <c r="B2664" s="6" t="s">
        <v>2797</v>
      </c>
      <c r="F2664" s="6" t="s">
        <v>9</v>
      </c>
      <c r="G2664" s="6" t="s">
        <v>1396</v>
      </c>
      <c r="H2664" s="9" t="s">
        <v>2798</v>
      </c>
      <c r="I2664" s="7" t="str">
        <f t="shared" si="164"/>
        <v>61001006001</v>
      </c>
      <c r="J2664" s="7" t="str">
        <f t="shared" si="165"/>
        <v>Материал по ЕГРН</v>
      </c>
      <c r="K2664" s="7">
        <f>VLOOKUP(J2664,Лист2!A$2:B$4,2,FALSE)</f>
        <v>792</v>
      </c>
      <c r="L2664" s="7" t="str">
        <f t="shared" si="166"/>
        <v>ГОТОВ_ИЗМЕНЕН</v>
      </c>
      <c r="M2664" s="7">
        <f t="shared" si="167"/>
        <v>0</v>
      </c>
    </row>
    <row r="2665" spans="1:13" x14ac:dyDescent="0.25">
      <c r="A2665" s="1">
        <v>945625</v>
      </c>
      <c r="B2665" s="6" t="s">
        <v>2799</v>
      </c>
      <c r="F2665" s="6" t="s">
        <v>9</v>
      </c>
      <c r="G2665" s="6" t="s">
        <v>90</v>
      </c>
      <c r="H2665" s="9" t="s">
        <v>12</v>
      </c>
      <c r="I2665" s="7" t="str">
        <f t="shared" si="164"/>
        <v>61001008000</v>
      </c>
      <c r="J2665" s="7" t="str">
        <f t="shared" si="165"/>
        <v>Материал по ЕГРН</v>
      </c>
      <c r="K2665" s="7">
        <f>VLOOKUP(J2665,Лист2!A$2:B$4,2,FALSE)</f>
        <v>792</v>
      </c>
      <c r="L2665" s="7" t="str">
        <f t="shared" si="166"/>
        <v>ГОТОВ_ИЗМЕНЕН</v>
      </c>
      <c r="M2665" s="7">
        <f t="shared" si="167"/>
        <v>0</v>
      </c>
    </row>
    <row r="2666" spans="1:13" x14ac:dyDescent="0.25">
      <c r="A2666" s="1">
        <v>945637</v>
      </c>
      <c r="B2666" s="6" t="s">
        <v>2800</v>
      </c>
      <c r="F2666" s="6" t="s">
        <v>9</v>
      </c>
      <c r="G2666" s="6" t="s">
        <v>62</v>
      </c>
      <c r="H2666" s="9" t="s">
        <v>63</v>
      </c>
      <c r="I2666" s="7" t="str">
        <f t="shared" si="164"/>
        <v>61001006002</v>
      </c>
      <c r="J2666" s="7" t="str">
        <f t="shared" si="165"/>
        <v>Материал по ЕГРН</v>
      </c>
      <c r="K2666" s="7">
        <f>VLOOKUP(J2666,Лист2!A$2:B$4,2,FALSE)</f>
        <v>792</v>
      </c>
      <c r="L2666" s="7" t="str">
        <f t="shared" si="166"/>
        <v>ГОТОВ_ИЗМЕНЕН</v>
      </c>
      <c r="M2666" s="7">
        <f t="shared" si="167"/>
        <v>0</v>
      </c>
    </row>
    <row r="2667" spans="1:13" x14ac:dyDescent="0.25">
      <c r="A2667" s="1">
        <v>945649</v>
      </c>
      <c r="B2667" s="6" t="s">
        <v>2801</v>
      </c>
      <c r="F2667" s="6" t="s">
        <v>9</v>
      </c>
      <c r="G2667" s="6" t="s">
        <v>34</v>
      </c>
      <c r="H2667" s="9" t="s">
        <v>35</v>
      </c>
      <c r="I2667" s="7" t="str">
        <f t="shared" si="164"/>
        <v>61001002000</v>
      </c>
      <c r="J2667" s="7" t="str">
        <f t="shared" si="165"/>
        <v>Материал по ЕГРН</v>
      </c>
      <c r="K2667" s="7">
        <f>VLOOKUP(J2667,Лист2!A$2:B$4,2,FALSE)</f>
        <v>792</v>
      </c>
      <c r="L2667" s="7" t="str">
        <f t="shared" si="166"/>
        <v>ГОТОВ_ИЗМЕНЕН</v>
      </c>
      <c r="M2667" s="7">
        <f t="shared" si="167"/>
        <v>0</v>
      </c>
    </row>
    <row r="2668" spans="1:13" x14ac:dyDescent="0.25">
      <c r="A2668" s="1">
        <v>945661</v>
      </c>
      <c r="B2668" s="6" t="s">
        <v>2802</v>
      </c>
      <c r="F2668" s="6" t="s">
        <v>9</v>
      </c>
      <c r="G2668" s="6" t="s">
        <v>34</v>
      </c>
      <c r="H2668" s="9" t="s">
        <v>35</v>
      </c>
      <c r="I2668" s="7" t="str">
        <f t="shared" si="164"/>
        <v>61001002000</v>
      </c>
      <c r="J2668" s="7" t="str">
        <f t="shared" si="165"/>
        <v>Материал по ЕГРН</v>
      </c>
      <c r="K2668" s="7">
        <f>VLOOKUP(J2668,Лист2!A$2:B$4,2,FALSE)</f>
        <v>792</v>
      </c>
      <c r="L2668" s="7" t="str">
        <f t="shared" si="166"/>
        <v>ГОТОВ_ИЗМЕНЕН</v>
      </c>
      <c r="M2668" s="7">
        <f t="shared" si="167"/>
        <v>0</v>
      </c>
    </row>
    <row r="2669" spans="1:13" x14ac:dyDescent="0.25">
      <c r="A2669" s="1">
        <v>945673</v>
      </c>
      <c r="B2669" s="6" t="s">
        <v>2803</v>
      </c>
      <c r="F2669" s="6" t="s">
        <v>9</v>
      </c>
      <c r="G2669" s="6" t="s">
        <v>34</v>
      </c>
      <c r="H2669" s="9" t="s">
        <v>35</v>
      </c>
      <c r="I2669" s="7" t="str">
        <f t="shared" si="164"/>
        <v>61001002000</v>
      </c>
      <c r="J2669" s="7" t="str">
        <f t="shared" si="165"/>
        <v>Материал по ЕГРН</v>
      </c>
      <c r="K2669" s="7">
        <f>VLOOKUP(J2669,Лист2!A$2:B$4,2,FALSE)</f>
        <v>792</v>
      </c>
      <c r="L2669" s="7" t="str">
        <f t="shared" si="166"/>
        <v>ГОТОВ_ИЗМЕНЕН</v>
      </c>
      <c r="M2669" s="7">
        <f t="shared" si="167"/>
        <v>0</v>
      </c>
    </row>
    <row r="2670" spans="1:13" x14ac:dyDescent="0.25">
      <c r="A2670" s="1">
        <v>945685</v>
      </c>
      <c r="B2670" s="6" t="s">
        <v>2804</v>
      </c>
      <c r="F2670" s="6" t="s">
        <v>9</v>
      </c>
      <c r="G2670" s="6" t="s">
        <v>62</v>
      </c>
      <c r="H2670" s="9" t="s">
        <v>63</v>
      </c>
      <c r="I2670" s="7" t="str">
        <f t="shared" si="164"/>
        <v>61001006002</v>
      </c>
      <c r="J2670" s="7" t="str">
        <f t="shared" si="165"/>
        <v>Материал по ЕГРН</v>
      </c>
      <c r="K2670" s="7">
        <f>VLOOKUP(J2670,Лист2!A$2:B$4,2,FALSE)</f>
        <v>792</v>
      </c>
      <c r="L2670" s="7" t="str">
        <f t="shared" si="166"/>
        <v>ГОТОВ_ИЗМЕНЕН</v>
      </c>
      <c r="M2670" s="7">
        <f t="shared" si="167"/>
        <v>0</v>
      </c>
    </row>
    <row r="2671" spans="1:13" x14ac:dyDescent="0.25">
      <c r="A2671" s="1">
        <v>945697</v>
      </c>
      <c r="B2671" s="6" t="s">
        <v>2805</v>
      </c>
      <c r="F2671" s="6" t="s">
        <v>9</v>
      </c>
      <c r="G2671" s="6" t="s">
        <v>804</v>
      </c>
      <c r="H2671" s="9" t="s">
        <v>805</v>
      </c>
      <c r="I2671" s="7" t="str">
        <f t="shared" si="164"/>
        <v>61001003000</v>
      </c>
      <c r="J2671" s="7" t="str">
        <f t="shared" si="165"/>
        <v>Смешанные по допущению</v>
      </c>
      <c r="K2671" s="7">
        <f>VLOOKUP(J2671,Лист2!A$2:B$4,2,FALSE)</f>
        <v>793</v>
      </c>
      <c r="L2671" s="7" t="str">
        <f t="shared" si="166"/>
        <v>ГОТОВ_ИЗМЕНЕН</v>
      </c>
      <c r="M2671" s="7">
        <f t="shared" si="167"/>
        <v>0</v>
      </c>
    </row>
    <row r="2672" spans="1:13" x14ac:dyDescent="0.25">
      <c r="A2672" s="1">
        <v>945709</v>
      </c>
      <c r="B2672" s="6" t="s">
        <v>2806</v>
      </c>
      <c r="F2672" s="6" t="s">
        <v>9</v>
      </c>
      <c r="G2672" s="6" t="s">
        <v>62</v>
      </c>
      <c r="H2672" s="9" t="s">
        <v>63</v>
      </c>
      <c r="I2672" s="7" t="str">
        <f t="shared" si="164"/>
        <v>61001006002</v>
      </c>
      <c r="J2672" s="7" t="str">
        <f t="shared" si="165"/>
        <v>Материал по ЕГРН</v>
      </c>
      <c r="K2672" s="7">
        <f>VLOOKUP(J2672,Лист2!A$2:B$4,2,FALSE)</f>
        <v>792</v>
      </c>
      <c r="L2672" s="7" t="str">
        <f t="shared" si="166"/>
        <v>ГОТОВ_ИЗМЕНЕН</v>
      </c>
      <c r="M2672" s="7">
        <f t="shared" si="167"/>
        <v>0</v>
      </c>
    </row>
    <row r="2673" spans="1:13" x14ac:dyDescent="0.25">
      <c r="A2673" s="1">
        <v>945721</v>
      </c>
      <c r="B2673" s="6" t="s">
        <v>2807</v>
      </c>
      <c r="F2673" s="6" t="s">
        <v>9</v>
      </c>
      <c r="G2673" s="6" t="s">
        <v>34</v>
      </c>
      <c r="H2673" s="9" t="s">
        <v>35</v>
      </c>
      <c r="I2673" s="7" t="str">
        <f t="shared" si="164"/>
        <v>61001002000</v>
      </c>
      <c r="J2673" s="7" t="str">
        <f t="shared" si="165"/>
        <v>Материал по ЕГРН</v>
      </c>
      <c r="K2673" s="7">
        <f>VLOOKUP(J2673,Лист2!A$2:B$4,2,FALSE)</f>
        <v>792</v>
      </c>
      <c r="L2673" s="7" t="str">
        <f t="shared" si="166"/>
        <v>ГОТОВ_ИЗМЕНЕН</v>
      </c>
      <c r="M2673" s="7">
        <f t="shared" si="167"/>
        <v>0</v>
      </c>
    </row>
    <row r="2674" spans="1:13" x14ac:dyDescent="0.25">
      <c r="A2674" s="1">
        <v>945733</v>
      </c>
      <c r="B2674" s="6" t="s">
        <v>2808</v>
      </c>
      <c r="F2674" s="6" t="s">
        <v>9</v>
      </c>
      <c r="G2674" s="6" t="s">
        <v>59</v>
      </c>
      <c r="H2674" s="9" t="s">
        <v>60</v>
      </c>
      <c r="I2674" s="7" t="str">
        <f t="shared" si="164"/>
        <v>61001001001</v>
      </c>
      <c r="J2674" s="7" t="str">
        <f t="shared" si="165"/>
        <v>Материал по ЕГРН</v>
      </c>
      <c r="K2674" s="7">
        <f>VLOOKUP(J2674,Лист2!A$2:B$4,2,FALSE)</f>
        <v>792</v>
      </c>
      <c r="L2674" s="7" t="str">
        <f t="shared" si="166"/>
        <v>ГОТОВ_ИЗМЕНЕН</v>
      </c>
      <c r="M2674" s="7">
        <f t="shared" si="167"/>
        <v>0</v>
      </c>
    </row>
    <row r="2675" spans="1:13" x14ac:dyDescent="0.25">
      <c r="A2675" s="1">
        <v>945745</v>
      </c>
      <c r="B2675" s="6" t="s">
        <v>2809</v>
      </c>
      <c r="F2675" s="6" t="s">
        <v>9</v>
      </c>
      <c r="G2675" s="6" t="s">
        <v>38</v>
      </c>
      <c r="H2675" s="9" t="s">
        <v>33</v>
      </c>
      <c r="I2675" s="7" t="str">
        <f t="shared" si="164"/>
        <v>61001005000</v>
      </c>
      <c r="J2675" s="7" t="str">
        <f t="shared" si="165"/>
        <v>Материал по ЕГРН</v>
      </c>
      <c r="K2675" s="7">
        <f>VLOOKUP(J2675,Лист2!A$2:B$4,2,FALSE)</f>
        <v>792</v>
      </c>
      <c r="L2675" s="7" t="str">
        <f t="shared" si="166"/>
        <v>ГОТОВ_ИЗМЕНЕН</v>
      </c>
      <c r="M2675" s="7">
        <f t="shared" si="167"/>
        <v>0</v>
      </c>
    </row>
    <row r="2676" spans="1:13" x14ac:dyDescent="0.25">
      <c r="A2676" s="1">
        <v>945757</v>
      </c>
      <c r="B2676" s="6" t="s">
        <v>2810</v>
      </c>
      <c r="F2676" s="6" t="s">
        <v>9</v>
      </c>
      <c r="G2676" s="6" t="s">
        <v>38</v>
      </c>
      <c r="H2676" s="9" t="s">
        <v>33</v>
      </c>
      <c r="I2676" s="7" t="str">
        <f t="shared" si="164"/>
        <v>61001005000</v>
      </c>
      <c r="J2676" s="7" t="str">
        <f t="shared" si="165"/>
        <v>Материал по ЕГРН</v>
      </c>
      <c r="K2676" s="7">
        <f>VLOOKUP(J2676,Лист2!A$2:B$4,2,FALSE)</f>
        <v>792</v>
      </c>
      <c r="L2676" s="7" t="str">
        <f t="shared" si="166"/>
        <v>ГОТОВ_ИЗМЕНЕН</v>
      </c>
      <c r="M2676" s="7">
        <f t="shared" si="167"/>
        <v>0</v>
      </c>
    </row>
    <row r="2677" spans="1:13" x14ac:dyDescent="0.25">
      <c r="A2677" s="1">
        <v>945769</v>
      </c>
      <c r="B2677" s="6" t="s">
        <v>2811</v>
      </c>
      <c r="F2677" s="6" t="s">
        <v>9</v>
      </c>
      <c r="I2677" s="7" t="str">
        <f t="shared" si="164"/>
        <v>61001005000</v>
      </c>
      <c r="J2677" s="7" t="str">
        <f t="shared" si="165"/>
        <v>Прочие по допущению</v>
      </c>
      <c r="K2677" s="7">
        <f>VLOOKUP(J2677,Лист2!A$2:B$4,2,FALSE)</f>
        <v>794</v>
      </c>
      <c r="L2677" s="7" t="str">
        <f t="shared" si="166"/>
        <v>ГОТОВ_ИЗМЕНЕН</v>
      </c>
      <c r="M2677" s="7">
        <f t="shared" si="167"/>
        <v>0</v>
      </c>
    </row>
    <row r="2678" spans="1:13" x14ac:dyDescent="0.25">
      <c r="A2678" s="1">
        <v>199575</v>
      </c>
      <c r="B2678" s="6" t="s">
        <v>2812</v>
      </c>
      <c r="C2678" s="9" t="s">
        <v>60</v>
      </c>
      <c r="D2678" s="6" t="s">
        <v>20</v>
      </c>
      <c r="E2678" s="6" t="s">
        <v>37</v>
      </c>
      <c r="F2678" s="6" t="s">
        <v>9</v>
      </c>
      <c r="G2678" s="6" t="s">
        <v>59</v>
      </c>
      <c r="H2678" s="9" t="s">
        <v>60</v>
      </c>
      <c r="I2678" s="7" t="str">
        <f t="shared" si="164"/>
        <v>61001001001</v>
      </c>
      <c r="J2678" s="7" t="str">
        <f t="shared" si="165"/>
        <v>Материал по ЕГРН</v>
      </c>
      <c r="K2678" s="7">
        <f>VLOOKUP(J2678,Лист2!A$2:B$4,2,FALSE)</f>
        <v>792</v>
      </c>
      <c r="L2678" s="7" t="str">
        <f t="shared" si="166"/>
        <v>ГОТОВ</v>
      </c>
      <c r="M2678" s="7" t="str">
        <f t="shared" si="167"/>
        <v>61001001001</v>
      </c>
    </row>
    <row r="2679" spans="1:13" x14ac:dyDescent="0.25">
      <c r="A2679" s="1">
        <v>348861</v>
      </c>
      <c r="B2679" s="6" t="s">
        <v>2813</v>
      </c>
      <c r="C2679" s="9" t="s">
        <v>12</v>
      </c>
      <c r="D2679" s="6" t="s">
        <v>20</v>
      </c>
      <c r="E2679" s="6" t="s">
        <v>37</v>
      </c>
      <c r="F2679" s="6" t="s">
        <v>9</v>
      </c>
      <c r="G2679" s="6" t="s">
        <v>90</v>
      </c>
      <c r="H2679" s="9" t="s">
        <v>12</v>
      </c>
      <c r="I2679" s="7" t="str">
        <f t="shared" si="164"/>
        <v>61001008000</v>
      </c>
      <c r="J2679" s="7" t="str">
        <f t="shared" si="165"/>
        <v>Материал по ЕГРН</v>
      </c>
      <c r="K2679" s="7">
        <f>VLOOKUP(J2679,Лист2!A$2:B$4,2,FALSE)</f>
        <v>792</v>
      </c>
      <c r="L2679" s="7" t="str">
        <f t="shared" si="166"/>
        <v>ГОТОВ</v>
      </c>
      <c r="M2679" s="7" t="str">
        <f t="shared" si="167"/>
        <v>61001008000</v>
      </c>
    </row>
    <row r="2680" spans="1:13" x14ac:dyDescent="0.25">
      <c r="A2680" s="1">
        <v>944280</v>
      </c>
      <c r="B2680" s="6" t="s">
        <v>2814</v>
      </c>
      <c r="F2680" s="6" t="s">
        <v>9</v>
      </c>
      <c r="G2680" s="6" t="s">
        <v>38</v>
      </c>
      <c r="H2680" s="9" t="s">
        <v>33</v>
      </c>
      <c r="I2680" s="7" t="str">
        <f t="shared" si="164"/>
        <v>61001005000</v>
      </c>
      <c r="J2680" s="7" t="str">
        <f t="shared" si="165"/>
        <v>Материал по ЕГРН</v>
      </c>
      <c r="K2680" s="7">
        <f>VLOOKUP(J2680,Лист2!A$2:B$4,2,FALSE)</f>
        <v>792</v>
      </c>
      <c r="L2680" s="7" t="str">
        <f t="shared" si="166"/>
        <v>ГОТОВ_ИЗМЕНЕН</v>
      </c>
      <c r="M2680" s="7">
        <f t="shared" si="167"/>
        <v>0</v>
      </c>
    </row>
    <row r="2681" spans="1:13" x14ac:dyDescent="0.25">
      <c r="A2681" s="1">
        <v>944292</v>
      </c>
      <c r="B2681" s="6" t="s">
        <v>2815</v>
      </c>
      <c r="F2681" s="6" t="s">
        <v>9</v>
      </c>
      <c r="G2681" s="6" t="s">
        <v>59</v>
      </c>
      <c r="H2681" s="9" t="s">
        <v>60</v>
      </c>
      <c r="I2681" s="7" t="str">
        <f t="shared" si="164"/>
        <v>61001001001</v>
      </c>
      <c r="J2681" s="7" t="str">
        <f t="shared" si="165"/>
        <v>Материал по ЕГРН</v>
      </c>
      <c r="K2681" s="7">
        <f>VLOOKUP(J2681,Лист2!A$2:B$4,2,FALSE)</f>
        <v>792</v>
      </c>
      <c r="L2681" s="7" t="str">
        <f t="shared" si="166"/>
        <v>ГОТОВ_ИЗМЕНЕН</v>
      </c>
      <c r="M2681" s="7">
        <f t="shared" si="167"/>
        <v>0</v>
      </c>
    </row>
    <row r="2682" spans="1:13" x14ac:dyDescent="0.25">
      <c r="A2682" s="1">
        <v>944304</v>
      </c>
      <c r="B2682" s="6" t="s">
        <v>2816</v>
      </c>
      <c r="F2682" s="6" t="s">
        <v>9</v>
      </c>
      <c r="G2682" s="6" t="s">
        <v>38</v>
      </c>
      <c r="H2682" s="9" t="s">
        <v>33</v>
      </c>
      <c r="I2682" s="7" t="str">
        <f t="shared" si="164"/>
        <v>61001005000</v>
      </c>
      <c r="J2682" s="7" t="str">
        <f t="shared" si="165"/>
        <v>Материал по ЕГРН</v>
      </c>
      <c r="K2682" s="7">
        <f>VLOOKUP(J2682,Лист2!A$2:B$4,2,FALSE)</f>
        <v>792</v>
      </c>
      <c r="L2682" s="7" t="str">
        <f t="shared" si="166"/>
        <v>ГОТОВ_ИЗМЕНЕН</v>
      </c>
      <c r="M2682" s="7">
        <f t="shared" si="167"/>
        <v>0</v>
      </c>
    </row>
    <row r="2683" spans="1:13" x14ac:dyDescent="0.25">
      <c r="A2683" s="1">
        <v>944316</v>
      </c>
      <c r="B2683" s="6" t="s">
        <v>2817</v>
      </c>
      <c r="F2683" s="6" t="s">
        <v>9</v>
      </c>
      <c r="G2683" s="6" t="s">
        <v>62</v>
      </c>
      <c r="H2683" s="9" t="s">
        <v>63</v>
      </c>
      <c r="I2683" s="7" t="str">
        <f t="shared" si="164"/>
        <v>61001006002</v>
      </c>
      <c r="J2683" s="7" t="str">
        <f t="shared" si="165"/>
        <v>Материал по ЕГРН</v>
      </c>
      <c r="K2683" s="7">
        <f>VLOOKUP(J2683,Лист2!A$2:B$4,2,FALSE)</f>
        <v>792</v>
      </c>
      <c r="L2683" s="7" t="str">
        <f t="shared" si="166"/>
        <v>ГОТОВ_ИЗМЕНЕН</v>
      </c>
      <c r="M2683" s="7">
        <f t="shared" si="167"/>
        <v>0</v>
      </c>
    </row>
    <row r="2684" spans="1:13" x14ac:dyDescent="0.25">
      <c r="A2684" s="1">
        <v>944328</v>
      </c>
      <c r="B2684" s="6" t="s">
        <v>2818</v>
      </c>
      <c r="F2684" s="6" t="s">
        <v>9</v>
      </c>
      <c r="G2684" s="6" t="s">
        <v>62</v>
      </c>
      <c r="H2684" s="9" t="s">
        <v>63</v>
      </c>
      <c r="I2684" s="7" t="str">
        <f t="shared" si="164"/>
        <v>61001006002</v>
      </c>
      <c r="J2684" s="7" t="str">
        <f t="shared" si="165"/>
        <v>Материал по ЕГРН</v>
      </c>
      <c r="K2684" s="7">
        <f>VLOOKUP(J2684,Лист2!A$2:B$4,2,FALSE)</f>
        <v>792</v>
      </c>
      <c r="L2684" s="7" t="str">
        <f t="shared" si="166"/>
        <v>ГОТОВ_ИЗМЕНЕН</v>
      </c>
      <c r="M2684" s="7">
        <f t="shared" si="167"/>
        <v>0</v>
      </c>
    </row>
    <row r="2685" spans="1:13" x14ac:dyDescent="0.25">
      <c r="A2685" s="1">
        <v>944340</v>
      </c>
      <c r="B2685" s="6" t="s">
        <v>2819</v>
      </c>
      <c r="F2685" s="6" t="s">
        <v>9</v>
      </c>
      <c r="G2685" s="6" t="s">
        <v>90</v>
      </c>
      <c r="H2685" s="9" t="s">
        <v>12</v>
      </c>
      <c r="I2685" s="7" t="str">
        <f t="shared" si="164"/>
        <v>61001008000</v>
      </c>
      <c r="J2685" s="7" t="str">
        <f t="shared" si="165"/>
        <v>Материал по ЕГРН</v>
      </c>
      <c r="K2685" s="7">
        <f>VLOOKUP(J2685,Лист2!A$2:B$4,2,FALSE)</f>
        <v>792</v>
      </c>
      <c r="L2685" s="7" t="str">
        <f t="shared" si="166"/>
        <v>ГОТОВ_ИЗМЕНЕН</v>
      </c>
      <c r="M2685" s="7">
        <f t="shared" si="167"/>
        <v>0</v>
      </c>
    </row>
    <row r="2686" spans="1:13" x14ac:dyDescent="0.25">
      <c r="A2686" s="1">
        <v>944352</v>
      </c>
      <c r="B2686" s="6" t="s">
        <v>2820</v>
      </c>
      <c r="F2686" s="6" t="s">
        <v>9</v>
      </c>
      <c r="G2686" s="6" t="s">
        <v>62</v>
      </c>
      <c r="H2686" s="9" t="s">
        <v>63</v>
      </c>
      <c r="I2686" s="7" t="str">
        <f t="shared" si="164"/>
        <v>61001006002</v>
      </c>
      <c r="J2686" s="7" t="str">
        <f t="shared" si="165"/>
        <v>Материал по ЕГРН</v>
      </c>
      <c r="K2686" s="7">
        <f>VLOOKUP(J2686,Лист2!A$2:B$4,2,FALSE)</f>
        <v>792</v>
      </c>
      <c r="L2686" s="7" t="str">
        <f t="shared" si="166"/>
        <v>ГОТОВ_ИЗМЕНЕН</v>
      </c>
      <c r="M2686" s="7">
        <f t="shared" si="167"/>
        <v>0</v>
      </c>
    </row>
    <row r="2687" spans="1:13" x14ac:dyDescent="0.25">
      <c r="A2687" s="1">
        <v>944364</v>
      </c>
      <c r="B2687" s="6" t="s">
        <v>2821</v>
      </c>
      <c r="F2687" s="6" t="s">
        <v>9</v>
      </c>
      <c r="G2687" s="6" t="s">
        <v>38</v>
      </c>
      <c r="H2687" s="9" t="s">
        <v>33</v>
      </c>
      <c r="I2687" s="7" t="str">
        <f t="shared" si="164"/>
        <v>61001005000</v>
      </c>
      <c r="J2687" s="7" t="str">
        <f t="shared" si="165"/>
        <v>Материал по ЕГРН</v>
      </c>
      <c r="K2687" s="7">
        <f>VLOOKUP(J2687,Лист2!A$2:B$4,2,FALSE)</f>
        <v>792</v>
      </c>
      <c r="L2687" s="7" t="str">
        <f t="shared" si="166"/>
        <v>ГОТОВ_ИЗМЕНЕН</v>
      </c>
      <c r="M2687" s="7">
        <f t="shared" si="167"/>
        <v>0</v>
      </c>
    </row>
    <row r="2688" spans="1:13" x14ac:dyDescent="0.25">
      <c r="A2688" s="1">
        <v>944376</v>
      </c>
      <c r="B2688" s="6" t="s">
        <v>2822</v>
      </c>
      <c r="F2688" s="6" t="s">
        <v>9</v>
      </c>
      <c r="G2688" s="6" t="s">
        <v>34</v>
      </c>
      <c r="H2688" s="9" t="s">
        <v>35</v>
      </c>
      <c r="I2688" s="7" t="str">
        <f t="shared" si="164"/>
        <v>61001002000</v>
      </c>
      <c r="J2688" s="7" t="str">
        <f t="shared" si="165"/>
        <v>Материал по ЕГРН</v>
      </c>
      <c r="K2688" s="7">
        <f>VLOOKUP(J2688,Лист2!A$2:B$4,2,FALSE)</f>
        <v>792</v>
      </c>
      <c r="L2688" s="7" t="str">
        <f t="shared" si="166"/>
        <v>ГОТОВ_ИЗМЕНЕН</v>
      </c>
      <c r="M2688" s="7">
        <f t="shared" si="167"/>
        <v>0</v>
      </c>
    </row>
    <row r="2689" spans="1:13" x14ac:dyDescent="0.25">
      <c r="A2689" s="1">
        <v>944388</v>
      </c>
      <c r="B2689" s="6" t="s">
        <v>2823</v>
      </c>
      <c r="F2689" s="6" t="s">
        <v>9</v>
      </c>
      <c r="G2689" s="6" t="s">
        <v>34</v>
      </c>
      <c r="H2689" s="9" t="s">
        <v>35</v>
      </c>
      <c r="I2689" s="7" t="str">
        <f t="shared" si="164"/>
        <v>61001002000</v>
      </c>
      <c r="J2689" s="7" t="str">
        <f t="shared" si="165"/>
        <v>Материал по ЕГРН</v>
      </c>
      <c r="K2689" s="7">
        <f>VLOOKUP(J2689,Лист2!A$2:B$4,2,FALSE)</f>
        <v>792</v>
      </c>
      <c r="L2689" s="7" t="str">
        <f t="shared" si="166"/>
        <v>ГОТОВ_ИЗМЕНЕН</v>
      </c>
      <c r="M2689" s="7">
        <f t="shared" si="167"/>
        <v>0</v>
      </c>
    </row>
    <row r="2690" spans="1:13" x14ac:dyDescent="0.25">
      <c r="A2690" s="1">
        <v>944400</v>
      </c>
      <c r="B2690" s="6" t="s">
        <v>2824</v>
      </c>
      <c r="F2690" s="6" t="s">
        <v>9</v>
      </c>
      <c r="G2690" s="6" t="s">
        <v>38</v>
      </c>
      <c r="H2690" s="9" t="s">
        <v>33</v>
      </c>
      <c r="I2690" s="7" t="str">
        <f t="shared" si="164"/>
        <v>61001005000</v>
      </c>
      <c r="J2690" s="7" t="str">
        <f t="shared" si="165"/>
        <v>Материал по ЕГРН</v>
      </c>
      <c r="K2690" s="7">
        <f>VLOOKUP(J2690,Лист2!A$2:B$4,2,FALSE)</f>
        <v>792</v>
      </c>
      <c r="L2690" s="7" t="str">
        <f t="shared" si="166"/>
        <v>ГОТОВ_ИЗМЕНЕН</v>
      </c>
      <c r="M2690" s="7">
        <f t="shared" si="167"/>
        <v>0</v>
      </c>
    </row>
    <row r="2691" spans="1:13" x14ac:dyDescent="0.25">
      <c r="A2691" s="1">
        <v>944412</v>
      </c>
      <c r="B2691" s="6" t="s">
        <v>2825</v>
      </c>
      <c r="F2691" s="6" t="s">
        <v>9</v>
      </c>
      <c r="G2691" s="6" t="s">
        <v>38</v>
      </c>
      <c r="H2691" s="9" t="s">
        <v>33</v>
      </c>
      <c r="I2691" s="7" t="str">
        <f t="shared" si="164"/>
        <v>61001005000</v>
      </c>
      <c r="J2691" s="7" t="str">
        <f t="shared" si="165"/>
        <v>Материал по ЕГРН</v>
      </c>
      <c r="K2691" s="7">
        <f>VLOOKUP(J2691,Лист2!A$2:B$4,2,FALSE)</f>
        <v>792</v>
      </c>
      <c r="L2691" s="7" t="str">
        <f t="shared" si="166"/>
        <v>ГОТОВ_ИЗМЕНЕН</v>
      </c>
      <c r="M2691" s="7">
        <f t="shared" si="167"/>
        <v>0</v>
      </c>
    </row>
    <row r="2692" spans="1:13" x14ac:dyDescent="0.25">
      <c r="A2692" s="1">
        <v>944424</v>
      </c>
      <c r="B2692" s="6" t="s">
        <v>2826</v>
      </c>
      <c r="F2692" s="6" t="s">
        <v>9</v>
      </c>
      <c r="G2692" s="6" t="s">
        <v>38</v>
      </c>
      <c r="H2692" s="9" t="s">
        <v>33</v>
      </c>
      <c r="I2692" s="7" t="str">
        <f t="shared" si="164"/>
        <v>61001005000</v>
      </c>
      <c r="J2692" s="7" t="str">
        <f t="shared" si="165"/>
        <v>Материал по ЕГРН</v>
      </c>
      <c r="K2692" s="7">
        <f>VLOOKUP(J2692,Лист2!A$2:B$4,2,FALSE)</f>
        <v>792</v>
      </c>
      <c r="L2692" s="7" t="str">
        <f t="shared" si="166"/>
        <v>ГОТОВ_ИЗМЕНЕН</v>
      </c>
      <c r="M2692" s="7">
        <f t="shared" si="167"/>
        <v>0</v>
      </c>
    </row>
    <row r="2693" spans="1:13" x14ac:dyDescent="0.25">
      <c r="A2693" s="1">
        <v>944436</v>
      </c>
      <c r="B2693" s="6" t="s">
        <v>2827</v>
      </c>
      <c r="F2693" s="6" t="s">
        <v>9</v>
      </c>
      <c r="G2693" s="6" t="s">
        <v>1371</v>
      </c>
      <c r="H2693" s="9" t="s">
        <v>1372</v>
      </c>
      <c r="I2693" s="7" t="str">
        <f t="shared" ref="I2693:I2756" si="168">IF(LEN(H2693)=11,H2693,IF(LEN(H2693)=0,"61001005000","61001003000"))</f>
        <v>61001007002</v>
      </c>
      <c r="J2693" s="7" t="str">
        <f t="shared" ref="J2693:J2756" si="169">IF(LEN(H2693)=11,"Материал по ЕГРН",IF(LEN(H2693)=0,"Прочие по допущению","Смешанные по допущению"))</f>
        <v>Материал по ЕГРН</v>
      </c>
      <c r="K2693" s="7">
        <f>VLOOKUP(J2693,Лист2!A$2:B$4,2,FALSE)</f>
        <v>792</v>
      </c>
      <c r="L2693" s="7" t="str">
        <f t="shared" ref="L2693:L2756" si="170">IF(I2693=C2693,"ГОТОВ","ГОТОВ_ИЗМЕНЕН")</f>
        <v>ГОТОВ_ИЗМЕНЕН</v>
      </c>
      <c r="M2693" s="7">
        <f t="shared" ref="M2693:M2756" si="171">C2693</f>
        <v>0</v>
      </c>
    </row>
    <row r="2694" spans="1:13" x14ac:dyDescent="0.25">
      <c r="A2694" s="1">
        <v>944448</v>
      </c>
      <c r="B2694" s="6" t="s">
        <v>2828</v>
      </c>
      <c r="F2694" s="6" t="s">
        <v>9</v>
      </c>
      <c r="G2694" s="6" t="s">
        <v>38</v>
      </c>
      <c r="H2694" s="9" t="s">
        <v>33</v>
      </c>
      <c r="I2694" s="7" t="str">
        <f t="shared" si="168"/>
        <v>61001005000</v>
      </c>
      <c r="J2694" s="7" t="str">
        <f t="shared" si="169"/>
        <v>Материал по ЕГРН</v>
      </c>
      <c r="K2694" s="7">
        <f>VLOOKUP(J2694,Лист2!A$2:B$4,2,FALSE)</f>
        <v>792</v>
      </c>
      <c r="L2694" s="7" t="str">
        <f t="shared" si="170"/>
        <v>ГОТОВ_ИЗМЕНЕН</v>
      </c>
      <c r="M2694" s="7">
        <f t="shared" si="171"/>
        <v>0</v>
      </c>
    </row>
    <row r="2695" spans="1:13" x14ac:dyDescent="0.25">
      <c r="A2695" s="1">
        <v>944460</v>
      </c>
      <c r="B2695" s="6" t="s">
        <v>2829</v>
      </c>
      <c r="F2695" s="6" t="s">
        <v>9</v>
      </c>
      <c r="G2695" s="6" t="s">
        <v>38</v>
      </c>
      <c r="H2695" s="9" t="s">
        <v>33</v>
      </c>
      <c r="I2695" s="7" t="str">
        <f t="shared" si="168"/>
        <v>61001005000</v>
      </c>
      <c r="J2695" s="7" t="str">
        <f t="shared" si="169"/>
        <v>Материал по ЕГРН</v>
      </c>
      <c r="K2695" s="7">
        <f>VLOOKUP(J2695,Лист2!A$2:B$4,2,FALSE)</f>
        <v>792</v>
      </c>
      <c r="L2695" s="7" t="str">
        <f t="shared" si="170"/>
        <v>ГОТОВ_ИЗМЕНЕН</v>
      </c>
      <c r="M2695" s="7">
        <f t="shared" si="171"/>
        <v>0</v>
      </c>
    </row>
    <row r="2696" spans="1:13" x14ac:dyDescent="0.25">
      <c r="A2696" s="1">
        <v>944472</v>
      </c>
      <c r="B2696" s="6" t="s">
        <v>2830</v>
      </c>
      <c r="F2696" s="6" t="s">
        <v>9</v>
      </c>
      <c r="G2696" s="6" t="s">
        <v>73</v>
      </c>
      <c r="H2696" s="9" t="s">
        <v>74</v>
      </c>
      <c r="I2696" s="7" t="str">
        <f t="shared" si="168"/>
        <v>61001006000</v>
      </c>
      <c r="J2696" s="7" t="str">
        <f t="shared" si="169"/>
        <v>Материал по ЕГРН</v>
      </c>
      <c r="K2696" s="7">
        <f>VLOOKUP(J2696,Лист2!A$2:B$4,2,FALSE)</f>
        <v>792</v>
      </c>
      <c r="L2696" s="7" t="str">
        <f t="shared" si="170"/>
        <v>ГОТОВ_ИЗМЕНЕН</v>
      </c>
      <c r="M2696" s="7">
        <f t="shared" si="171"/>
        <v>0</v>
      </c>
    </row>
    <row r="2697" spans="1:13" x14ac:dyDescent="0.25">
      <c r="A2697" s="1">
        <v>944484</v>
      </c>
      <c r="B2697" s="6" t="s">
        <v>2831</v>
      </c>
      <c r="F2697" s="6" t="s">
        <v>9</v>
      </c>
      <c r="G2697" s="6" t="s">
        <v>34</v>
      </c>
      <c r="H2697" s="9" t="s">
        <v>35</v>
      </c>
      <c r="I2697" s="7" t="str">
        <f t="shared" si="168"/>
        <v>61001002000</v>
      </c>
      <c r="J2697" s="7" t="str">
        <f t="shared" si="169"/>
        <v>Материал по ЕГРН</v>
      </c>
      <c r="K2697" s="7">
        <f>VLOOKUP(J2697,Лист2!A$2:B$4,2,FALSE)</f>
        <v>792</v>
      </c>
      <c r="L2697" s="7" t="str">
        <f t="shared" si="170"/>
        <v>ГОТОВ_ИЗМЕНЕН</v>
      </c>
      <c r="M2697" s="7">
        <f t="shared" si="171"/>
        <v>0</v>
      </c>
    </row>
    <row r="2698" spans="1:13" x14ac:dyDescent="0.25">
      <c r="A2698" s="1">
        <v>944496</v>
      </c>
      <c r="B2698" s="6" t="s">
        <v>2832</v>
      </c>
      <c r="F2698" s="6" t="s">
        <v>9</v>
      </c>
      <c r="G2698" s="6" t="s">
        <v>170</v>
      </c>
      <c r="H2698" s="9" t="s">
        <v>171</v>
      </c>
      <c r="I2698" s="7" t="str">
        <f t="shared" si="168"/>
        <v>61001001000</v>
      </c>
      <c r="J2698" s="7" t="str">
        <f t="shared" si="169"/>
        <v>Материал по ЕГРН</v>
      </c>
      <c r="K2698" s="7">
        <f>VLOOKUP(J2698,Лист2!A$2:B$4,2,FALSE)</f>
        <v>792</v>
      </c>
      <c r="L2698" s="7" t="str">
        <f t="shared" si="170"/>
        <v>ГОТОВ_ИЗМЕНЕН</v>
      </c>
      <c r="M2698" s="7">
        <f t="shared" si="171"/>
        <v>0</v>
      </c>
    </row>
    <row r="2699" spans="1:13" x14ac:dyDescent="0.25">
      <c r="A2699" s="1">
        <v>944508</v>
      </c>
      <c r="B2699" s="6" t="s">
        <v>2833</v>
      </c>
      <c r="F2699" s="6" t="s">
        <v>9</v>
      </c>
      <c r="G2699" s="6" t="s">
        <v>38</v>
      </c>
      <c r="H2699" s="9" t="s">
        <v>33</v>
      </c>
      <c r="I2699" s="7" t="str">
        <f t="shared" si="168"/>
        <v>61001005000</v>
      </c>
      <c r="J2699" s="7" t="str">
        <f t="shared" si="169"/>
        <v>Материал по ЕГРН</v>
      </c>
      <c r="K2699" s="7">
        <f>VLOOKUP(J2699,Лист2!A$2:B$4,2,FALSE)</f>
        <v>792</v>
      </c>
      <c r="L2699" s="7" t="str">
        <f t="shared" si="170"/>
        <v>ГОТОВ_ИЗМЕНЕН</v>
      </c>
      <c r="M2699" s="7">
        <f t="shared" si="171"/>
        <v>0</v>
      </c>
    </row>
    <row r="2700" spans="1:13" x14ac:dyDescent="0.25">
      <c r="A2700" s="1">
        <v>944520</v>
      </c>
      <c r="B2700" s="6" t="s">
        <v>2834</v>
      </c>
      <c r="F2700" s="6" t="s">
        <v>9</v>
      </c>
      <c r="G2700" s="6" t="s">
        <v>38</v>
      </c>
      <c r="H2700" s="9" t="s">
        <v>33</v>
      </c>
      <c r="I2700" s="7" t="str">
        <f t="shared" si="168"/>
        <v>61001005000</v>
      </c>
      <c r="J2700" s="7" t="str">
        <f t="shared" si="169"/>
        <v>Материал по ЕГРН</v>
      </c>
      <c r="K2700" s="7">
        <f>VLOOKUP(J2700,Лист2!A$2:B$4,2,FALSE)</f>
        <v>792</v>
      </c>
      <c r="L2700" s="7" t="str">
        <f t="shared" si="170"/>
        <v>ГОТОВ_ИЗМЕНЕН</v>
      </c>
      <c r="M2700" s="7">
        <f t="shared" si="171"/>
        <v>0</v>
      </c>
    </row>
    <row r="2701" spans="1:13" x14ac:dyDescent="0.25">
      <c r="A2701" s="1">
        <v>944532</v>
      </c>
      <c r="B2701" s="6" t="s">
        <v>2835</v>
      </c>
      <c r="F2701" s="6" t="s">
        <v>9</v>
      </c>
      <c r="G2701" s="6" t="s">
        <v>34</v>
      </c>
      <c r="H2701" s="9" t="s">
        <v>35</v>
      </c>
      <c r="I2701" s="7" t="str">
        <f t="shared" si="168"/>
        <v>61001002000</v>
      </c>
      <c r="J2701" s="7" t="str">
        <f t="shared" si="169"/>
        <v>Материал по ЕГРН</v>
      </c>
      <c r="K2701" s="7">
        <f>VLOOKUP(J2701,Лист2!A$2:B$4,2,FALSE)</f>
        <v>792</v>
      </c>
      <c r="L2701" s="7" t="str">
        <f t="shared" si="170"/>
        <v>ГОТОВ_ИЗМЕНЕН</v>
      </c>
      <c r="M2701" s="7">
        <f t="shared" si="171"/>
        <v>0</v>
      </c>
    </row>
    <row r="2702" spans="1:13" x14ac:dyDescent="0.25">
      <c r="A2702" s="1">
        <v>944544</v>
      </c>
      <c r="B2702" s="6" t="s">
        <v>2836</v>
      </c>
      <c r="F2702" s="6" t="s">
        <v>9</v>
      </c>
      <c r="G2702" s="6" t="s">
        <v>10</v>
      </c>
      <c r="H2702" s="9" t="s">
        <v>11</v>
      </c>
      <c r="I2702" s="7" t="str">
        <f t="shared" si="168"/>
        <v>61001003000</v>
      </c>
      <c r="J2702" s="7" t="str">
        <f t="shared" si="169"/>
        <v>Материал по ЕГРН</v>
      </c>
      <c r="K2702" s="7">
        <f>VLOOKUP(J2702,Лист2!A$2:B$4,2,FALSE)</f>
        <v>792</v>
      </c>
      <c r="L2702" s="7" t="str">
        <f t="shared" si="170"/>
        <v>ГОТОВ_ИЗМЕНЕН</v>
      </c>
      <c r="M2702" s="7">
        <f t="shared" si="171"/>
        <v>0</v>
      </c>
    </row>
    <row r="2703" spans="1:13" x14ac:dyDescent="0.25">
      <c r="A2703" s="1">
        <v>944556</v>
      </c>
      <c r="B2703" s="6" t="s">
        <v>2837</v>
      </c>
      <c r="F2703" s="6" t="s">
        <v>9</v>
      </c>
      <c r="G2703" s="6" t="s">
        <v>38</v>
      </c>
      <c r="H2703" s="9" t="s">
        <v>33</v>
      </c>
      <c r="I2703" s="7" t="str">
        <f t="shared" si="168"/>
        <v>61001005000</v>
      </c>
      <c r="J2703" s="7" t="str">
        <f t="shared" si="169"/>
        <v>Материал по ЕГРН</v>
      </c>
      <c r="K2703" s="7">
        <f>VLOOKUP(J2703,Лист2!A$2:B$4,2,FALSE)</f>
        <v>792</v>
      </c>
      <c r="L2703" s="7" t="str">
        <f t="shared" si="170"/>
        <v>ГОТОВ_ИЗМЕНЕН</v>
      </c>
      <c r="M2703" s="7">
        <f t="shared" si="171"/>
        <v>0</v>
      </c>
    </row>
    <row r="2704" spans="1:13" x14ac:dyDescent="0.25">
      <c r="A2704" s="1">
        <v>944568</v>
      </c>
      <c r="B2704" s="6" t="s">
        <v>2838</v>
      </c>
      <c r="F2704" s="6" t="s">
        <v>9</v>
      </c>
      <c r="G2704" s="6" t="s">
        <v>38</v>
      </c>
      <c r="H2704" s="9" t="s">
        <v>33</v>
      </c>
      <c r="I2704" s="7" t="str">
        <f t="shared" si="168"/>
        <v>61001005000</v>
      </c>
      <c r="J2704" s="7" t="str">
        <f t="shared" si="169"/>
        <v>Материал по ЕГРН</v>
      </c>
      <c r="K2704" s="7">
        <f>VLOOKUP(J2704,Лист2!A$2:B$4,2,FALSE)</f>
        <v>792</v>
      </c>
      <c r="L2704" s="7" t="str">
        <f t="shared" si="170"/>
        <v>ГОТОВ_ИЗМЕНЕН</v>
      </c>
      <c r="M2704" s="7">
        <f t="shared" si="171"/>
        <v>0</v>
      </c>
    </row>
    <row r="2705" spans="1:13" x14ac:dyDescent="0.25">
      <c r="A2705" s="1">
        <v>944580</v>
      </c>
      <c r="B2705" s="6" t="s">
        <v>2839</v>
      </c>
      <c r="F2705" s="6" t="s">
        <v>9</v>
      </c>
      <c r="G2705" s="6" t="s">
        <v>59</v>
      </c>
      <c r="H2705" s="9" t="s">
        <v>60</v>
      </c>
      <c r="I2705" s="7" t="str">
        <f t="shared" si="168"/>
        <v>61001001001</v>
      </c>
      <c r="J2705" s="7" t="str">
        <f t="shared" si="169"/>
        <v>Материал по ЕГРН</v>
      </c>
      <c r="K2705" s="7">
        <f>VLOOKUP(J2705,Лист2!A$2:B$4,2,FALSE)</f>
        <v>792</v>
      </c>
      <c r="L2705" s="7" t="str">
        <f t="shared" si="170"/>
        <v>ГОТОВ_ИЗМЕНЕН</v>
      </c>
      <c r="M2705" s="7">
        <f t="shared" si="171"/>
        <v>0</v>
      </c>
    </row>
    <row r="2706" spans="1:13" x14ac:dyDescent="0.25">
      <c r="A2706" s="1">
        <v>944592</v>
      </c>
      <c r="B2706" s="6" t="s">
        <v>2840</v>
      </c>
      <c r="F2706" s="6" t="s">
        <v>9</v>
      </c>
      <c r="G2706" s="6" t="s">
        <v>10</v>
      </c>
      <c r="H2706" s="9" t="s">
        <v>11</v>
      </c>
      <c r="I2706" s="7" t="str">
        <f t="shared" si="168"/>
        <v>61001003000</v>
      </c>
      <c r="J2706" s="7" t="str">
        <f t="shared" si="169"/>
        <v>Материал по ЕГРН</v>
      </c>
      <c r="K2706" s="7">
        <f>VLOOKUP(J2706,Лист2!A$2:B$4,2,FALSE)</f>
        <v>792</v>
      </c>
      <c r="L2706" s="7" t="str">
        <f t="shared" si="170"/>
        <v>ГОТОВ_ИЗМЕНЕН</v>
      </c>
      <c r="M2706" s="7">
        <f t="shared" si="171"/>
        <v>0</v>
      </c>
    </row>
    <row r="2707" spans="1:13" x14ac:dyDescent="0.25">
      <c r="A2707" s="1">
        <v>944604</v>
      </c>
      <c r="B2707" s="6" t="s">
        <v>2841</v>
      </c>
      <c r="F2707" s="6" t="s">
        <v>9</v>
      </c>
      <c r="G2707" s="6" t="s">
        <v>65</v>
      </c>
      <c r="H2707" s="9" t="s">
        <v>66</v>
      </c>
      <c r="I2707" s="7" t="str">
        <f t="shared" si="168"/>
        <v>61001002003</v>
      </c>
      <c r="J2707" s="7" t="str">
        <f t="shared" si="169"/>
        <v>Материал по ЕГРН</v>
      </c>
      <c r="K2707" s="7">
        <f>VLOOKUP(J2707,Лист2!A$2:B$4,2,FALSE)</f>
        <v>792</v>
      </c>
      <c r="L2707" s="7" t="str">
        <f t="shared" si="170"/>
        <v>ГОТОВ_ИЗМЕНЕН</v>
      </c>
      <c r="M2707" s="7">
        <f t="shared" si="171"/>
        <v>0</v>
      </c>
    </row>
    <row r="2708" spans="1:13" x14ac:dyDescent="0.25">
      <c r="A2708" s="1">
        <v>944616</v>
      </c>
      <c r="B2708" s="6" t="s">
        <v>2842</v>
      </c>
      <c r="F2708" s="6" t="s">
        <v>9</v>
      </c>
      <c r="G2708" s="6" t="s">
        <v>59</v>
      </c>
      <c r="H2708" s="9" t="s">
        <v>60</v>
      </c>
      <c r="I2708" s="7" t="str">
        <f t="shared" si="168"/>
        <v>61001001001</v>
      </c>
      <c r="J2708" s="7" t="str">
        <f t="shared" si="169"/>
        <v>Материал по ЕГРН</v>
      </c>
      <c r="K2708" s="7">
        <f>VLOOKUP(J2708,Лист2!A$2:B$4,2,FALSE)</f>
        <v>792</v>
      </c>
      <c r="L2708" s="7" t="str">
        <f t="shared" si="170"/>
        <v>ГОТОВ_ИЗМЕНЕН</v>
      </c>
      <c r="M2708" s="7">
        <f t="shared" si="171"/>
        <v>0</v>
      </c>
    </row>
    <row r="2709" spans="1:13" x14ac:dyDescent="0.25">
      <c r="A2709" s="1">
        <v>944628</v>
      </c>
      <c r="B2709" s="6" t="s">
        <v>2843</v>
      </c>
      <c r="F2709" s="6" t="s">
        <v>9</v>
      </c>
      <c r="G2709" s="6" t="s">
        <v>43</v>
      </c>
      <c r="H2709" s="9" t="s">
        <v>42</v>
      </c>
      <c r="I2709" s="7" t="str">
        <f t="shared" si="168"/>
        <v>61001002001</v>
      </c>
      <c r="J2709" s="7" t="str">
        <f t="shared" si="169"/>
        <v>Материал по ЕГРН</v>
      </c>
      <c r="K2709" s="7">
        <f>VLOOKUP(J2709,Лист2!A$2:B$4,2,FALSE)</f>
        <v>792</v>
      </c>
      <c r="L2709" s="7" t="str">
        <f t="shared" si="170"/>
        <v>ГОТОВ_ИЗМЕНЕН</v>
      </c>
      <c r="M2709" s="7">
        <f t="shared" si="171"/>
        <v>0</v>
      </c>
    </row>
    <row r="2710" spans="1:13" x14ac:dyDescent="0.25">
      <c r="A2710" s="1">
        <v>945831</v>
      </c>
      <c r="B2710" s="6" t="s">
        <v>2844</v>
      </c>
      <c r="F2710" s="6" t="s">
        <v>9</v>
      </c>
      <c r="G2710" s="6" t="s">
        <v>34</v>
      </c>
      <c r="H2710" s="9" t="s">
        <v>35</v>
      </c>
      <c r="I2710" s="7" t="str">
        <f t="shared" si="168"/>
        <v>61001002000</v>
      </c>
      <c r="J2710" s="7" t="str">
        <f t="shared" si="169"/>
        <v>Материал по ЕГРН</v>
      </c>
      <c r="K2710" s="7">
        <f>VLOOKUP(J2710,Лист2!A$2:B$4,2,FALSE)</f>
        <v>792</v>
      </c>
      <c r="L2710" s="7" t="str">
        <f t="shared" si="170"/>
        <v>ГОТОВ_ИЗМЕНЕН</v>
      </c>
      <c r="M2710" s="7">
        <f t="shared" si="171"/>
        <v>0</v>
      </c>
    </row>
    <row r="2711" spans="1:13" x14ac:dyDescent="0.25">
      <c r="A2711" s="1">
        <v>945843</v>
      </c>
      <c r="B2711" s="6" t="s">
        <v>2845</v>
      </c>
      <c r="F2711" s="6" t="s">
        <v>9</v>
      </c>
      <c r="G2711" s="6" t="s">
        <v>10</v>
      </c>
      <c r="H2711" s="9" t="s">
        <v>11</v>
      </c>
      <c r="I2711" s="7" t="str">
        <f t="shared" si="168"/>
        <v>61001003000</v>
      </c>
      <c r="J2711" s="7" t="str">
        <f t="shared" si="169"/>
        <v>Материал по ЕГРН</v>
      </c>
      <c r="K2711" s="7">
        <f>VLOOKUP(J2711,Лист2!A$2:B$4,2,FALSE)</f>
        <v>792</v>
      </c>
      <c r="L2711" s="7" t="str">
        <f t="shared" si="170"/>
        <v>ГОТОВ_ИЗМЕНЕН</v>
      </c>
      <c r="M2711" s="7">
        <f t="shared" si="171"/>
        <v>0</v>
      </c>
    </row>
    <row r="2712" spans="1:13" x14ac:dyDescent="0.25">
      <c r="A2712" s="1">
        <v>945855</v>
      </c>
      <c r="B2712" s="6" t="s">
        <v>2846</v>
      </c>
      <c r="F2712" s="6" t="s">
        <v>9</v>
      </c>
      <c r="G2712" s="6" t="s">
        <v>90</v>
      </c>
      <c r="H2712" s="9" t="s">
        <v>12</v>
      </c>
      <c r="I2712" s="7" t="str">
        <f t="shared" si="168"/>
        <v>61001008000</v>
      </c>
      <c r="J2712" s="7" t="str">
        <f t="shared" si="169"/>
        <v>Материал по ЕГРН</v>
      </c>
      <c r="K2712" s="7">
        <f>VLOOKUP(J2712,Лист2!A$2:B$4,2,FALSE)</f>
        <v>792</v>
      </c>
      <c r="L2712" s="7" t="str">
        <f t="shared" si="170"/>
        <v>ГОТОВ_ИЗМЕНЕН</v>
      </c>
      <c r="M2712" s="7">
        <f t="shared" si="171"/>
        <v>0</v>
      </c>
    </row>
    <row r="2713" spans="1:13" x14ac:dyDescent="0.25">
      <c r="A2713" s="1">
        <v>945867</v>
      </c>
      <c r="B2713" s="6" t="s">
        <v>2847</v>
      </c>
      <c r="F2713" s="6" t="s">
        <v>9</v>
      </c>
      <c r="G2713" s="6" t="s">
        <v>10</v>
      </c>
      <c r="H2713" s="9" t="s">
        <v>11</v>
      </c>
      <c r="I2713" s="7" t="str">
        <f t="shared" si="168"/>
        <v>61001003000</v>
      </c>
      <c r="J2713" s="7" t="str">
        <f t="shared" si="169"/>
        <v>Материал по ЕГРН</v>
      </c>
      <c r="K2713" s="7">
        <f>VLOOKUP(J2713,Лист2!A$2:B$4,2,FALSE)</f>
        <v>792</v>
      </c>
      <c r="L2713" s="7" t="str">
        <f t="shared" si="170"/>
        <v>ГОТОВ_ИЗМЕНЕН</v>
      </c>
      <c r="M2713" s="7">
        <f t="shared" si="171"/>
        <v>0</v>
      </c>
    </row>
    <row r="2714" spans="1:13" x14ac:dyDescent="0.25">
      <c r="A2714" s="1">
        <v>945879</v>
      </c>
      <c r="B2714" s="6" t="s">
        <v>2848</v>
      </c>
      <c r="F2714" s="6" t="s">
        <v>9</v>
      </c>
      <c r="G2714" s="6" t="s">
        <v>38</v>
      </c>
      <c r="H2714" s="9" t="s">
        <v>33</v>
      </c>
      <c r="I2714" s="7" t="str">
        <f t="shared" si="168"/>
        <v>61001005000</v>
      </c>
      <c r="J2714" s="7" t="str">
        <f t="shared" si="169"/>
        <v>Материал по ЕГРН</v>
      </c>
      <c r="K2714" s="7">
        <f>VLOOKUP(J2714,Лист2!A$2:B$4,2,FALSE)</f>
        <v>792</v>
      </c>
      <c r="L2714" s="7" t="str">
        <f t="shared" si="170"/>
        <v>ГОТОВ_ИЗМЕНЕН</v>
      </c>
      <c r="M2714" s="7">
        <f t="shared" si="171"/>
        <v>0</v>
      </c>
    </row>
    <row r="2715" spans="1:13" x14ac:dyDescent="0.25">
      <c r="A2715" s="1">
        <v>945891</v>
      </c>
      <c r="B2715" s="6" t="s">
        <v>2849</v>
      </c>
      <c r="F2715" s="6" t="s">
        <v>9</v>
      </c>
      <c r="G2715" s="6" t="s">
        <v>38</v>
      </c>
      <c r="H2715" s="9" t="s">
        <v>33</v>
      </c>
      <c r="I2715" s="7" t="str">
        <f t="shared" si="168"/>
        <v>61001005000</v>
      </c>
      <c r="J2715" s="7" t="str">
        <f t="shared" si="169"/>
        <v>Материал по ЕГРН</v>
      </c>
      <c r="K2715" s="7">
        <f>VLOOKUP(J2715,Лист2!A$2:B$4,2,FALSE)</f>
        <v>792</v>
      </c>
      <c r="L2715" s="7" t="str">
        <f t="shared" si="170"/>
        <v>ГОТОВ_ИЗМЕНЕН</v>
      </c>
      <c r="M2715" s="7">
        <f t="shared" si="171"/>
        <v>0</v>
      </c>
    </row>
    <row r="2716" spans="1:13" x14ac:dyDescent="0.25">
      <c r="A2716" s="1">
        <v>945903</v>
      </c>
      <c r="B2716" s="6" t="s">
        <v>2850</v>
      </c>
      <c r="F2716" s="6" t="s">
        <v>9</v>
      </c>
      <c r="G2716" s="6" t="s">
        <v>139</v>
      </c>
      <c r="H2716" s="9" t="s">
        <v>140</v>
      </c>
      <c r="I2716" s="7" t="str">
        <f t="shared" si="168"/>
        <v>61001999000</v>
      </c>
      <c r="J2716" s="7" t="str">
        <f t="shared" si="169"/>
        <v>Материал по ЕГРН</v>
      </c>
      <c r="K2716" s="7">
        <f>VLOOKUP(J2716,Лист2!A$2:B$4,2,FALSE)</f>
        <v>792</v>
      </c>
      <c r="L2716" s="7" t="str">
        <f t="shared" si="170"/>
        <v>ГОТОВ_ИЗМЕНЕН</v>
      </c>
      <c r="M2716" s="7">
        <f t="shared" si="171"/>
        <v>0</v>
      </c>
    </row>
    <row r="2717" spans="1:13" x14ac:dyDescent="0.25">
      <c r="A2717" s="1">
        <v>945915</v>
      </c>
      <c r="B2717" s="6" t="s">
        <v>2851</v>
      </c>
      <c r="F2717" s="6" t="s">
        <v>9</v>
      </c>
      <c r="G2717" s="6" t="s">
        <v>38</v>
      </c>
      <c r="H2717" s="9" t="s">
        <v>33</v>
      </c>
      <c r="I2717" s="7" t="str">
        <f t="shared" si="168"/>
        <v>61001005000</v>
      </c>
      <c r="J2717" s="7" t="str">
        <f t="shared" si="169"/>
        <v>Материал по ЕГРН</v>
      </c>
      <c r="K2717" s="7">
        <f>VLOOKUP(J2717,Лист2!A$2:B$4,2,FALSE)</f>
        <v>792</v>
      </c>
      <c r="L2717" s="7" t="str">
        <f t="shared" si="170"/>
        <v>ГОТОВ_ИЗМЕНЕН</v>
      </c>
      <c r="M2717" s="7">
        <f t="shared" si="171"/>
        <v>0</v>
      </c>
    </row>
    <row r="2718" spans="1:13" x14ac:dyDescent="0.25">
      <c r="A2718" s="1">
        <v>945927</v>
      </c>
      <c r="B2718" s="6" t="s">
        <v>2852</v>
      </c>
      <c r="F2718" s="6" t="s">
        <v>9</v>
      </c>
      <c r="G2718" s="6" t="s">
        <v>10</v>
      </c>
      <c r="H2718" s="9" t="s">
        <v>11</v>
      </c>
      <c r="I2718" s="7" t="str">
        <f t="shared" si="168"/>
        <v>61001003000</v>
      </c>
      <c r="J2718" s="7" t="str">
        <f t="shared" si="169"/>
        <v>Материал по ЕГРН</v>
      </c>
      <c r="K2718" s="7">
        <f>VLOOKUP(J2718,Лист2!A$2:B$4,2,FALSE)</f>
        <v>792</v>
      </c>
      <c r="L2718" s="7" t="str">
        <f t="shared" si="170"/>
        <v>ГОТОВ_ИЗМЕНЕН</v>
      </c>
      <c r="M2718" s="7">
        <f t="shared" si="171"/>
        <v>0</v>
      </c>
    </row>
    <row r="2719" spans="1:13" x14ac:dyDescent="0.25">
      <c r="A2719" s="1">
        <v>945939</v>
      </c>
      <c r="B2719" s="6" t="s">
        <v>2853</v>
      </c>
      <c r="F2719" s="6" t="s">
        <v>9</v>
      </c>
      <c r="G2719" s="6" t="s">
        <v>34</v>
      </c>
      <c r="H2719" s="9" t="s">
        <v>35</v>
      </c>
      <c r="I2719" s="7" t="str">
        <f t="shared" si="168"/>
        <v>61001002000</v>
      </c>
      <c r="J2719" s="7" t="str">
        <f t="shared" si="169"/>
        <v>Материал по ЕГРН</v>
      </c>
      <c r="K2719" s="7">
        <f>VLOOKUP(J2719,Лист2!A$2:B$4,2,FALSE)</f>
        <v>792</v>
      </c>
      <c r="L2719" s="7" t="str">
        <f t="shared" si="170"/>
        <v>ГОТОВ_ИЗМЕНЕН</v>
      </c>
      <c r="M2719" s="7">
        <f t="shared" si="171"/>
        <v>0</v>
      </c>
    </row>
    <row r="2720" spans="1:13" x14ac:dyDescent="0.25">
      <c r="A2720" s="1">
        <v>945951</v>
      </c>
      <c r="B2720" s="6" t="s">
        <v>2854</v>
      </c>
      <c r="F2720" s="6" t="s">
        <v>9</v>
      </c>
      <c r="G2720" s="6" t="s">
        <v>62</v>
      </c>
      <c r="H2720" s="9" t="s">
        <v>63</v>
      </c>
      <c r="I2720" s="7" t="str">
        <f t="shared" si="168"/>
        <v>61001006002</v>
      </c>
      <c r="J2720" s="7" t="str">
        <f t="shared" si="169"/>
        <v>Материал по ЕГРН</v>
      </c>
      <c r="K2720" s="7">
        <f>VLOOKUP(J2720,Лист2!A$2:B$4,2,FALSE)</f>
        <v>792</v>
      </c>
      <c r="L2720" s="7" t="str">
        <f t="shared" si="170"/>
        <v>ГОТОВ_ИЗМЕНЕН</v>
      </c>
      <c r="M2720" s="7">
        <f t="shared" si="171"/>
        <v>0</v>
      </c>
    </row>
    <row r="2721" spans="1:13" x14ac:dyDescent="0.25">
      <c r="A2721" s="1">
        <v>945963</v>
      </c>
      <c r="B2721" s="6" t="s">
        <v>2855</v>
      </c>
      <c r="F2721" s="6" t="s">
        <v>9</v>
      </c>
      <c r="G2721" s="6" t="s">
        <v>38</v>
      </c>
      <c r="H2721" s="9" t="s">
        <v>33</v>
      </c>
      <c r="I2721" s="7" t="str">
        <f t="shared" si="168"/>
        <v>61001005000</v>
      </c>
      <c r="J2721" s="7" t="str">
        <f t="shared" si="169"/>
        <v>Материал по ЕГРН</v>
      </c>
      <c r="K2721" s="7">
        <f>VLOOKUP(J2721,Лист2!A$2:B$4,2,FALSE)</f>
        <v>792</v>
      </c>
      <c r="L2721" s="7" t="str">
        <f t="shared" si="170"/>
        <v>ГОТОВ_ИЗМЕНЕН</v>
      </c>
      <c r="M2721" s="7">
        <f t="shared" si="171"/>
        <v>0</v>
      </c>
    </row>
    <row r="2722" spans="1:13" x14ac:dyDescent="0.25">
      <c r="A2722" s="1">
        <v>945975</v>
      </c>
      <c r="B2722" s="6" t="s">
        <v>2856</v>
      </c>
      <c r="F2722" s="6" t="s">
        <v>9</v>
      </c>
      <c r="G2722" s="6" t="s">
        <v>59</v>
      </c>
      <c r="H2722" s="9" t="s">
        <v>60</v>
      </c>
      <c r="I2722" s="7" t="str">
        <f t="shared" si="168"/>
        <v>61001001001</v>
      </c>
      <c r="J2722" s="7" t="str">
        <f t="shared" si="169"/>
        <v>Материал по ЕГРН</v>
      </c>
      <c r="K2722" s="7">
        <f>VLOOKUP(J2722,Лист2!A$2:B$4,2,FALSE)</f>
        <v>792</v>
      </c>
      <c r="L2722" s="7" t="str">
        <f t="shared" si="170"/>
        <v>ГОТОВ_ИЗМЕНЕН</v>
      </c>
      <c r="M2722" s="7">
        <f t="shared" si="171"/>
        <v>0</v>
      </c>
    </row>
    <row r="2723" spans="1:13" x14ac:dyDescent="0.25">
      <c r="A2723" s="1">
        <v>945987</v>
      </c>
      <c r="B2723" s="6" t="s">
        <v>2857</v>
      </c>
      <c r="F2723" s="6" t="s">
        <v>9</v>
      </c>
      <c r="G2723" s="6" t="s">
        <v>10</v>
      </c>
      <c r="H2723" s="9" t="s">
        <v>11</v>
      </c>
      <c r="I2723" s="7" t="str">
        <f t="shared" si="168"/>
        <v>61001003000</v>
      </c>
      <c r="J2723" s="7" t="str">
        <f t="shared" si="169"/>
        <v>Материал по ЕГРН</v>
      </c>
      <c r="K2723" s="7">
        <f>VLOOKUP(J2723,Лист2!A$2:B$4,2,FALSE)</f>
        <v>792</v>
      </c>
      <c r="L2723" s="7" t="str">
        <f t="shared" si="170"/>
        <v>ГОТОВ_ИЗМЕНЕН</v>
      </c>
      <c r="M2723" s="7">
        <f t="shared" si="171"/>
        <v>0</v>
      </c>
    </row>
    <row r="2724" spans="1:13" x14ac:dyDescent="0.25">
      <c r="A2724" s="1">
        <v>945999</v>
      </c>
      <c r="B2724" s="6" t="s">
        <v>2858</v>
      </c>
      <c r="F2724" s="6" t="s">
        <v>9</v>
      </c>
      <c r="G2724" s="6" t="s">
        <v>10</v>
      </c>
      <c r="H2724" s="9" t="s">
        <v>11</v>
      </c>
      <c r="I2724" s="7" t="str">
        <f t="shared" si="168"/>
        <v>61001003000</v>
      </c>
      <c r="J2724" s="7" t="str">
        <f t="shared" si="169"/>
        <v>Материал по ЕГРН</v>
      </c>
      <c r="K2724" s="7">
        <f>VLOOKUP(J2724,Лист2!A$2:B$4,2,FALSE)</f>
        <v>792</v>
      </c>
      <c r="L2724" s="7" t="str">
        <f t="shared" si="170"/>
        <v>ГОТОВ_ИЗМЕНЕН</v>
      </c>
      <c r="M2724" s="7">
        <f t="shared" si="171"/>
        <v>0</v>
      </c>
    </row>
    <row r="2725" spans="1:13" x14ac:dyDescent="0.25">
      <c r="A2725" s="1">
        <v>946011</v>
      </c>
      <c r="B2725" s="6" t="s">
        <v>2859</v>
      </c>
      <c r="F2725" s="6" t="s">
        <v>9</v>
      </c>
      <c r="G2725" s="6" t="s">
        <v>38</v>
      </c>
      <c r="H2725" s="9" t="s">
        <v>33</v>
      </c>
      <c r="I2725" s="7" t="str">
        <f t="shared" si="168"/>
        <v>61001005000</v>
      </c>
      <c r="J2725" s="7" t="str">
        <f t="shared" si="169"/>
        <v>Материал по ЕГРН</v>
      </c>
      <c r="K2725" s="7">
        <f>VLOOKUP(J2725,Лист2!A$2:B$4,2,FALSE)</f>
        <v>792</v>
      </c>
      <c r="L2725" s="7" t="str">
        <f t="shared" si="170"/>
        <v>ГОТОВ_ИЗМЕНЕН</v>
      </c>
      <c r="M2725" s="7">
        <f t="shared" si="171"/>
        <v>0</v>
      </c>
    </row>
    <row r="2726" spans="1:13" x14ac:dyDescent="0.25">
      <c r="A2726" s="1">
        <v>946023</v>
      </c>
      <c r="B2726" s="6" t="s">
        <v>2860</v>
      </c>
      <c r="F2726" s="6" t="s">
        <v>9</v>
      </c>
      <c r="G2726" s="6" t="s">
        <v>38</v>
      </c>
      <c r="H2726" s="9" t="s">
        <v>33</v>
      </c>
      <c r="I2726" s="7" t="str">
        <f t="shared" si="168"/>
        <v>61001005000</v>
      </c>
      <c r="J2726" s="7" t="str">
        <f t="shared" si="169"/>
        <v>Материал по ЕГРН</v>
      </c>
      <c r="K2726" s="7">
        <f>VLOOKUP(J2726,Лист2!A$2:B$4,2,FALSE)</f>
        <v>792</v>
      </c>
      <c r="L2726" s="7" t="str">
        <f t="shared" si="170"/>
        <v>ГОТОВ_ИЗМЕНЕН</v>
      </c>
      <c r="M2726" s="7">
        <f t="shared" si="171"/>
        <v>0</v>
      </c>
    </row>
    <row r="2727" spans="1:13" x14ac:dyDescent="0.25">
      <c r="A2727" s="1">
        <v>946035</v>
      </c>
      <c r="B2727" s="6" t="s">
        <v>2861</v>
      </c>
      <c r="F2727" s="6" t="s">
        <v>9</v>
      </c>
      <c r="G2727" s="6" t="s">
        <v>38</v>
      </c>
      <c r="H2727" s="9" t="s">
        <v>33</v>
      </c>
      <c r="I2727" s="7" t="str">
        <f t="shared" si="168"/>
        <v>61001005000</v>
      </c>
      <c r="J2727" s="7" t="str">
        <f t="shared" si="169"/>
        <v>Материал по ЕГРН</v>
      </c>
      <c r="K2727" s="7">
        <f>VLOOKUP(J2727,Лист2!A$2:B$4,2,FALSE)</f>
        <v>792</v>
      </c>
      <c r="L2727" s="7" t="str">
        <f t="shared" si="170"/>
        <v>ГОТОВ_ИЗМЕНЕН</v>
      </c>
      <c r="M2727" s="7">
        <f t="shared" si="171"/>
        <v>0</v>
      </c>
    </row>
    <row r="2728" spans="1:13" x14ac:dyDescent="0.25">
      <c r="A2728" s="1">
        <v>946047</v>
      </c>
      <c r="B2728" s="6" t="s">
        <v>2862</v>
      </c>
      <c r="F2728" s="6" t="s">
        <v>9</v>
      </c>
      <c r="G2728" s="6" t="s">
        <v>43</v>
      </c>
      <c r="H2728" s="9" t="s">
        <v>42</v>
      </c>
      <c r="I2728" s="7" t="str">
        <f t="shared" si="168"/>
        <v>61001002001</v>
      </c>
      <c r="J2728" s="7" t="str">
        <f t="shared" si="169"/>
        <v>Материал по ЕГРН</v>
      </c>
      <c r="K2728" s="7">
        <f>VLOOKUP(J2728,Лист2!A$2:B$4,2,FALSE)</f>
        <v>792</v>
      </c>
      <c r="L2728" s="7" t="str">
        <f t="shared" si="170"/>
        <v>ГОТОВ_ИЗМЕНЕН</v>
      </c>
      <c r="M2728" s="7">
        <f t="shared" si="171"/>
        <v>0</v>
      </c>
    </row>
    <row r="2729" spans="1:13" x14ac:dyDescent="0.25">
      <c r="A2729" s="1">
        <v>946059</v>
      </c>
      <c r="B2729" s="6" t="s">
        <v>2863</v>
      </c>
      <c r="F2729" s="6" t="s">
        <v>9</v>
      </c>
      <c r="G2729" s="6" t="s">
        <v>34</v>
      </c>
      <c r="H2729" s="9" t="s">
        <v>35</v>
      </c>
      <c r="I2729" s="7" t="str">
        <f t="shared" si="168"/>
        <v>61001002000</v>
      </c>
      <c r="J2729" s="7" t="str">
        <f t="shared" si="169"/>
        <v>Материал по ЕГРН</v>
      </c>
      <c r="K2729" s="7">
        <f>VLOOKUP(J2729,Лист2!A$2:B$4,2,FALSE)</f>
        <v>792</v>
      </c>
      <c r="L2729" s="7" t="str">
        <f t="shared" si="170"/>
        <v>ГОТОВ_ИЗМЕНЕН</v>
      </c>
      <c r="M2729" s="7">
        <f t="shared" si="171"/>
        <v>0</v>
      </c>
    </row>
    <row r="2730" spans="1:13" x14ac:dyDescent="0.25">
      <c r="A2730" s="1">
        <v>946071</v>
      </c>
      <c r="B2730" s="6" t="s">
        <v>2864</v>
      </c>
      <c r="F2730" s="6" t="s">
        <v>9</v>
      </c>
      <c r="G2730" s="6" t="s">
        <v>38</v>
      </c>
      <c r="H2730" s="9" t="s">
        <v>33</v>
      </c>
      <c r="I2730" s="7" t="str">
        <f t="shared" si="168"/>
        <v>61001005000</v>
      </c>
      <c r="J2730" s="7" t="str">
        <f t="shared" si="169"/>
        <v>Материал по ЕГРН</v>
      </c>
      <c r="K2730" s="7">
        <f>VLOOKUP(J2730,Лист2!A$2:B$4,2,FALSE)</f>
        <v>792</v>
      </c>
      <c r="L2730" s="7" t="str">
        <f t="shared" si="170"/>
        <v>ГОТОВ_ИЗМЕНЕН</v>
      </c>
      <c r="M2730" s="7">
        <f t="shared" si="171"/>
        <v>0</v>
      </c>
    </row>
    <row r="2731" spans="1:13" x14ac:dyDescent="0.25">
      <c r="A2731" s="1">
        <v>946083</v>
      </c>
      <c r="B2731" s="6" t="s">
        <v>2865</v>
      </c>
      <c r="F2731" s="6" t="s">
        <v>9</v>
      </c>
      <c r="G2731" s="6" t="s">
        <v>34</v>
      </c>
      <c r="H2731" s="9" t="s">
        <v>35</v>
      </c>
      <c r="I2731" s="7" t="str">
        <f t="shared" si="168"/>
        <v>61001002000</v>
      </c>
      <c r="J2731" s="7" t="str">
        <f t="shared" si="169"/>
        <v>Материал по ЕГРН</v>
      </c>
      <c r="K2731" s="7">
        <f>VLOOKUP(J2731,Лист2!A$2:B$4,2,FALSE)</f>
        <v>792</v>
      </c>
      <c r="L2731" s="7" t="str">
        <f t="shared" si="170"/>
        <v>ГОТОВ_ИЗМЕНЕН</v>
      </c>
      <c r="M2731" s="7">
        <f t="shared" si="171"/>
        <v>0</v>
      </c>
    </row>
    <row r="2732" spans="1:13" x14ac:dyDescent="0.25">
      <c r="A2732" s="1">
        <v>946095</v>
      </c>
      <c r="B2732" s="6" t="s">
        <v>2866</v>
      </c>
      <c r="F2732" s="6" t="s">
        <v>9</v>
      </c>
      <c r="G2732" s="6" t="s">
        <v>38</v>
      </c>
      <c r="H2732" s="9" t="s">
        <v>33</v>
      </c>
      <c r="I2732" s="7" t="str">
        <f t="shared" si="168"/>
        <v>61001005000</v>
      </c>
      <c r="J2732" s="7" t="str">
        <f t="shared" si="169"/>
        <v>Материал по ЕГРН</v>
      </c>
      <c r="K2732" s="7">
        <f>VLOOKUP(J2732,Лист2!A$2:B$4,2,FALSE)</f>
        <v>792</v>
      </c>
      <c r="L2732" s="7" t="str">
        <f t="shared" si="170"/>
        <v>ГОТОВ_ИЗМЕНЕН</v>
      </c>
      <c r="M2732" s="7">
        <f t="shared" si="171"/>
        <v>0</v>
      </c>
    </row>
    <row r="2733" spans="1:13" x14ac:dyDescent="0.25">
      <c r="A2733" s="1">
        <v>946107</v>
      </c>
      <c r="B2733" s="6" t="s">
        <v>2867</v>
      </c>
      <c r="F2733" s="6" t="s">
        <v>9</v>
      </c>
      <c r="G2733" s="6" t="s">
        <v>62</v>
      </c>
      <c r="H2733" s="9" t="s">
        <v>63</v>
      </c>
      <c r="I2733" s="7" t="str">
        <f t="shared" si="168"/>
        <v>61001006002</v>
      </c>
      <c r="J2733" s="7" t="str">
        <f t="shared" si="169"/>
        <v>Материал по ЕГРН</v>
      </c>
      <c r="K2733" s="7">
        <f>VLOOKUP(J2733,Лист2!A$2:B$4,2,FALSE)</f>
        <v>792</v>
      </c>
      <c r="L2733" s="7" t="str">
        <f t="shared" si="170"/>
        <v>ГОТОВ_ИЗМЕНЕН</v>
      </c>
      <c r="M2733" s="7">
        <f t="shared" si="171"/>
        <v>0</v>
      </c>
    </row>
    <row r="2734" spans="1:13" x14ac:dyDescent="0.25">
      <c r="A2734" s="1">
        <v>946119</v>
      </c>
      <c r="B2734" s="6" t="s">
        <v>2868</v>
      </c>
      <c r="F2734" s="6" t="s">
        <v>9</v>
      </c>
      <c r="G2734" s="6" t="s">
        <v>59</v>
      </c>
      <c r="H2734" s="9" t="s">
        <v>60</v>
      </c>
      <c r="I2734" s="7" t="str">
        <f t="shared" si="168"/>
        <v>61001001001</v>
      </c>
      <c r="J2734" s="7" t="str">
        <f t="shared" si="169"/>
        <v>Материал по ЕГРН</v>
      </c>
      <c r="K2734" s="7">
        <f>VLOOKUP(J2734,Лист2!A$2:B$4,2,FALSE)</f>
        <v>792</v>
      </c>
      <c r="L2734" s="7" t="str">
        <f t="shared" si="170"/>
        <v>ГОТОВ_ИЗМЕНЕН</v>
      </c>
      <c r="M2734" s="7">
        <f t="shared" si="171"/>
        <v>0</v>
      </c>
    </row>
    <row r="2735" spans="1:13" x14ac:dyDescent="0.25">
      <c r="A2735" s="1">
        <v>946131</v>
      </c>
      <c r="B2735" s="6" t="s">
        <v>2869</v>
      </c>
      <c r="F2735" s="6" t="s">
        <v>9</v>
      </c>
      <c r="G2735" s="6" t="s">
        <v>34</v>
      </c>
      <c r="H2735" s="9" t="s">
        <v>35</v>
      </c>
      <c r="I2735" s="7" t="str">
        <f t="shared" si="168"/>
        <v>61001002000</v>
      </c>
      <c r="J2735" s="7" t="str">
        <f t="shared" si="169"/>
        <v>Материал по ЕГРН</v>
      </c>
      <c r="K2735" s="7">
        <f>VLOOKUP(J2735,Лист2!A$2:B$4,2,FALSE)</f>
        <v>792</v>
      </c>
      <c r="L2735" s="7" t="str">
        <f t="shared" si="170"/>
        <v>ГОТОВ_ИЗМЕНЕН</v>
      </c>
      <c r="M2735" s="7">
        <f t="shared" si="171"/>
        <v>0</v>
      </c>
    </row>
    <row r="2736" spans="1:13" x14ac:dyDescent="0.25">
      <c r="A2736" s="1">
        <v>946143</v>
      </c>
      <c r="B2736" s="6" t="s">
        <v>2870</v>
      </c>
      <c r="F2736" s="6" t="s">
        <v>9</v>
      </c>
      <c r="G2736" s="6" t="s">
        <v>38</v>
      </c>
      <c r="H2736" s="9" t="s">
        <v>33</v>
      </c>
      <c r="I2736" s="7" t="str">
        <f t="shared" si="168"/>
        <v>61001005000</v>
      </c>
      <c r="J2736" s="7" t="str">
        <f t="shared" si="169"/>
        <v>Материал по ЕГРН</v>
      </c>
      <c r="K2736" s="7">
        <f>VLOOKUP(J2736,Лист2!A$2:B$4,2,FALSE)</f>
        <v>792</v>
      </c>
      <c r="L2736" s="7" t="str">
        <f t="shared" si="170"/>
        <v>ГОТОВ_ИЗМЕНЕН</v>
      </c>
      <c r="M2736" s="7">
        <f t="shared" si="171"/>
        <v>0</v>
      </c>
    </row>
    <row r="2737" spans="1:13" x14ac:dyDescent="0.25">
      <c r="A2737" s="1">
        <v>946155</v>
      </c>
      <c r="B2737" s="6" t="s">
        <v>2871</v>
      </c>
      <c r="F2737" s="6" t="s">
        <v>9</v>
      </c>
      <c r="G2737" s="6" t="s">
        <v>59</v>
      </c>
      <c r="H2737" s="9" t="s">
        <v>60</v>
      </c>
      <c r="I2737" s="7" t="str">
        <f t="shared" si="168"/>
        <v>61001001001</v>
      </c>
      <c r="J2737" s="7" t="str">
        <f t="shared" si="169"/>
        <v>Материал по ЕГРН</v>
      </c>
      <c r="K2737" s="7">
        <f>VLOOKUP(J2737,Лист2!A$2:B$4,2,FALSE)</f>
        <v>792</v>
      </c>
      <c r="L2737" s="7" t="str">
        <f t="shared" si="170"/>
        <v>ГОТОВ_ИЗМЕНЕН</v>
      </c>
      <c r="M2737" s="7">
        <f t="shared" si="171"/>
        <v>0</v>
      </c>
    </row>
    <row r="2738" spans="1:13" x14ac:dyDescent="0.25">
      <c r="A2738" s="1">
        <v>242840</v>
      </c>
      <c r="B2738" s="6" t="s">
        <v>2872</v>
      </c>
      <c r="C2738" s="9" t="s">
        <v>33</v>
      </c>
      <c r="D2738" s="6" t="s">
        <v>20</v>
      </c>
      <c r="E2738" s="6" t="s">
        <v>37</v>
      </c>
      <c r="F2738" s="6" t="s">
        <v>9</v>
      </c>
      <c r="G2738" s="6" t="s">
        <v>38</v>
      </c>
      <c r="H2738" s="9" t="s">
        <v>33</v>
      </c>
      <c r="I2738" s="7" t="str">
        <f t="shared" si="168"/>
        <v>61001005000</v>
      </c>
      <c r="J2738" s="7" t="str">
        <f t="shared" si="169"/>
        <v>Материал по ЕГРН</v>
      </c>
      <c r="K2738" s="7">
        <f>VLOOKUP(J2738,Лист2!A$2:B$4,2,FALSE)</f>
        <v>792</v>
      </c>
      <c r="L2738" s="7" t="str">
        <f t="shared" si="170"/>
        <v>ГОТОВ</v>
      </c>
      <c r="M2738" s="7" t="str">
        <f t="shared" si="171"/>
        <v>61001005000</v>
      </c>
    </row>
    <row r="2739" spans="1:13" x14ac:dyDescent="0.25">
      <c r="A2739" s="1">
        <v>748900</v>
      </c>
      <c r="B2739" s="6" t="s">
        <v>2873</v>
      </c>
      <c r="C2739" s="9" t="s">
        <v>33</v>
      </c>
      <c r="D2739" s="6" t="s">
        <v>20</v>
      </c>
      <c r="E2739" s="6" t="s">
        <v>37</v>
      </c>
      <c r="F2739" s="6" t="s">
        <v>9</v>
      </c>
      <c r="G2739" s="6" t="s">
        <v>38</v>
      </c>
      <c r="H2739" s="9" t="s">
        <v>33</v>
      </c>
      <c r="I2739" s="7" t="str">
        <f t="shared" si="168"/>
        <v>61001005000</v>
      </c>
      <c r="J2739" s="7" t="str">
        <f t="shared" si="169"/>
        <v>Материал по ЕГРН</v>
      </c>
      <c r="K2739" s="7">
        <f>VLOOKUP(J2739,Лист2!A$2:B$4,2,FALSE)</f>
        <v>792</v>
      </c>
      <c r="L2739" s="7" t="str">
        <f t="shared" si="170"/>
        <v>ГОТОВ</v>
      </c>
      <c r="M2739" s="7" t="str">
        <f t="shared" si="171"/>
        <v>61001005000</v>
      </c>
    </row>
    <row r="2740" spans="1:13" x14ac:dyDescent="0.25">
      <c r="A2740" s="1">
        <v>945495</v>
      </c>
      <c r="B2740" s="6" t="s">
        <v>2874</v>
      </c>
      <c r="F2740" s="6" t="s">
        <v>9</v>
      </c>
      <c r="G2740" s="6" t="s">
        <v>38</v>
      </c>
      <c r="H2740" s="9" t="s">
        <v>33</v>
      </c>
      <c r="I2740" s="7" t="str">
        <f t="shared" si="168"/>
        <v>61001005000</v>
      </c>
      <c r="J2740" s="7" t="str">
        <f t="shared" si="169"/>
        <v>Материал по ЕГРН</v>
      </c>
      <c r="K2740" s="7">
        <f>VLOOKUP(J2740,Лист2!A$2:B$4,2,FALSE)</f>
        <v>792</v>
      </c>
      <c r="L2740" s="7" t="str">
        <f t="shared" si="170"/>
        <v>ГОТОВ_ИЗМЕНЕН</v>
      </c>
      <c r="M2740" s="7">
        <f t="shared" si="171"/>
        <v>0</v>
      </c>
    </row>
    <row r="2741" spans="1:13" x14ac:dyDescent="0.25">
      <c r="A2741" s="1">
        <v>945507</v>
      </c>
      <c r="B2741" s="6" t="s">
        <v>2875</v>
      </c>
      <c r="F2741" s="6" t="s">
        <v>9</v>
      </c>
      <c r="G2741" s="6" t="s">
        <v>139</v>
      </c>
      <c r="H2741" s="9" t="s">
        <v>140</v>
      </c>
      <c r="I2741" s="7" t="str">
        <f t="shared" si="168"/>
        <v>61001999000</v>
      </c>
      <c r="J2741" s="7" t="str">
        <f t="shared" si="169"/>
        <v>Материал по ЕГРН</v>
      </c>
      <c r="K2741" s="7">
        <f>VLOOKUP(J2741,Лист2!A$2:B$4,2,FALSE)</f>
        <v>792</v>
      </c>
      <c r="L2741" s="7" t="str">
        <f t="shared" si="170"/>
        <v>ГОТОВ_ИЗМЕНЕН</v>
      </c>
      <c r="M2741" s="7">
        <f t="shared" si="171"/>
        <v>0</v>
      </c>
    </row>
    <row r="2742" spans="1:13" x14ac:dyDescent="0.25">
      <c r="A2742" s="1">
        <v>945519</v>
      </c>
      <c r="B2742" s="6" t="s">
        <v>2876</v>
      </c>
      <c r="F2742" s="6" t="s">
        <v>9</v>
      </c>
      <c r="G2742" s="6" t="s">
        <v>10</v>
      </c>
      <c r="H2742" s="9" t="s">
        <v>11</v>
      </c>
      <c r="I2742" s="7" t="str">
        <f t="shared" si="168"/>
        <v>61001003000</v>
      </c>
      <c r="J2742" s="7" t="str">
        <f t="shared" si="169"/>
        <v>Материал по ЕГРН</v>
      </c>
      <c r="K2742" s="7">
        <f>VLOOKUP(J2742,Лист2!A$2:B$4,2,FALSE)</f>
        <v>792</v>
      </c>
      <c r="L2742" s="7" t="str">
        <f t="shared" si="170"/>
        <v>ГОТОВ_ИЗМЕНЕН</v>
      </c>
      <c r="M2742" s="7">
        <f t="shared" si="171"/>
        <v>0</v>
      </c>
    </row>
    <row r="2743" spans="1:13" x14ac:dyDescent="0.25">
      <c r="A2743" s="1">
        <v>945531</v>
      </c>
      <c r="B2743" s="6" t="s">
        <v>2877</v>
      </c>
      <c r="F2743" s="6" t="s">
        <v>9</v>
      </c>
      <c r="G2743" s="6" t="s">
        <v>38</v>
      </c>
      <c r="H2743" s="9" t="s">
        <v>33</v>
      </c>
      <c r="I2743" s="7" t="str">
        <f t="shared" si="168"/>
        <v>61001005000</v>
      </c>
      <c r="J2743" s="7" t="str">
        <f t="shared" si="169"/>
        <v>Материал по ЕГРН</v>
      </c>
      <c r="K2743" s="7">
        <f>VLOOKUP(J2743,Лист2!A$2:B$4,2,FALSE)</f>
        <v>792</v>
      </c>
      <c r="L2743" s="7" t="str">
        <f t="shared" si="170"/>
        <v>ГОТОВ_ИЗМЕНЕН</v>
      </c>
      <c r="M2743" s="7">
        <f t="shared" si="171"/>
        <v>0</v>
      </c>
    </row>
    <row r="2744" spans="1:13" x14ac:dyDescent="0.25">
      <c r="A2744" s="1">
        <v>945543</v>
      </c>
      <c r="B2744" s="6" t="s">
        <v>2878</v>
      </c>
      <c r="F2744" s="6" t="s">
        <v>9</v>
      </c>
      <c r="G2744" s="6" t="s">
        <v>99</v>
      </c>
      <c r="H2744" s="9" t="s">
        <v>100</v>
      </c>
      <c r="I2744" s="7" t="str">
        <f t="shared" si="168"/>
        <v>61001003000</v>
      </c>
      <c r="J2744" s="7" t="str">
        <f t="shared" si="169"/>
        <v>Смешанные по допущению</v>
      </c>
      <c r="K2744" s="7">
        <f>VLOOKUP(J2744,Лист2!A$2:B$4,2,FALSE)</f>
        <v>793</v>
      </c>
      <c r="L2744" s="7" t="str">
        <f t="shared" si="170"/>
        <v>ГОТОВ_ИЗМЕНЕН</v>
      </c>
      <c r="M2744" s="7">
        <f t="shared" si="171"/>
        <v>0</v>
      </c>
    </row>
    <row r="2745" spans="1:13" x14ac:dyDescent="0.25">
      <c r="A2745" s="1">
        <v>945555</v>
      </c>
      <c r="B2745" s="6" t="s">
        <v>2879</v>
      </c>
      <c r="F2745" s="6" t="s">
        <v>9</v>
      </c>
      <c r="G2745" s="6" t="s">
        <v>90</v>
      </c>
      <c r="H2745" s="9" t="s">
        <v>12</v>
      </c>
      <c r="I2745" s="7" t="str">
        <f t="shared" si="168"/>
        <v>61001008000</v>
      </c>
      <c r="J2745" s="7" t="str">
        <f t="shared" si="169"/>
        <v>Материал по ЕГРН</v>
      </c>
      <c r="K2745" s="7">
        <f>VLOOKUP(J2745,Лист2!A$2:B$4,2,FALSE)</f>
        <v>792</v>
      </c>
      <c r="L2745" s="7" t="str">
        <f t="shared" si="170"/>
        <v>ГОТОВ_ИЗМЕНЕН</v>
      </c>
      <c r="M2745" s="7">
        <f t="shared" si="171"/>
        <v>0</v>
      </c>
    </row>
    <row r="2746" spans="1:13" x14ac:dyDescent="0.25">
      <c r="A2746" s="1">
        <v>945567</v>
      </c>
      <c r="B2746" s="6" t="s">
        <v>2880</v>
      </c>
      <c r="F2746" s="6" t="s">
        <v>9</v>
      </c>
      <c r="G2746" s="6" t="s">
        <v>38</v>
      </c>
      <c r="H2746" s="9" t="s">
        <v>33</v>
      </c>
      <c r="I2746" s="7" t="str">
        <f t="shared" si="168"/>
        <v>61001005000</v>
      </c>
      <c r="J2746" s="7" t="str">
        <f t="shared" si="169"/>
        <v>Материал по ЕГРН</v>
      </c>
      <c r="K2746" s="7">
        <f>VLOOKUP(J2746,Лист2!A$2:B$4,2,FALSE)</f>
        <v>792</v>
      </c>
      <c r="L2746" s="7" t="str">
        <f t="shared" si="170"/>
        <v>ГОТОВ_ИЗМЕНЕН</v>
      </c>
      <c r="M2746" s="7">
        <f t="shared" si="171"/>
        <v>0</v>
      </c>
    </row>
    <row r="2747" spans="1:13" x14ac:dyDescent="0.25">
      <c r="A2747" s="1">
        <v>945579</v>
      </c>
      <c r="B2747" s="6" t="s">
        <v>2881</v>
      </c>
      <c r="F2747" s="6" t="s">
        <v>9</v>
      </c>
      <c r="G2747" s="6" t="s">
        <v>59</v>
      </c>
      <c r="H2747" s="9" t="s">
        <v>60</v>
      </c>
      <c r="I2747" s="7" t="str">
        <f t="shared" si="168"/>
        <v>61001001001</v>
      </c>
      <c r="J2747" s="7" t="str">
        <f t="shared" si="169"/>
        <v>Материал по ЕГРН</v>
      </c>
      <c r="K2747" s="7">
        <f>VLOOKUP(J2747,Лист2!A$2:B$4,2,FALSE)</f>
        <v>792</v>
      </c>
      <c r="L2747" s="7" t="str">
        <f t="shared" si="170"/>
        <v>ГОТОВ_ИЗМЕНЕН</v>
      </c>
      <c r="M2747" s="7">
        <f t="shared" si="171"/>
        <v>0</v>
      </c>
    </row>
    <row r="2748" spans="1:13" x14ac:dyDescent="0.25">
      <c r="A2748" s="1">
        <v>945591</v>
      </c>
      <c r="B2748" s="6" t="s">
        <v>2882</v>
      </c>
      <c r="F2748" s="6" t="s">
        <v>9</v>
      </c>
      <c r="G2748" s="6" t="s">
        <v>34</v>
      </c>
      <c r="H2748" s="9" t="s">
        <v>35</v>
      </c>
      <c r="I2748" s="7" t="str">
        <f t="shared" si="168"/>
        <v>61001002000</v>
      </c>
      <c r="J2748" s="7" t="str">
        <f t="shared" si="169"/>
        <v>Материал по ЕГРН</v>
      </c>
      <c r="K2748" s="7">
        <f>VLOOKUP(J2748,Лист2!A$2:B$4,2,FALSE)</f>
        <v>792</v>
      </c>
      <c r="L2748" s="7" t="str">
        <f t="shared" si="170"/>
        <v>ГОТОВ_ИЗМЕНЕН</v>
      </c>
      <c r="M2748" s="7">
        <f t="shared" si="171"/>
        <v>0</v>
      </c>
    </row>
    <row r="2749" spans="1:13" x14ac:dyDescent="0.25">
      <c r="A2749" s="1">
        <v>945603</v>
      </c>
      <c r="B2749" s="6" t="s">
        <v>2883</v>
      </c>
      <c r="F2749" s="6" t="s">
        <v>9</v>
      </c>
      <c r="G2749" s="6" t="s">
        <v>38</v>
      </c>
      <c r="H2749" s="9" t="s">
        <v>33</v>
      </c>
      <c r="I2749" s="7" t="str">
        <f t="shared" si="168"/>
        <v>61001005000</v>
      </c>
      <c r="J2749" s="7" t="str">
        <f t="shared" si="169"/>
        <v>Материал по ЕГРН</v>
      </c>
      <c r="K2749" s="7">
        <f>VLOOKUP(J2749,Лист2!A$2:B$4,2,FALSE)</f>
        <v>792</v>
      </c>
      <c r="L2749" s="7" t="str">
        <f t="shared" si="170"/>
        <v>ГОТОВ_ИЗМЕНЕН</v>
      </c>
      <c r="M2749" s="7">
        <f t="shared" si="171"/>
        <v>0</v>
      </c>
    </row>
    <row r="2750" spans="1:13" x14ac:dyDescent="0.25">
      <c r="A2750" s="1">
        <v>945615</v>
      </c>
      <c r="B2750" s="6" t="s">
        <v>2884</v>
      </c>
      <c r="F2750" s="6" t="s">
        <v>9</v>
      </c>
      <c r="G2750" s="6" t="s">
        <v>38</v>
      </c>
      <c r="H2750" s="9" t="s">
        <v>33</v>
      </c>
      <c r="I2750" s="7" t="str">
        <f t="shared" si="168"/>
        <v>61001005000</v>
      </c>
      <c r="J2750" s="7" t="str">
        <f t="shared" si="169"/>
        <v>Материал по ЕГРН</v>
      </c>
      <c r="K2750" s="7">
        <f>VLOOKUP(J2750,Лист2!A$2:B$4,2,FALSE)</f>
        <v>792</v>
      </c>
      <c r="L2750" s="7" t="str">
        <f t="shared" si="170"/>
        <v>ГОТОВ_ИЗМЕНЕН</v>
      </c>
      <c r="M2750" s="7">
        <f t="shared" si="171"/>
        <v>0</v>
      </c>
    </row>
    <row r="2751" spans="1:13" x14ac:dyDescent="0.25">
      <c r="A2751" s="1">
        <v>945627</v>
      </c>
      <c r="B2751" s="6" t="s">
        <v>2885</v>
      </c>
      <c r="F2751" s="6" t="s">
        <v>9</v>
      </c>
      <c r="G2751" s="6" t="s">
        <v>38</v>
      </c>
      <c r="H2751" s="9" t="s">
        <v>33</v>
      </c>
      <c r="I2751" s="7" t="str">
        <f t="shared" si="168"/>
        <v>61001005000</v>
      </c>
      <c r="J2751" s="7" t="str">
        <f t="shared" si="169"/>
        <v>Материал по ЕГРН</v>
      </c>
      <c r="K2751" s="7">
        <f>VLOOKUP(J2751,Лист2!A$2:B$4,2,FALSE)</f>
        <v>792</v>
      </c>
      <c r="L2751" s="7" t="str">
        <f t="shared" si="170"/>
        <v>ГОТОВ_ИЗМЕНЕН</v>
      </c>
      <c r="M2751" s="7">
        <f t="shared" si="171"/>
        <v>0</v>
      </c>
    </row>
    <row r="2752" spans="1:13" x14ac:dyDescent="0.25">
      <c r="A2752" s="1">
        <v>945639</v>
      </c>
      <c r="B2752" s="6" t="s">
        <v>2886</v>
      </c>
      <c r="F2752" s="6" t="s">
        <v>9</v>
      </c>
      <c r="G2752" s="6" t="s">
        <v>10</v>
      </c>
      <c r="H2752" s="9" t="s">
        <v>11</v>
      </c>
      <c r="I2752" s="7" t="str">
        <f t="shared" si="168"/>
        <v>61001003000</v>
      </c>
      <c r="J2752" s="7" t="str">
        <f t="shared" si="169"/>
        <v>Материал по ЕГРН</v>
      </c>
      <c r="K2752" s="7">
        <f>VLOOKUP(J2752,Лист2!A$2:B$4,2,FALSE)</f>
        <v>792</v>
      </c>
      <c r="L2752" s="7" t="str">
        <f t="shared" si="170"/>
        <v>ГОТОВ_ИЗМЕНЕН</v>
      </c>
      <c r="M2752" s="7">
        <f t="shared" si="171"/>
        <v>0</v>
      </c>
    </row>
    <row r="2753" spans="1:13" x14ac:dyDescent="0.25">
      <c r="A2753" s="1">
        <v>945651</v>
      </c>
      <c r="B2753" s="6" t="s">
        <v>2887</v>
      </c>
      <c r="F2753" s="6" t="s">
        <v>9</v>
      </c>
      <c r="G2753" s="6" t="s">
        <v>34</v>
      </c>
      <c r="H2753" s="9" t="s">
        <v>35</v>
      </c>
      <c r="I2753" s="7" t="str">
        <f t="shared" si="168"/>
        <v>61001002000</v>
      </c>
      <c r="J2753" s="7" t="str">
        <f t="shared" si="169"/>
        <v>Материал по ЕГРН</v>
      </c>
      <c r="K2753" s="7">
        <f>VLOOKUP(J2753,Лист2!A$2:B$4,2,FALSE)</f>
        <v>792</v>
      </c>
      <c r="L2753" s="7" t="str">
        <f t="shared" si="170"/>
        <v>ГОТОВ_ИЗМЕНЕН</v>
      </c>
      <c r="M2753" s="7">
        <f t="shared" si="171"/>
        <v>0</v>
      </c>
    </row>
    <row r="2754" spans="1:13" x14ac:dyDescent="0.25">
      <c r="A2754" s="1">
        <v>945663</v>
      </c>
      <c r="B2754" s="6" t="s">
        <v>2888</v>
      </c>
      <c r="F2754" s="6" t="s">
        <v>9</v>
      </c>
      <c r="G2754" s="6" t="s">
        <v>34</v>
      </c>
      <c r="H2754" s="9" t="s">
        <v>35</v>
      </c>
      <c r="I2754" s="7" t="str">
        <f t="shared" si="168"/>
        <v>61001002000</v>
      </c>
      <c r="J2754" s="7" t="str">
        <f t="shared" si="169"/>
        <v>Материал по ЕГРН</v>
      </c>
      <c r="K2754" s="7">
        <f>VLOOKUP(J2754,Лист2!A$2:B$4,2,FALSE)</f>
        <v>792</v>
      </c>
      <c r="L2754" s="7" t="str">
        <f t="shared" si="170"/>
        <v>ГОТОВ_ИЗМЕНЕН</v>
      </c>
      <c r="M2754" s="7">
        <f t="shared" si="171"/>
        <v>0</v>
      </c>
    </row>
    <row r="2755" spans="1:13" x14ac:dyDescent="0.25">
      <c r="A2755" s="1">
        <v>945675</v>
      </c>
      <c r="B2755" s="6" t="s">
        <v>2889</v>
      </c>
      <c r="F2755" s="6" t="s">
        <v>9</v>
      </c>
      <c r="G2755" s="6" t="s">
        <v>62</v>
      </c>
      <c r="H2755" s="9" t="s">
        <v>63</v>
      </c>
      <c r="I2755" s="7" t="str">
        <f t="shared" si="168"/>
        <v>61001006002</v>
      </c>
      <c r="J2755" s="7" t="str">
        <f t="shared" si="169"/>
        <v>Материал по ЕГРН</v>
      </c>
      <c r="K2755" s="7">
        <f>VLOOKUP(J2755,Лист2!A$2:B$4,2,FALSE)</f>
        <v>792</v>
      </c>
      <c r="L2755" s="7" t="str">
        <f t="shared" si="170"/>
        <v>ГОТОВ_ИЗМЕНЕН</v>
      </c>
      <c r="M2755" s="7">
        <f t="shared" si="171"/>
        <v>0</v>
      </c>
    </row>
    <row r="2756" spans="1:13" x14ac:dyDescent="0.25">
      <c r="A2756" s="1">
        <v>945687</v>
      </c>
      <c r="B2756" s="6" t="s">
        <v>2890</v>
      </c>
      <c r="F2756" s="6" t="s">
        <v>9</v>
      </c>
      <c r="G2756" s="6" t="s">
        <v>10</v>
      </c>
      <c r="H2756" s="9" t="s">
        <v>11</v>
      </c>
      <c r="I2756" s="7" t="str">
        <f t="shared" si="168"/>
        <v>61001003000</v>
      </c>
      <c r="J2756" s="7" t="str">
        <f t="shared" si="169"/>
        <v>Материал по ЕГРН</v>
      </c>
      <c r="K2756" s="7">
        <f>VLOOKUP(J2756,Лист2!A$2:B$4,2,FALSE)</f>
        <v>792</v>
      </c>
      <c r="L2756" s="7" t="str">
        <f t="shared" si="170"/>
        <v>ГОТОВ_ИЗМЕНЕН</v>
      </c>
      <c r="M2756" s="7">
        <f t="shared" si="171"/>
        <v>0</v>
      </c>
    </row>
    <row r="2757" spans="1:13" x14ac:dyDescent="0.25">
      <c r="A2757" s="1">
        <v>945699</v>
      </c>
      <c r="B2757" s="6" t="s">
        <v>2891</v>
      </c>
      <c r="E2757" s="6" t="s">
        <v>8</v>
      </c>
      <c r="F2757" s="6" t="s">
        <v>9</v>
      </c>
      <c r="G2757" s="6" t="s">
        <v>1358</v>
      </c>
      <c r="H2757" s="9" t="s">
        <v>805</v>
      </c>
      <c r="I2757" s="7" t="str">
        <f t="shared" ref="I2757:I2820" si="172">IF(LEN(H2757)=11,H2757,IF(LEN(H2757)=0,"61001005000","61001003000"))</f>
        <v>61001003000</v>
      </c>
      <c r="J2757" s="7" t="str">
        <f t="shared" ref="J2757:J2820" si="173">IF(LEN(H2757)=11,"Материал по ЕГРН",IF(LEN(H2757)=0,"Прочие по допущению","Смешанные по допущению"))</f>
        <v>Смешанные по допущению</v>
      </c>
      <c r="K2757" s="7">
        <f>VLOOKUP(J2757,Лист2!A$2:B$4,2,FALSE)</f>
        <v>793</v>
      </c>
      <c r="L2757" s="7" t="str">
        <f t="shared" ref="L2757:L2820" si="174">IF(I2757=C2757,"ГОТОВ","ГОТОВ_ИЗМЕНЕН")</f>
        <v>ГОТОВ_ИЗМЕНЕН</v>
      </c>
      <c r="M2757" s="7">
        <f t="shared" ref="M2757:M2820" si="175">C2757</f>
        <v>0</v>
      </c>
    </row>
    <row r="2758" spans="1:13" x14ac:dyDescent="0.25">
      <c r="A2758" s="1">
        <v>945711</v>
      </c>
      <c r="B2758" s="6" t="s">
        <v>2892</v>
      </c>
      <c r="F2758" s="6" t="s">
        <v>9</v>
      </c>
      <c r="G2758" s="6" t="s">
        <v>73</v>
      </c>
      <c r="H2758" s="9" t="s">
        <v>74</v>
      </c>
      <c r="I2758" s="7" t="str">
        <f t="shared" si="172"/>
        <v>61001006000</v>
      </c>
      <c r="J2758" s="7" t="str">
        <f t="shared" si="173"/>
        <v>Материал по ЕГРН</v>
      </c>
      <c r="K2758" s="7">
        <f>VLOOKUP(J2758,Лист2!A$2:B$4,2,FALSE)</f>
        <v>792</v>
      </c>
      <c r="L2758" s="7" t="str">
        <f t="shared" si="174"/>
        <v>ГОТОВ_ИЗМЕНЕН</v>
      </c>
      <c r="M2758" s="7">
        <f t="shared" si="175"/>
        <v>0</v>
      </c>
    </row>
    <row r="2759" spans="1:13" x14ac:dyDescent="0.25">
      <c r="A2759" s="1">
        <v>945723</v>
      </c>
      <c r="B2759" s="6" t="s">
        <v>2893</v>
      </c>
      <c r="F2759" s="6" t="s">
        <v>9</v>
      </c>
      <c r="G2759" s="6" t="s">
        <v>73</v>
      </c>
      <c r="H2759" s="9" t="s">
        <v>74</v>
      </c>
      <c r="I2759" s="7" t="str">
        <f t="shared" si="172"/>
        <v>61001006000</v>
      </c>
      <c r="J2759" s="7" t="str">
        <f t="shared" si="173"/>
        <v>Материал по ЕГРН</v>
      </c>
      <c r="K2759" s="7">
        <f>VLOOKUP(J2759,Лист2!A$2:B$4,2,FALSE)</f>
        <v>792</v>
      </c>
      <c r="L2759" s="7" t="str">
        <f t="shared" si="174"/>
        <v>ГОТОВ_ИЗМЕНЕН</v>
      </c>
      <c r="M2759" s="7">
        <f t="shared" si="175"/>
        <v>0</v>
      </c>
    </row>
    <row r="2760" spans="1:13" x14ac:dyDescent="0.25">
      <c r="A2760" s="1">
        <v>945735</v>
      </c>
      <c r="B2760" s="6" t="s">
        <v>2894</v>
      </c>
      <c r="F2760" s="6" t="s">
        <v>9</v>
      </c>
      <c r="G2760" s="6" t="s">
        <v>38</v>
      </c>
      <c r="H2760" s="9" t="s">
        <v>33</v>
      </c>
      <c r="I2760" s="7" t="str">
        <f t="shared" si="172"/>
        <v>61001005000</v>
      </c>
      <c r="J2760" s="7" t="str">
        <f t="shared" si="173"/>
        <v>Материал по ЕГРН</v>
      </c>
      <c r="K2760" s="7">
        <f>VLOOKUP(J2760,Лист2!A$2:B$4,2,FALSE)</f>
        <v>792</v>
      </c>
      <c r="L2760" s="7" t="str">
        <f t="shared" si="174"/>
        <v>ГОТОВ_ИЗМЕНЕН</v>
      </c>
      <c r="M2760" s="7">
        <f t="shared" si="175"/>
        <v>0</v>
      </c>
    </row>
    <row r="2761" spans="1:13" x14ac:dyDescent="0.25">
      <c r="A2761" s="1">
        <v>945747</v>
      </c>
      <c r="B2761" s="6" t="s">
        <v>2895</v>
      </c>
      <c r="F2761" s="6" t="s">
        <v>9</v>
      </c>
      <c r="G2761" s="6" t="s">
        <v>149</v>
      </c>
      <c r="H2761" s="9" t="s">
        <v>150</v>
      </c>
      <c r="I2761" s="7" t="str">
        <f t="shared" si="172"/>
        <v>61001007000</v>
      </c>
      <c r="J2761" s="7" t="str">
        <f t="shared" si="173"/>
        <v>Материал по ЕГРН</v>
      </c>
      <c r="K2761" s="7">
        <f>VLOOKUP(J2761,Лист2!A$2:B$4,2,FALSE)</f>
        <v>792</v>
      </c>
      <c r="L2761" s="7" t="str">
        <f t="shared" si="174"/>
        <v>ГОТОВ_ИЗМЕНЕН</v>
      </c>
      <c r="M2761" s="7">
        <f t="shared" si="175"/>
        <v>0</v>
      </c>
    </row>
    <row r="2762" spans="1:13" x14ac:dyDescent="0.25">
      <c r="A2762" s="1">
        <v>945759</v>
      </c>
      <c r="B2762" s="6" t="s">
        <v>2896</v>
      </c>
      <c r="F2762" s="6" t="s">
        <v>9</v>
      </c>
      <c r="G2762" s="6" t="s">
        <v>38</v>
      </c>
      <c r="H2762" s="9" t="s">
        <v>33</v>
      </c>
      <c r="I2762" s="7" t="str">
        <f t="shared" si="172"/>
        <v>61001005000</v>
      </c>
      <c r="J2762" s="7" t="str">
        <f t="shared" si="173"/>
        <v>Материал по ЕГРН</v>
      </c>
      <c r="K2762" s="7">
        <f>VLOOKUP(J2762,Лист2!A$2:B$4,2,FALSE)</f>
        <v>792</v>
      </c>
      <c r="L2762" s="7" t="str">
        <f t="shared" si="174"/>
        <v>ГОТОВ_ИЗМЕНЕН</v>
      </c>
      <c r="M2762" s="7">
        <f t="shared" si="175"/>
        <v>0</v>
      </c>
    </row>
    <row r="2763" spans="1:13" x14ac:dyDescent="0.25">
      <c r="A2763" s="1">
        <v>945771</v>
      </c>
      <c r="B2763" s="6" t="s">
        <v>2897</v>
      </c>
      <c r="F2763" s="6" t="s">
        <v>9</v>
      </c>
      <c r="G2763" s="6" t="s">
        <v>62</v>
      </c>
      <c r="H2763" s="9" t="s">
        <v>63</v>
      </c>
      <c r="I2763" s="7" t="str">
        <f t="shared" si="172"/>
        <v>61001006002</v>
      </c>
      <c r="J2763" s="7" t="str">
        <f t="shared" si="173"/>
        <v>Материал по ЕГРН</v>
      </c>
      <c r="K2763" s="7">
        <f>VLOOKUP(J2763,Лист2!A$2:B$4,2,FALSE)</f>
        <v>792</v>
      </c>
      <c r="L2763" s="7" t="str">
        <f t="shared" si="174"/>
        <v>ГОТОВ_ИЗМЕНЕН</v>
      </c>
      <c r="M2763" s="7">
        <f t="shared" si="175"/>
        <v>0</v>
      </c>
    </row>
    <row r="2764" spans="1:13" x14ac:dyDescent="0.25">
      <c r="A2764" s="1">
        <v>221064</v>
      </c>
      <c r="B2764" s="6" t="s">
        <v>2898</v>
      </c>
      <c r="C2764" s="9" t="s">
        <v>33</v>
      </c>
      <c r="D2764" s="6" t="s">
        <v>20</v>
      </c>
      <c r="E2764" s="6" t="s">
        <v>37</v>
      </c>
      <c r="F2764" s="6" t="s">
        <v>9</v>
      </c>
      <c r="G2764" s="6" t="s">
        <v>38</v>
      </c>
      <c r="H2764" s="9" t="s">
        <v>33</v>
      </c>
      <c r="I2764" s="7" t="str">
        <f t="shared" si="172"/>
        <v>61001005000</v>
      </c>
      <c r="J2764" s="7" t="str">
        <f t="shared" si="173"/>
        <v>Материал по ЕГРН</v>
      </c>
      <c r="K2764" s="7">
        <f>VLOOKUP(J2764,Лист2!A$2:B$4,2,FALSE)</f>
        <v>792</v>
      </c>
      <c r="L2764" s="7" t="str">
        <f t="shared" si="174"/>
        <v>ГОТОВ</v>
      </c>
      <c r="M2764" s="7" t="str">
        <f t="shared" si="175"/>
        <v>61001005000</v>
      </c>
    </row>
    <row r="2765" spans="1:13" x14ac:dyDescent="0.25">
      <c r="A2765" s="1">
        <v>599389</v>
      </c>
      <c r="B2765" s="6" t="s">
        <v>2899</v>
      </c>
      <c r="C2765" s="9" t="s">
        <v>33</v>
      </c>
      <c r="D2765" s="6" t="s">
        <v>20</v>
      </c>
      <c r="E2765" s="6" t="s">
        <v>37</v>
      </c>
      <c r="F2765" s="6" t="s">
        <v>9</v>
      </c>
      <c r="G2765" s="6" t="s">
        <v>38</v>
      </c>
      <c r="H2765" s="9" t="s">
        <v>33</v>
      </c>
      <c r="I2765" s="7" t="str">
        <f t="shared" si="172"/>
        <v>61001005000</v>
      </c>
      <c r="J2765" s="7" t="str">
        <f t="shared" si="173"/>
        <v>Материал по ЕГРН</v>
      </c>
      <c r="K2765" s="7">
        <f>VLOOKUP(J2765,Лист2!A$2:B$4,2,FALSE)</f>
        <v>792</v>
      </c>
      <c r="L2765" s="7" t="str">
        <f t="shared" si="174"/>
        <v>ГОТОВ</v>
      </c>
      <c r="M2765" s="7" t="str">
        <f t="shared" si="175"/>
        <v>61001005000</v>
      </c>
    </row>
    <row r="2766" spans="1:13" x14ac:dyDescent="0.25">
      <c r="A2766" s="1">
        <v>944282</v>
      </c>
      <c r="B2766" s="6" t="s">
        <v>2900</v>
      </c>
      <c r="F2766" s="6" t="s">
        <v>9</v>
      </c>
      <c r="G2766" s="6" t="s">
        <v>62</v>
      </c>
      <c r="H2766" s="9" t="s">
        <v>63</v>
      </c>
      <c r="I2766" s="7" t="str">
        <f t="shared" si="172"/>
        <v>61001006002</v>
      </c>
      <c r="J2766" s="7" t="str">
        <f t="shared" si="173"/>
        <v>Материал по ЕГРН</v>
      </c>
      <c r="K2766" s="7">
        <f>VLOOKUP(J2766,Лист2!A$2:B$4,2,FALSE)</f>
        <v>792</v>
      </c>
      <c r="L2766" s="7" t="str">
        <f t="shared" si="174"/>
        <v>ГОТОВ_ИЗМЕНЕН</v>
      </c>
      <c r="M2766" s="7">
        <f t="shared" si="175"/>
        <v>0</v>
      </c>
    </row>
    <row r="2767" spans="1:13" x14ac:dyDescent="0.25">
      <c r="A2767" s="1">
        <v>944294</v>
      </c>
      <c r="B2767" s="6" t="s">
        <v>2901</v>
      </c>
      <c r="F2767" s="6" t="s">
        <v>9</v>
      </c>
      <c r="G2767" s="6" t="s">
        <v>10</v>
      </c>
      <c r="H2767" s="9" t="s">
        <v>11</v>
      </c>
      <c r="I2767" s="7" t="str">
        <f t="shared" si="172"/>
        <v>61001003000</v>
      </c>
      <c r="J2767" s="7" t="str">
        <f t="shared" si="173"/>
        <v>Материал по ЕГРН</v>
      </c>
      <c r="K2767" s="7">
        <f>VLOOKUP(J2767,Лист2!A$2:B$4,2,FALSE)</f>
        <v>792</v>
      </c>
      <c r="L2767" s="7" t="str">
        <f t="shared" si="174"/>
        <v>ГОТОВ_ИЗМЕНЕН</v>
      </c>
      <c r="M2767" s="7">
        <f t="shared" si="175"/>
        <v>0</v>
      </c>
    </row>
    <row r="2768" spans="1:13" x14ac:dyDescent="0.25">
      <c r="A2768" s="1">
        <v>944306</v>
      </c>
      <c r="B2768" s="6" t="s">
        <v>2902</v>
      </c>
      <c r="F2768" s="6" t="s">
        <v>9</v>
      </c>
      <c r="G2768" s="6" t="s">
        <v>62</v>
      </c>
      <c r="H2768" s="9" t="s">
        <v>63</v>
      </c>
      <c r="I2768" s="7" t="str">
        <f t="shared" si="172"/>
        <v>61001006002</v>
      </c>
      <c r="J2768" s="7" t="str">
        <f t="shared" si="173"/>
        <v>Материал по ЕГРН</v>
      </c>
      <c r="K2768" s="7">
        <f>VLOOKUP(J2768,Лист2!A$2:B$4,2,FALSE)</f>
        <v>792</v>
      </c>
      <c r="L2768" s="7" t="str">
        <f t="shared" si="174"/>
        <v>ГОТОВ_ИЗМЕНЕН</v>
      </c>
      <c r="M2768" s="7">
        <f t="shared" si="175"/>
        <v>0</v>
      </c>
    </row>
    <row r="2769" spans="1:13" x14ac:dyDescent="0.25">
      <c r="A2769" s="1">
        <v>944318</v>
      </c>
      <c r="B2769" s="6" t="s">
        <v>2903</v>
      </c>
      <c r="F2769" s="6" t="s">
        <v>9</v>
      </c>
      <c r="G2769" s="6" t="s">
        <v>10</v>
      </c>
      <c r="H2769" s="9" t="s">
        <v>11</v>
      </c>
      <c r="I2769" s="7" t="str">
        <f t="shared" si="172"/>
        <v>61001003000</v>
      </c>
      <c r="J2769" s="7" t="str">
        <f t="shared" si="173"/>
        <v>Материал по ЕГРН</v>
      </c>
      <c r="K2769" s="7">
        <f>VLOOKUP(J2769,Лист2!A$2:B$4,2,FALSE)</f>
        <v>792</v>
      </c>
      <c r="L2769" s="7" t="str">
        <f t="shared" si="174"/>
        <v>ГОТОВ_ИЗМЕНЕН</v>
      </c>
      <c r="M2769" s="7">
        <f t="shared" si="175"/>
        <v>0</v>
      </c>
    </row>
    <row r="2770" spans="1:13" x14ac:dyDescent="0.25">
      <c r="A2770" s="1">
        <v>944330</v>
      </c>
      <c r="B2770" s="6" t="s">
        <v>2904</v>
      </c>
      <c r="F2770" s="6" t="s">
        <v>9</v>
      </c>
      <c r="G2770" s="6" t="s">
        <v>38</v>
      </c>
      <c r="H2770" s="9" t="s">
        <v>33</v>
      </c>
      <c r="I2770" s="7" t="str">
        <f t="shared" si="172"/>
        <v>61001005000</v>
      </c>
      <c r="J2770" s="7" t="str">
        <f t="shared" si="173"/>
        <v>Материал по ЕГРН</v>
      </c>
      <c r="K2770" s="7">
        <f>VLOOKUP(J2770,Лист2!A$2:B$4,2,FALSE)</f>
        <v>792</v>
      </c>
      <c r="L2770" s="7" t="str">
        <f t="shared" si="174"/>
        <v>ГОТОВ_ИЗМЕНЕН</v>
      </c>
      <c r="M2770" s="7">
        <f t="shared" si="175"/>
        <v>0</v>
      </c>
    </row>
    <row r="2771" spans="1:13" x14ac:dyDescent="0.25">
      <c r="A2771" s="1">
        <v>944342</v>
      </c>
      <c r="B2771" s="6" t="s">
        <v>2905</v>
      </c>
      <c r="F2771" s="6" t="s">
        <v>9</v>
      </c>
      <c r="G2771" s="6" t="s">
        <v>34</v>
      </c>
      <c r="H2771" s="9" t="s">
        <v>35</v>
      </c>
      <c r="I2771" s="7" t="str">
        <f t="shared" si="172"/>
        <v>61001002000</v>
      </c>
      <c r="J2771" s="7" t="str">
        <f t="shared" si="173"/>
        <v>Материал по ЕГРН</v>
      </c>
      <c r="K2771" s="7">
        <f>VLOOKUP(J2771,Лист2!A$2:B$4,2,FALSE)</f>
        <v>792</v>
      </c>
      <c r="L2771" s="7" t="str">
        <f t="shared" si="174"/>
        <v>ГОТОВ_ИЗМЕНЕН</v>
      </c>
      <c r="M2771" s="7">
        <f t="shared" si="175"/>
        <v>0</v>
      </c>
    </row>
    <row r="2772" spans="1:13" x14ac:dyDescent="0.25">
      <c r="A2772" s="1">
        <v>944354</v>
      </c>
      <c r="B2772" s="6" t="s">
        <v>2906</v>
      </c>
      <c r="F2772" s="6" t="s">
        <v>9</v>
      </c>
      <c r="G2772" s="6" t="s">
        <v>34</v>
      </c>
      <c r="H2772" s="9" t="s">
        <v>35</v>
      </c>
      <c r="I2772" s="7" t="str">
        <f t="shared" si="172"/>
        <v>61001002000</v>
      </c>
      <c r="J2772" s="7" t="str">
        <f t="shared" si="173"/>
        <v>Материал по ЕГРН</v>
      </c>
      <c r="K2772" s="7">
        <f>VLOOKUP(J2772,Лист2!A$2:B$4,2,FALSE)</f>
        <v>792</v>
      </c>
      <c r="L2772" s="7" t="str">
        <f t="shared" si="174"/>
        <v>ГОТОВ_ИЗМЕНЕН</v>
      </c>
      <c r="M2772" s="7">
        <f t="shared" si="175"/>
        <v>0</v>
      </c>
    </row>
    <row r="2773" spans="1:13" x14ac:dyDescent="0.25">
      <c r="A2773" s="1">
        <v>944366</v>
      </c>
      <c r="B2773" s="6" t="s">
        <v>2907</v>
      </c>
      <c r="E2773" s="6" t="s">
        <v>8</v>
      </c>
      <c r="F2773" s="6" t="s">
        <v>9</v>
      </c>
      <c r="G2773" s="6" t="s">
        <v>365</v>
      </c>
      <c r="H2773" s="9" t="s">
        <v>366</v>
      </c>
      <c r="I2773" s="7" t="str">
        <f t="shared" si="172"/>
        <v>61001003000</v>
      </c>
      <c r="J2773" s="7" t="str">
        <f t="shared" si="173"/>
        <v>Смешанные по допущению</v>
      </c>
      <c r="K2773" s="7">
        <f>VLOOKUP(J2773,Лист2!A$2:B$4,2,FALSE)</f>
        <v>793</v>
      </c>
      <c r="L2773" s="7" t="str">
        <f t="shared" si="174"/>
        <v>ГОТОВ_ИЗМЕНЕН</v>
      </c>
      <c r="M2773" s="7">
        <f t="shared" si="175"/>
        <v>0</v>
      </c>
    </row>
    <row r="2774" spans="1:13" x14ac:dyDescent="0.25">
      <c r="A2774" s="1">
        <v>944378</v>
      </c>
      <c r="B2774" s="6" t="s">
        <v>2908</v>
      </c>
      <c r="F2774" s="6" t="s">
        <v>9</v>
      </c>
      <c r="G2774" s="6" t="s">
        <v>38</v>
      </c>
      <c r="H2774" s="9" t="s">
        <v>33</v>
      </c>
      <c r="I2774" s="7" t="str">
        <f t="shared" si="172"/>
        <v>61001005000</v>
      </c>
      <c r="J2774" s="7" t="str">
        <f t="shared" si="173"/>
        <v>Материал по ЕГРН</v>
      </c>
      <c r="K2774" s="7">
        <f>VLOOKUP(J2774,Лист2!A$2:B$4,2,FALSE)</f>
        <v>792</v>
      </c>
      <c r="L2774" s="7" t="str">
        <f t="shared" si="174"/>
        <v>ГОТОВ_ИЗМЕНЕН</v>
      </c>
      <c r="M2774" s="7">
        <f t="shared" si="175"/>
        <v>0</v>
      </c>
    </row>
    <row r="2775" spans="1:13" x14ac:dyDescent="0.25">
      <c r="A2775" s="1">
        <v>944390</v>
      </c>
      <c r="B2775" s="6" t="s">
        <v>2909</v>
      </c>
      <c r="F2775" s="6" t="s">
        <v>9</v>
      </c>
      <c r="G2775" s="6" t="s">
        <v>1396</v>
      </c>
      <c r="H2775" s="9" t="s">
        <v>1397</v>
      </c>
      <c r="I2775" s="7" t="str">
        <f t="shared" si="172"/>
        <v>61001007003</v>
      </c>
      <c r="J2775" s="7" t="str">
        <f t="shared" si="173"/>
        <v>Материал по ЕГРН</v>
      </c>
      <c r="K2775" s="7">
        <f>VLOOKUP(J2775,Лист2!A$2:B$4,2,FALSE)</f>
        <v>792</v>
      </c>
      <c r="L2775" s="7" t="str">
        <f t="shared" si="174"/>
        <v>ГОТОВ_ИЗМЕНЕН</v>
      </c>
      <c r="M2775" s="7">
        <f t="shared" si="175"/>
        <v>0</v>
      </c>
    </row>
    <row r="2776" spans="1:13" x14ac:dyDescent="0.25">
      <c r="A2776" s="1">
        <v>944402</v>
      </c>
      <c r="B2776" s="6" t="s">
        <v>2910</v>
      </c>
      <c r="F2776" s="6" t="s">
        <v>9</v>
      </c>
      <c r="G2776" s="6" t="s">
        <v>34</v>
      </c>
      <c r="H2776" s="9" t="s">
        <v>35</v>
      </c>
      <c r="I2776" s="7" t="str">
        <f t="shared" si="172"/>
        <v>61001002000</v>
      </c>
      <c r="J2776" s="7" t="str">
        <f t="shared" si="173"/>
        <v>Материал по ЕГРН</v>
      </c>
      <c r="K2776" s="7">
        <f>VLOOKUP(J2776,Лист2!A$2:B$4,2,FALSE)</f>
        <v>792</v>
      </c>
      <c r="L2776" s="7" t="str">
        <f t="shared" si="174"/>
        <v>ГОТОВ_ИЗМЕНЕН</v>
      </c>
      <c r="M2776" s="7">
        <f t="shared" si="175"/>
        <v>0</v>
      </c>
    </row>
    <row r="2777" spans="1:13" x14ac:dyDescent="0.25">
      <c r="A2777" s="1">
        <v>944414</v>
      </c>
      <c r="B2777" s="6" t="s">
        <v>2911</v>
      </c>
      <c r="F2777" s="6" t="s">
        <v>9</v>
      </c>
      <c r="G2777" s="6" t="s">
        <v>34</v>
      </c>
      <c r="H2777" s="9" t="s">
        <v>35</v>
      </c>
      <c r="I2777" s="7" t="str">
        <f t="shared" si="172"/>
        <v>61001002000</v>
      </c>
      <c r="J2777" s="7" t="str">
        <f t="shared" si="173"/>
        <v>Материал по ЕГРН</v>
      </c>
      <c r="K2777" s="7">
        <f>VLOOKUP(J2777,Лист2!A$2:B$4,2,FALSE)</f>
        <v>792</v>
      </c>
      <c r="L2777" s="7" t="str">
        <f t="shared" si="174"/>
        <v>ГОТОВ_ИЗМЕНЕН</v>
      </c>
      <c r="M2777" s="7">
        <f t="shared" si="175"/>
        <v>0</v>
      </c>
    </row>
    <row r="2778" spans="1:13" x14ac:dyDescent="0.25">
      <c r="A2778" s="1">
        <v>944426</v>
      </c>
      <c r="B2778" s="6" t="s">
        <v>2912</v>
      </c>
      <c r="F2778" s="6" t="s">
        <v>9</v>
      </c>
      <c r="G2778" s="6" t="s">
        <v>34</v>
      </c>
      <c r="H2778" s="9" t="s">
        <v>35</v>
      </c>
      <c r="I2778" s="7" t="str">
        <f t="shared" si="172"/>
        <v>61001002000</v>
      </c>
      <c r="J2778" s="7" t="str">
        <f t="shared" si="173"/>
        <v>Материал по ЕГРН</v>
      </c>
      <c r="K2778" s="7">
        <f>VLOOKUP(J2778,Лист2!A$2:B$4,2,FALSE)</f>
        <v>792</v>
      </c>
      <c r="L2778" s="7" t="str">
        <f t="shared" si="174"/>
        <v>ГОТОВ_ИЗМЕНЕН</v>
      </c>
      <c r="M2778" s="7">
        <f t="shared" si="175"/>
        <v>0</v>
      </c>
    </row>
    <row r="2779" spans="1:13" x14ac:dyDescent="0.25">
      <c r="A2779" s="1">
        <v>944438</v>
      </c>
      <c r="B2779" s="6" t="s">
        <v>2913</v>
      </c>
      <c r="F2779" s="6" t="s">
        <v>9</v>
      </c>
      <c r="G2779" s="6" t="s">
        <v>62</v>
      </c>
      <c r="H2779" s="9" t="s">
        <v>63</v>
      </c>
      <c r="I2779" s="7" t="str">
        <f t="shared" si="172"/>
        <v>61001006002</v>
      </c>
      <c r="J2779" s="7" t="str">
        <f t="shared" si="173"/>
        <v>Материал по ЕГРН</v>
      </c>
      <c r="K2779" s="7">
        <f>VLOOKUP(J2779,Лист2!A$2:B$4,2,FALSE)</f>
        <v>792</v>
      </c>
      <c r="L2779" s="7" t="str">
        <f t="shared" si="174"/>
        <v>ГОТОВ_ИЗМЕНЕН</v>
      </c>
      <c r="M2779" s="7">
        <f t="shared" si="175"/>
        <v>0</v>
      </c>
    </row>
    <row r="2780" spans="1:13" x14ac:dyDescent="0.25">
      <c r="A2780" s="1">
        <v>944450</v>
      </c>
      <c r="B2780" s="6" t="s">
        <v>2914</v>
      </c>
      <c r="F2780" s="6" t="s">
        <v>9</v>
      </c>
      <c r="G2780" s="6" t="s">
        <v>62</v>
      </c>
      <c r="H2780" s="9" t="s">
        <v>63</v>
      </c>
      <c r="I2780" s="7" t="str">
        <f t="shared" si="172"/>
        <v>61001006002</v>
      </c>
      <c r="J2780" s="7" t="str">
        <f t="shared" si="173"/>
        <v>Материал по ЕГРН</v>
      </c>
      <c r="K2780" s="7">
        <f>VLOOKUP(J2780,Лист2!A$2:B$4,2,FALSE)</f>
        <v>792</v>
      </c>
      <c r="L2780" s="7" t="str">
        <f t="shared" si="174"/>
        <v>ГОТОВ_ИЗМЕНЕН</v>
      </c>
      <c r="M2780" s="7">
        <f t="shared" si="175"/>
        <v>0</v>
      </c>
    </row>
    <row r="2781" spans="1:13" x14ac:dyDescent="0.25">
      <c r="A2781" s="1">
        <v>944462</v>
      </c>
      <c r="B2781" s="6" t="s">
        <v>2915</v>
      </c>
      <c r="F2781" s="6" t="s">
        <v>9</v>
      </c>
      <c r="G2781" s="6" t="s">
        <v>170</v>
      </c>
      <c r="H2781" s="9" t="s">
        <v>171</v>
      </c>
      <c r="I2781" s="7" t="str">
        <f t="shared" si="172"/>
        <v>61001001000</v>
      </c>
      <c r="J2781" s="7" t="str">
        <f t="shared" si="173"/>
        <v>Материал по ЕГРН</v>
      </c>
      <c r="K2781" s="7">
        <f>VLOOKUP(J2781,Лист2!A$2:B$4,2,FALSE)</f>
        <v>792</v>
      </c>
      <c r="L2781" s="7" t="str">
        <f t="shared" si="174"/>
        <v>ГОТОВ_ИЗМЕНЕН</v>
      </c>
      <c r="M2781" s="7">
        <f t="shared" si="175"/>
        <v>0</v>
      </c>
    </row>
    <row r="2782" spans="1:13" x14ac:dyDescent="0.25">
      <c r="A2782" s="1">
        <v>944474</v>
      </c>
      <c r="B2782" s="6" t="s">
        <v>2916</v>
      </c>
      <c r="F2782" s="6" t="s">
        <v>9</v>
      </c>
      <c r="G2782" s="6" t="s">
        <v>149</v>
      </c>
      <c r="H2782" s="9" t="s">
        <v>150</v>
      </c>
      <c r="I2782" s="7" t="str">
        <f t="shared" si="172"/>
        <v>61001007000</v>
      </c>
      <c r="J2782" s="7" t="str">
        <f t="shared" si="173"/>
        <v>Материал по ЕГРН</v>
      </c>
      <c r="K2782" s="7">
        <f>VLOOKUP(J2782,Лист2!A$2:B$4,2,FALSE)</f>
        <v>792</v>
      </c>
      <c r="L2782" s="7" t="str">
        <f t="shared" si="174"/>
        <v>ГОТОВ_ИЗМЕНЕН</v>
      </c>
      <c r="M2782" s="7">
        <f t="shared" si="175"/>
        <v>0</v>
      </c>
    </row>
    <row r="2783" spans="1:13" x14ac:dyDescent="0.25">
      <c r="A2783" s="1">
        <v>944486</v>
      </c>
      <c r="B2783" s="6" t="s">
        <v>2917</v>
      </c>
      <c r="F2783" s="6" t="s">
        <v>9</v>
      </c>
      <c r="G2783" s="6" t="s">
        <v>38</v>
      </c>
      <c r="H2783" s="9" t="s">
        <v>33</v>
      </c>
      <c r="I2783" s="7" t="str">
        <f t="shared" si="172"/>
        <v>61001005000</v>
      </c>
      <c r="J2783" s="7" t="str">
        <f t="shared" si="173"/>
        <v>Материал по ЕГРН</v>
      </c>
      <c r="K2783" s="7">
        <f>VLOOKUP(J2783,Лист2!A$2:B$4,2,FALSE)</f>
        <v>792</v>
      </c>
      <c r="L2783" s="7" t="str">
        <f t="shared" si="174"/>
        <v>ГОТОВ_ИЗМЕНЕН</v>
      </c>
      <c r="M2783" s="7">
        <f t="shared" si="175"/>
        <v>0</v>
      </c>
    </row>
    <row r="2784" spans="1:13" x14ac:dyDescent="0.25">
      <c r="A2784" s="1">
        <v>944498</v>
      </c>
      <c r="B2784" s="6" t="s">
        <v>2918</v>
      </c>
      <c r="F2784" s="6" t="s">
        <v>9</v>
      </c>
      <c r="G2784" s="6" t="s">
        <v>38</v>
      </c>
      <c r="H2784" s="9" t="s">
        <v>33</v>
      </c>
      <c r="I2784" s="7" t="str">
        <f t="shared" si="172"/>
        <v>61001005000</v>
      </c>
      <c r="J2784" s="7" t="str">
        <f t="shared" si="173"/>
        <v>Материал по ЕГРН</v>
      </c>
      <c r="K2784" s="7">
        <f>VLOOKUP(J2784,Лист2!A$2:B$4,2,FALSE)</f>
        <v>792</v>
      </c>
      <c r="L2784" s="7" t="str">
        <f t="shared" si="174"/>
        <v>ГОТОВ_ИЗМЕНЕН</v>
      </c>
      <c r="M2784" s="7">
        <f t="shared" si="175"/>
        <v>0</v>
      </c>
    </row>
    <row r="2785" spans="1:13" x14ac:dyDescent="0.25">
      <c r="A2785" s="1">
        <v>944510</v>
      </c>
      <c r="B2785" s="6" t="s">
        <v>2919</v>
      </c>
      <c r="F2785" s="6" t="s">
        <v>9</v>
      </c>
      <c r="G2785" s="6" t="s">
        <v>38</v>
      </c>
      <c r="H2785" s="9" t="s">
        <v>33</v>
      </c>
      <c r="I2785" s="7" t="str">
        <f t="shared" si="172"/>
        <v>61001005000</v>
      </c>
      <c r="J2785" s="7" t="str">
        <f t="shared" si="173"/>
        <v>Материал по ЕГРН</v>
      </c>
      <c r="K2785" s="7">
        <f>VLOOKUP(J2785,Лист2!A$2:B$4,2,FALSE)</f>
        <v>792</v>
      </c>
      <c r="L2785" s="7" t="str">
        <f t="shared" si="174"/>
        <v>ГОТОВ_ИЗМЕНЕН</v>
      </c>
      <c r="M2785" s="7">
        <f t="shared" si="175"/>
        <v>0</v>
      </c>
    </row>
    <row r="2786" spans="1:13" x14ac:dyDescent="0.25">
      <c r="A2786" s="1">
        <v>944522</v>
      </c>
      <c r="B2786" s="6" t="s">
        <v>2920</v>
      </c>
      <c r="F2786" s="6" t="s">
        <v>9</v>
      </c>
      <c r="G2786" s="6" t="s">
        <v>59</v>
      </c>
      <c r="H2786" s="9" t="s">
        <v>60</v>
      </c>
      <c r="I2786" s="7" t="str">
        <f t="shared" si="172"/>
        <v>61001001001</v>
      </c>
      <c r="J2786" s="7" t="str">
        <f t="shared" si="173"/>
        <v>Материал по ЕГРН</v>
      </c>
      <c r="K2786" s="7">
        <f>VLOOKUP(J2786,Лист2!A$2:B$4,2,FALSE)</f>
        <v>792</v>
      </c>
      <c r="L2786" s="7" t="str">
        <f t="shared" si="174"/>
        <v>ГОТОВ_ИЗМЕНЕН</v>
      </c>
      <c r="M2786" s="7">
        <f t="shared" si="175"/>
        <v>0</v>
      </c>
    </row>
    <row r="2787" spans="1:13" x14ac:dyDescent="0.25">
      <c r="A2787" s="1">
        <v>944534</v>
      </c>
      <c r="B2787" s="6" t="s">
        <v>2921</v>
      </c>
      <c r="F2787" s="6" t="s">
        <v>9</v>
      </c>
      <c r="G2787" s="6" t="s">
        <v>149</v>
      </c>
      <c r="H2787" s="9" t="s">
        <v>150</v>
      </c>
      <c r="I2787" s="7" t="str">
        <f t="shared" si="172"/>
        <v>61001007000</v>
      </c>
      <c r="J2787" s="7" t="str">
        <f t="shared" si="173"/>
        <v>Материал по ЕГРН</v>
      </c>
      <c r="K2787" s="7">
        <f>VLOOKUP(J2787,Лист2!A$2:B$4,2,FALSE)</f>
        <v>792</v>
      </c>
      <c r="L2787" s="7" t="str">
        <f t="shared" si="174"/>
        <v>ГОТОВ_ИЗМЕНЕН</v>
      </c>
      <c r="M2787" s="7">
        <f t="shared" si="175"/>
        <v>0</v>
      </c>
    </row>
    <row r="2788" spans="1:13" x14ac:dyDescent="0.25">
      <c r="A2788" s="1">
        <v>944546</v>
      </c>
      <c r="B2788" s="6" t="s">
        <v>2922</v>
      </c>
      <c r="F2788" s="6" t="s">
        <v>9</v>
      </c>
      <c r="G2788" s="6" t="s">
        <v>10</v>
      </c>
      <c r="H2788" s="9" t="s">
        <v>11</v>
      </c>
      <c r="I2788" s="7" t="str">
        <f t="shared" si="172"/>
        <v>61001003000</v>
      </c>
      <c r="J2788" s="7" t="str">
        <f t="shared" si="173"/>
        <v>Материал по ЕГРН</v>
      </c>
      <c r="K2788" s="7">
        <f>VLOOKUP(J2788,Лист2!A$2:B$4,2,FALSE)</f>
        <v>792</v>
      </c>
      <c r="L2788" s="7" t="str">
        <f t="shared" si="174"/>
        <v>ГОТОВ_ИЗМЕНЕН</v>
      </c>
      <c r="M2788" s="7">
        <f t="shared" si="175"/>
        <v>0</v>
      </c>
    </row>
    <row r="2789" spans="1:13" x14ac:dyDescent="0.25">
      <c r="A2789" s="1">
        <v>944558</v>
      </c>
      <c r="B2789" s="6" t="s">
        <v>2923</v>
      </c>
      <c r="F2789" s="6" t="s">
        <v>9</v>
      </c>
      <c r="G2789" s="6" t="s">
        <v>139</v>
      </c>
      <c r="H2789" s="9" t="s">
        <v>140</v>
      </c>
      <c r="I2789" s="7" t="str">
        <f t="shared" si="172"/>
        <v>61001999000</v>
      </c>
      <c r="J2789" s="7" t="str">
        <f t="shared" si="173"/>
        <v>Материал по ЕГРН</v>
      </c>
      <c r="K2789" s="7">
        <f>VLOOKUP(J2789,Лист2!A$2:B$4,2,FALSE)</f>
        <v>792</v>
      </c>
      <c r="L2789" s="7" t="str">
        <f t="shared" si="174"/>
        <v>ГОТОВ_ИЗМЕНЕН</v>
      </c>
      <c r="M2789" s="7">
        <f t="shared" si="175"/>
        <v>0</v>
      </c>
    </row>
    <row r="2790" spans="1:13" x14ac:dyDescent="0.25">
      <c r="A2790" s="1">
        <v>944570</v>
      </c>
      <c r="B2790" s="6" t="s">
        <v>2924</v>
      </c>
      <c r="F2790" s="6" t="s">
        <v>9</v>
      </c>
      <c r="G2790" s="6" t="s">
        <v>34</v>
      </c>
      <c r="H2790" s="9" t="s">
        <v>35</v>
      </c>
      <c r="I2790" s="7" t="str">
        <f t="shared" si="172"/>
        <v>61001002000</v>
      </c>
      <c r="J2790" s="7" t="str">
        <f t="shared" si="173"/>
        <v>Материал по ЕГРН</v>
      </c>
      <c r="K2790" s="7">
        <f>VLOOKUP(J2790,Лист2!A$2:B$4,2,FALSE)</f>
        <v>792</v>
      </c>
      <c r="L2790" s="7" t="str">
        <f t="shared" si="174"/>
        <v>ГОТОВ_ИЗМЕНЕН</v>
      </c>
      <c r="M2790" s="7">
        <f t="shared" si="175"/>
        <v>0</v>
      </c>
    </row>
    <row r="2791" spans="1:13" x14ac:dyDescent="0.25">
      <c r="A2791" s="1">
        <v>944582</v>
      </c>
      <c r="B2791" s="6" t="s">
        <v>2925</v>
      </c>
      <c r="F2791" s="6" t="s">
        <v>9</v>
      </c>
      <c r="G2791" s="6" t="s">
        <v>38</v>
      </c>
      <c r="H2791" s="9" t="s">
        <v>33</v>
      </c>
      <c r="I2791" s="7" t="str">
        <f t="shared" si="172"/>
        <v>61001005000</v>
      </c>
      <c r="J2791" s="7" t="str">
        <f t="shared" si="173"/>
        <v>Материал по ЕГРН</v>
      </c>
      <c r="K2791" s="7">
        <f>VLOOKUP(J2791,Лист2!A$2:B$4,2,FALSE)</f>
        <v>792</v>
      </c>
      <c r="L2791" s="7" t="str">
        <f t="shared" si="174"/>
        <v>ГОТОВ_ИЗМЕНЕН</v>
      </c>
      <c r="M2791" s="7">
        <f t="shared" si="175"/>
        <v>0</v>
      </c>
    </row>
    <row r="2792" spans="1:13" x14ac:dyDescent="0.25">
      <c r="A2792" s="1">
        <v>944594</v>
      </c>
      <c r="B2792" s="6" t="s">
        <v>2926</v>
      </c>
      <c r="F2792" s="6" t="s">
        <v>9</v>
      </c>
      <c r="G2792" s="6" t="s">
        <v>149</v>
      </c>
      <c r="H2792" s="9" t="s">
        <v>150</v>
      </c>
      <c r="I2792" s="7" t="str">
        <f t="shared" si="172"/>
        <v>61001007000</v>
      </c>
      <c r="J2792" s="7" t="str">
        <f t="shared" si="173"/>
        <v>Материал по ЕГРН</v>
      </c>
      <c r="K2792" s="7">
        <f>VLOOKUP(J2792,Лист2!A$2:B$4,2,FALSE)</f>
        <v>792</v>
      </c>
      <c r="L2792" s="7" t="str">
        <f t="shared" si="174"/>
        <v>ГОТОВ_ИЗМЕНЕН</v>
      </c>
      <c r="M2792" s="7">
        <f t="shared" si="175"/>
        <v>0</v>
      </c>
    </row>
    <row r="2793" spans="1:13" x14ac:dyDescent="0.25">
      <c r="A2793" s="1">
        <v>944606</v>
      </c>
      <c r="B2793" s="6" t="s">
        <v>2927</v>
      </c>
      <c r="F2793" s="6" t="s">
        <v>9</v>
      </c>
      <c r="G2793" s="6" t="s">
        <v>34</v>
      </c>
      <c r="H2793" s="9" t="s">
        <v>35</v>
      </c>
      <c r="I2793" s="7" t="str">
        <f t="shared" si="172"/>
        <v>61001002000</v>
      </c>
      <c r="J2793" s="7" t="str">
        <f t="shared" si="173"/>
        <v>Материал по ЕГРН</v>
      </c>
      <c r="K2793" s="7">
        <f>VLOOKUP(J2793,Лист2!A$2:B$4,2,FALSE)</f>
        <v>792</v>
      </c>
      <c r="L2793" s="7" t="str">
        <f t="shared" si="174"/>
        <v>ГОТОВ_ИЗМЕНЕН</v>
      </c>
      <c r="M2793" s="7">
        <f t="shared" si="175"/>
        <v>0</v>
      </c>
    </row>
    <row r="2794" spans="1:13" x14ac:dyDescent="0.25">
      <c r="A2794" s="1">
        <v>944618</v>
      </c>
      <c r="B2794" s="6" t="s">
        <v>2928</v>
      </c>
      <c r="F2794" s="6" t="s">
        <v>9</v>
      </c>
      <c r="G2794" s="6" t="s">
        <v>38</v>
      </c>
      <c r="H2794" s="9" t="s">
        <v>33</v>
      </c>
      <c r="I2794" s="7" t="str">
        <f t="shared" si="172"/>
        <v>61001005000</v>
      </c>
      <c r="J2794" s="7" t="str">
        <f t="shared" si="173"/>
        <v>Материал по ЕГРН</v>
      </c>
      <c r="K2794" s="7">
        <f>VLOOKUP(J2794,Лист2!A$2:B$4,2,FALSE)</f>
        <v>792</v>
      </c>
      <c r="L2794" s="7" t="str">
        <f t="shared" si="174"/>
        <v>ГОТОВ_ИЗМЕНЕН</v>
      </c>
      <c r="M2794" s="7">
        <f t="shared" si="175"/>
        <v>0</v>
      </c>
    </row>
    <row r="2795" spans="1:13" x14ac:dyDescent="0.25">
      <c r="A2795" s="1">
        <v>944630</v>
      </c>
      <c r="B2795" s="6" t="s">
        <v>2929</v>
      </c>
      <c r="F2795" s="6" t="s">
        <v>9</v>
      </c>
      <c r="G2795" s="6" t="s">
        <v>38</v>
      </c>
      <c r="H2795" s="9" t="s">
        <v>33</v>
      </c>
      <c r="I2795" s="7" t="str">
        <f t="shared" si="172"/>
        <v>61001005000</v>
      </c>
      <c r="J2795" s="7" t="str">
        <f t="shared" si="173"/>
        <v>Материал по ЕГРН</v>
      </c>
      <c r="K2795" s="7">
        <f>VLOOKUP(J2795,Лист2!A$2:B$4,2,FALSE)</f>
        <v>792</v>
      </c>
      <c r="L2795" s="7" t="str">
        <f t="shared" si="174"/>
        <v>ГОТОВ_ИЗМЕНЕН</v>
      </c>
      <c r="M2795" s="7">
        <f t="shared" si="175"/>
        <v>0</v>
      </c>
    </row>
    <row r="2796" spans="1:13" x14ac:dyDescent="0.25">
      <c r="A2796" s="1">
        <v>945810</v>
      </c>
      <c r="B2796" s="6" t="s">
        <v>2930</v>
      </c>
      <c r="F2796" s="6" t="s">
        <v>9</v>
      </c>
      <c r="G2796" s="6" t="s">
        <v>34</v>
      </c>
      <c r="H2796" s="9" t="s">
        <v>35</v>
      </c>
      <c r="I2796" s="7" t="str">
        <f t="shared" si="172"/>
        <v>61001002000</v>
      </c>
      <c r="J2796" s="7" t="str">
        <f t="shared" si="173"/>
        <v>Материал по ЕГРН</v>
      </c>
      <c r="K2796" s="7">
        <f>VLOOKUP(J2796,Лист2!A$2:B$4,2,FALSE)</f>
        <v>792</v>
      </c>
      <c r="L2796" s="7" t="str">
        <f t="shared" si="174"/>
        <v>ГОТОВ_ИЗМЕНЕН</v>
      </c>
      <c r="M2796" s="7">
        <f t="shared" si="175"/>
        <v>0</v>
      </c>
    </row>
    <row r="2797" spans="1:13" x14ac:dyDescent="0.25">
      <c r="A2797" s="1">
        <v>945822</v>
      </c>
      <c r="B2797" s="6" t="s">
        <v>2931</v>
      </c>
      <c r="F2797" s="6" t="s">
        <v>9</v>
      </c>
      <c r="G2797" s="6" t="s">
        <v>34</v>
      </c>
      <c r="H2797" s="9" t="s">
        <v>35</v>
      </c>
      <c r="I2797" s="7" t="str">
        <f t="shared" si="172"/>
        <v>61001002000</v>
      </c>
      <c r="J2797" s="7" t="str">
        <f t="shared" si="173"/>
        <v>Материал по ЕГРН</v>
      </c>
      <c r="K2797" s="7">
        <f>VLOOKUP(J2797,Лист2!A$2:B$4,2,FALSE)</f>
        <v>792</v>
      </c>
      <c r="L2797" s="7" t="str">
        <f t="shared" si="174"/>
        <v>ГОТОВ_ИЗМЕНЕН</v>
      </c>
      <c r="M2797" s="7">
        <f t="shared" si="175"/>
        <v>0</v>
      </c>
    </row>
    <row r="2798" spans="1:13" x14ac:dyDescent="0.25">
      <c r="A2798" s="1">
        <v>945834</v>
      </c>
      <c r="B2798" s="6" t="s">
        <v>2932</v>
      </c>
      <c r="F2798" s="6" t="s">
        <v>9</v>
      </c>
      <c r="G2798" s="6" t="s">
        <v>38</v>
      </c>
      <c r="H2798" s="9" t="s">
        <v>33</v>
      </c>
      <c r="I2798" s="7" t="str">
        <f t="shared" si="172"/>
        <v>61001005000</v>
      </c>
      <c r="J2798" s="7" t="str">
        <f t="shared" si="173"/>
        <v>Материал по ЕГРН</v>
      </c>
      <c r="K2798" s="7">
        <f>VLOOKUP(J2798,Лист2!A$2:B$4,2,FALSE)</f>
        <v>792</v>
      </c>
      <c r="L2798" s="7" t="str">
        <f t="shared" si="174"/>
        <v>ГОТОВ_ИЗМЕНЕН</v>
      </c>
      <c r="M2798" s="7">
        <f t="shared" si="175"/>
        <v>0</v>
      </c>
    </row>
    <row r="2799" spans="1:13" x14ac:dyDescent="0.25">
      <c r="A2799" s="1">
        <v>945846</v>
      </c>
      <c r="B2799" s="6" t="s">
        <v>2933</v>
      </c>
      <c r="F2799" s="6" t="s">
        <v>9</v>
      </c>
      <c r="G2799" s="6" t="s">
        <v>90</v>
      </c>
      <c r="H2799" s="9" t="s">
        <v>12</v>
      </c>
      <c r="I2799" s="7" t="str">
        <f t="shared" si="172"/>
        <v>61001008000</v>
      </c>
      <c r="J2799" s="7" t="str">
        <f t="shared" si="173"/>
        <v>Материал по ЕГРН</v>
      </c>
      <c r="K2799" s="7">
        <f>VLOOKUP(J2799,Лист2!A$2:B$4,2,FALSE)</f>
        <v>792</v>
      </c>
      <c r="L2799" s="7" t="str">
        <f t="shared" si="174"/>
        <v>ГОТОВ_ИЗМЕНЕН</v>
      </c>
      <c r="M2799" s="7">
        <f t="shared" si="175"/>
        <v>0</v>
      </c>
    </row>
    <row r="2800" spans="1:13" x14ac:dyDescent="0.25">
      <c r="A2800" s="1">
        <v>945858</v>
      </c>
      <c r="B2800" s="6" t="s">
        <v>2934</v>
      </c>
      <c r="F2800" s="6" t="s">
        <v>9</v>
      </c>
      <c r="G2800" s="6" t="s">
        <v>34</v>
      </c>
      <c r="H2800" s="9" t="s">
        <v>35</v>
      </c>
      <c r="I2800" s="7" t="str">
        <f t="shared" si="172"/>
        <v>61001002000</v>
      </c>
      <c r="J2800" s="7" t="str">
        <f t="shared" si="173"/>
        <v>Материал по ЕГРН</v>
      </c>
      <c r="K2800" s="7">
        <f>VLOOKUP(J2800,Лист2!A$2:B$4,2,FALSE)</f>
        <v>792</v>
      </c>
      <c r="L2800" s="7" t="str">
        <f t="shared" si="174"/>
        <v>ГОТОВ_ИЗМЕНЕН</v>
      </c>
      <c r="M2800" s="7">
        <f t="shared" si="175"/>
        <v>0</v>
      </c>
    </row>
    <row r="2801" spans="1:13" x14ac:dyDescent="0.25">
      <c r="A2801" s="1">
        <v>945870</v>
      </c>
      <c r="B2801" s="6" t="s">
        <v>2935</v>
      </c>
      <c r="F2801" s="6" t="s">
        <v>9</v>
      </c>
      <c r="G2801" s="6" t="s">
        <v>59</v>
      </c>
      <c r="H2801" s="9" t="s">
        <v>60</v>
      </c>
      <c r="I2801" s="7" t="str">
        <f t="shared" si="172"/>
        <v>61001001001</v>
      </c>
      <c r="J2801" s="7" t="str">
        <f t="shared" si="173"/>
        <v>Материал по ЕГРН</v>
      </c>
      <c r="K2801" s="7">
        <f>VLOOKUP(J2801,Лист2!A$2:B$4,2,FALSE)</f>
        <v>792</v>
      </c>
      <c r="L2801" s="7" t="str">
        <f t="shared" si="174"/>
        <v>ГОТОВ_ИЗМЕНЕН</v>
      </c>
      <c r="M2801" s="7">
        <f t="shared" si="175"/>
        <v>0</v>
      </c>
    </row>
    <row r="2802" spans="1:13" x14ac:dyDescent="0.25">
      <c r="A2802" s="1">
        <v>945882</v>
      </c>
      <c r="B2802" s="6" t="s">
        <v>2936</v>
      </c>
      <c r="F2802" s="6" t="s">
        <v>9</v>
      </c>
      <c r="G2802" s="6" t="s">
        <v>38</v>
      </c>
      <c r="H2802" s="9" t="s">
        <v>33</v>
      </c>
      <c r="I2802" s="7" t="str">
        <f t="shared" si="172"/>
        <v>61001005000</v>
      </c>
      <c r="J2802" s="7" t="str">
        <f t="shared" si="173"/>
        <v>Материал по ЕГРН</v>
      </c>
      <c r="K2802" s="7">
        <f>VLOOKUP(J2802,Лист2!A$2:B$4,2,FALSE)</f>
        <v>792</v>
      </c>
      <c r="L2802" s="7" t="str">
        <f t="shared" si="174"/>
        <v>ГОТОВ_ИЗМЕНЕН</v>
      </c>
      <c r="M2802" s="7">
        <f t="shared" si="175"/>
        <v>0</v>
      </c>
    </row>
    <row r="2803" spans="1:13" x14ac:dyDescent="0.25">
      <c r="A2803" s="1">
        <v>945894</v>
      </c>
      <c r="B2803" s="6" t="s">
        <v>2937</v>
      </c>
      <c r="F2803" s="6" t="s">
        <v>9</v>
      </c>
      <c r="G2803" s="6" t="s">
        <v>38</v>
      </c>
      <c r="H2803" s="9" t="s">
        <v>33</v>
      </c>
      <c r="I2803" s="7" t="str">
        <f t="shared" si="172"/>
        <v>61001005000</v>
      </c>
      <c r="J2803" s="7" t="str">
        <f t="shared" si="173"/>
        <v>Материал по ЕГРН</v>
      </c>
      <c r="K2803" s="7">
        <f>VLOOKUP(J2803,Лист2!A$2:B$4,2,FALSE)</f>
        <v>792</v>
      </c>
      <c r="L2803" s="7" t="str">
        <f t="shared" si="174"/>
        <v>ГОТОВ_ИЗМЕНЕН</v>
      </c>
      <c r="M2803" s="7">
        <f t="shared" si="175"/>
        <v>0</v>
      </c>
    </row>
    <row r="2804" spans="1:13" x14ac:dyDescent="0.25">
      <c r="A2804" s="1">
        <v>945906</v>
      </c>
      <c r="B2804" s="6" t="s">
        <v>2938</v>
      </c>
      <c r="F2804" s="6" t="s">
        <v>9</v>
      </c>
      <c r="G2804" s="6" t="s">
        <v>38</v>
      </c>
      <c r="H2804" s="9" t="s">
        <v>33</v>
      </c>
      <c r="I2804" s="7" t="str">
        <f t="shared" si="172"/>
        <v>61001005000</v>
      </c>
      <c r="J2804" s="7" t="str">
        <f t="shared" si="173"/>
        <v>Материал по ЕГРН</v>
      </c>
      <c r="K2804" s="7">
        <f>VLOOKUP(J2804,Лист2!A$2:B$4,2,FALSE)</f>
        <v>792</v>
      </c>
      <c r="L2804" s="7" t="str">
        <f t="shared" si="174"/>
        <v>ГОТОВ_ИЗМЕНЕН</v>
      </c>
      <c r="M2804" s="7">
        <f t="shared" si="175"/>
        <v>0</v>
      </c>
    </row>
    <row r="2805" spans="1:13" x14ac:dyDescent="0.25">
      <c r="A2805" s="1">
        <v>945918</v>
      </c>
      <c r="B2805" s="6" t="s">
        <v>2939</v>
      </c>
      <c r="F2805" s="6" t="s">
        <v>9</v>
      </c>
      <c r="G2805" s="6" t="s">
        <v>34</v>
      </c>
      <c r="H2805" s="9" t="s">
        <v>35</v>
      </c>
      <c r="I2805" s="7" t="str">
        <f t="shared" si="172"/>
        <v>61001002000</v>
      </c>
      <c r="J2805" s="7" t="str">
        <f t="shared" si="173"/>
        <v>Материал по ЕГРН</v>
      </c>
      <c r="K2805" s="7">
        <f>VLOOKUP(J2805,Лист2!A$2:B$4,2,FALSE)</f>
        <v>792</v>
      </c>
      <c r="L2805" s="7" t="str">
        <f t="shared" si="174"/>
        <v>ГОТОВ_ИЗМЕНЕН</v>
      </c>
      <c r="M2805" s="7">
        <f t="shared" si="175"/>
        <v>0</v>
      </c>
    </row>
    <row r="2806" spans="1:13" x14ac:dyDescent="0.25">
      <c r="A2806" s="1">
        <v>945930</v>
      </c>
      <c r="B2806" s="6" t="s">
        <v>2940</v>
      </c>
      <c r="F2806" s="6" t="s">
        <v>9</v>
      </c>
      <c r="G2806" s="6" t="s">
        <v>38</v>
      </c>
      <c r="H2806" s="9" t="s">
        <v>33</v>
      </c>
      <c r="I2806" s="7" t="str">
        <f t="shared" si="172"/>
        <v>61001005000</v>
      </c>
      <c r="J2806" s="7" t="str">
        <f t="shared" si="173"/>
        <v>Материал по ЕГРН</v>
      </c>
      <c r="K2806" s="7">
        <f>VLOOKUP(J2806,Лист2!A$2:B$4,2,FALSE)</f>
        <v>792</v>
      </c>
      <c r="L2806" s="7" t="str">
        <f t="shared" si="174"/>
        <v>ГОТОВ_ИЗМЕНЕН</v>
      </c>
      <c r="M2806" s="7">
        <f t="shared" si="175"/>
        <v>0</v>
      </c>
    </row>
    <row r="2807" spans="1:13" x14ac:dyDescent="0.25">
      <c r="A2807" s="1">
        <v>945942</v>
      </c>
      <c r="B2807" s="6" t="s">
        <v>2941</v>
      </c>
      <c r="F2807" s="6" t="s">
        <v>9</v>
      </c>
      <c r="G2807" s="6" t="s">
        <v>38</v>
      </c>
      <c r="H2807" s="9" t="s">
        <v>33</v>
      </c>
      <c r="I2807" s="7" t="str">
        <f t="shared" si="172"/>
        <v>61001005000</v>
      </c>
      <c r="J2807" s="7" t="str">
        <f t="shared" si="173"/>
        <v>Материал по ЕГРН</v>
      </c>
      <c r="K2807" s="7">
        <f>VLOOKUP(J2807,Лист2!A$2:B$4,2,FALSE)</f>
        <v>792</v>
      </c>
      <c r="L2807" s="7" t="str">
        <f t="shared" si="174"/>
        <v>ГОТОВ_ИЗМЕНЕН</v>
      </c>
      <c r="M2807" s="7">
        <f t="shared" si="175"/>
        <v>0</v>
      </c>
    </row>
    <row r="2808" spans="1:13" x14ac:dyDescent="0.25">
      <c r="A2808" s="1">
        <v>945954</v>
      </c>
      <c r="B2808" s="6" t="s">
        <v>2942</v>
      </c>
      <c r="F2808" s="6" t="s">
        <v>9</v>
      </c>
      <c r="G2808" s="6" t="s">
        <v>38</v>
      </c>
      <c r="H2808" s="9" t="s">
        <v>33</v>
      </c>
      <c r="I2808" s="7" t="str">
        <f t="shared" si="172"/>
        <v>61001005000</v>
      </c>
      <c r="J2808" s="7" t="str">
        <f t="shared" si="173"/>
        <v>Материал по ЕГРН</v>
      </c>
      <c r="K2808" s="7">
        <f>VLOOKUP(J2808,Лист2!A$2:B$4,2,FALSE)</f>
        <v>792</v>
      </c>
      <c r="L2808" s="7" t="str">
        <f t="shared" si="174"/>
        <v>ГОТОВ_ИЗМЕНЕН</v>
      </c>
      <c r="M2808" s="7">
        <f t="shared" si="175"/>
        <v>0</v>
      </c>
    </row>
    <row r="2809" spans="1:13" x14ac:dyDescent="0.25">
      <c r="A2809" s="1">
        <v>945966</v>
      </c>
      <c r="B2809" s="6" t="s">
        <v>2943</v>
      </c>
      <c r="F2809" s="6" t="s">
        <v>9</v>
      </c>
      <c r="G2809" s="6" t="s">
        <v>34</v>
      </c>
      <c r="H2809" s="9" t="s">
        <v>35</v>
      </c>
      <c r="I2809" s="7" t="str">
        <f t="shared" si="172"/>
        <v>61001002000</v>
      </c>
      <c r="J2809" s="7" t="str">
        <f t="shared" si="173"/>
        <v>Материал по ЕГРН</v>
      </c>
      <c r="K2809" s="7">
        <f>VLOOKUP(J2809,Лист2!A$2:B$4,2,FALSE)</f>
        <v>792</v>
      </c>
      <c r="L2809" s="7" t="str">
        <f t="shared" si="174"/>
        <v>ГОТОВ_ИЗМЕНЕН</v>
      </c>
      <c r="M2809" s="7">
        <f t="shared" si="175"/>
        <v>0</v>
      </c>
    </row>
    <row r="2810" spans="1:13" x14ac:dyDescent="0.25">
      <c r="A2810" s="1">
        <v>945978</v>
      </c>
      <c r="B2810" s="6" t="s">
        <v>2944</v>
      </c>
      <c r="F2810" s="6" t="s">
        <v>9</v>
      </c>
      <c r="G2810" s="6" t="s">
        <v>34</v>
      </c>
      <c r="H2810" s="9" t="s">
        <v>35</v>
      </c>
      <c r="I2810" s="7" t="str">
        <f t="shared" si="172"/>
        <v>61001002000</v>
      </c>
      <c r="J2810" s="7" t="str">
        <f t="shared" si="173"/>
        <v>Материал по ЕГРН</v>
      </c>
      <c r="K2810" s="7">
        <f>VLOOKUP(J2810,Лист2!A$2:B$4,2,FALSE)</f>
        <v>792</v>
      </c>
      <c r="L2810" s="7" t="str">
        <f t="shared" si="174"/>
        <v>ГОТОВ_ИЗМЕНЕН</v>
      </c>
      <c r="M2810" s="7">
        <f t="shared" si="175"/>
        <v>0</v>
      </c>
    </row>
    <row r="2811" spans="1:13" x14ac:dyDescent="0.25">
      <c r="A2811" s="1">
        <v>945990</v>
      </c>
      <c r="B2811" s="6" t="s">
        <v>2945</v>
      </c>
      <c r="F2811" s="6" t="s">
        <v>9</v>
      </c>
      <c r="G2811" s="6" t="s">
        <v>170</v>
      </c>
      <c r="H2811" s="9" t="s">
        <v>171</v>
      </c>
      <c r="I2811" s="7" t="str">
        <f t="shared" si="172"/>
        <v>61001001000</v>
      </c>
      <c r="J2811" s="7" t="str">
        <f t="shared" si="173"/>
        <v>Материал по ЕГРН</v>
      </c>
      <c r="K2811" s="7">
        <f>VLOOKUP(J2811,Лист2!A$2:B$4,2,FALSE)</f>
        <v>792</v>
      </c>
      <c r="L2811" s="7" t="str">
        <f t="shared" si="174"/>
        <v>ГОТОВ_ИЗМЕНЕН</v>
      </c>
      <c r="M2811" s="7">
        <f t="shared" si="175"/>
        <v>0</v>
      </c>
    </row>
    <row r="2812" spans="1:13" x14ac:dyDescent="0.25">
      <c r="A2812" s="1">
        <v>946002</v>
      </c>
      <c r="B2812" s="6" t="s">
        <v>2946</v>
      </c>
      <c r="F2812" s="6" t="s">
        <v>9</v>
      </c>
      <c r="G2812" s="6" t="s">
        <v>149</v>
      </c>
      <c r="H2812" s="9" t="s">
        <v>150</v>
      </c>
      <c r="I2812" s="7" t="str">
        <f t="shared" si="172"/>
        <v>61001007000</v>
      </c>
      <c r="J2812" s="7" t="str">
        <f t="shared" si="173"/>
        <v>Материал по ЕГРН</v>
      </c>
      <c r="K2812" s="7">
        <f>VLOOKUP(J2812,Лист2!A$2:B$4,2,FALSE)</f>
        <v>792</v>
      </c>
      <c r="L2812" s="7" t="str">
        <f t="shared" si="174"/>
        <v>ГОТОВ_ИЗМЕНЕН</v>
      </c>
      <c r="M2812" s="7">
        <f t="shared" si="175"/>
        <v>0</v>
      </c>
    </row>
    <row r="2813" spans="1:13" x14ac:dyDescent="0.25">
      <c r="A2813" s="1">
        <v>946014</v>
      </c>
      <c r="B2813" s="6" t="s">
        <v>2947</v>
      </c>
      <c r="F2813" s="6" t="s">
        <v>9</v>
      </c>
      <c r="G2813" s="6" t="s">
        <v>62</v>
      </c>
      <c r="H2813" s="9" t="s">
        <v>63</v>
      </c>
      <c r="I2813" s="7" t="str">
        <f t="shared" si="172"/>
        <v>61001006002</v>
      </c>
      <c r="J2813" s="7" t="str">
        <f t="shared" si="173"/>
        <v>Материал по ЕГРН</v>
      </c>
      <c r="K2813" s="7">
        <f>VLOOKUP(J2813,Лист2!A$2:B$4,2,FALSE)</f>
        <v>792</v>
      </c>
      <c r="L2813" s="7" t="str">
        <f t="shared" si="174"/>
        <v>ГОТОВ_ИЗМЕНЕН</v>
      </c>
      <c r="M2813" s="7">
        <f t="shared" si="175"/>
        <v>0</v>
      </c>
    </row>
    <row r="2814" spans="1:13" x14ac:dyDescent="0.25">
      <c r="A2814" s="1">
        <v>946026</v>
      </c>
      <c r="B2814" s="6" t="s">
        <v>2948</v>
      </c>
      <c r="F2814" s="6" t="s">
        <v>9</v>
      </c>
      <c r="G2814" s="6" t="s">
        <v>10</v>
      </c>
      <c r="H2814" s="9" t="s">
        <v>11</v>
      </c>
      <c r="I2814" s="7" t="str">
        <f t="shared" si="172"/>
        <v>61001003000</v>
      </c>
      <c r="J2814" s="7" t="str">
        <f t="shared" si="173"/>
        <v>Материал по ЕГРН</v>
      </c>
      <c r="K2814" s="7">
        <f>VLOOKUP(J2814,Лист2!A$2:B$4,2,FALSE)</f>
        <v>792</v>
      </c>
      <c r="L2814" s="7" t="str">
        <f t="shared" si="174"/>
        <v>ГОТОВ_ИЗМЕНЕН</v>
      </c>
      <c r="M2814" s="7">
        <f t="shared" si="175"/>
        <v>0</v>
      </c>
    </row>
    <row r="2815" spans="1:13" x14ac:dyDescent="0.25">
      <c r="A2815" s="1">
        <v>946038</v>
      </c>
      <c r="B2815" s="6" t="s">
        <v>2949</v>
      </c>
      <c r="F2815" s="6" t="s">
        <v>9</v>
      </c>
      <c r="G2815" s="6" t="s">
        <v>149</v>
      </c>
      <c r="H2815" s="9" t="s">
        <v>150</v>
      </c>
      <c r="I2815" s="7" t="str">
        <f t="shared" si="172"/>
        <v>61001007000</v>
      </c>
      <c r="J2815" s="7" t="str">
        <f t="shared" si="173"/>
        <v>Материал по ЕГРН</v>
      </c>
      <c r="K2815" s="7">
        <f>VLOOKUP(J2815,Лист2!A$2:B$4,2,FALSE)</f>
        <v>792</v>
      </c>
      <c r="L2815" s="7" t="str">
        <f t="shared" si="174"/>
        <v>ГОТОВ_ИЗМЕНЕН</v>
      </c>
      <c r="M2815" s="7">
        <f t="shared" si="175"/>
        <v>0</v>
      </c>
    </row>
    <row r="2816" spans="1:13" x14ac:dyDescent="0.25">
      <c r="A2816" s="1">
        <v>946050</v>
      </c>
      <c r="B2816" s="6" t="s">
        <v>2950</v>
      </c>
      <c r="F2816" s="6" t="s">
        <v>9</v>
      </c>
      <c r="G2816" s="6" t="s">
        <v>59</v>
      </c>
      <c r="H2816" s="9" t="s">
        <v>60</v>
      </c>
      <c r="I2816" s="7" t="str">
        <f t="shared" si="172"/>
        <v>61001001001</v>
      </c>
      <c r="J2816" s="7" t="str">
        <f t="shared" si="173"/>
        <v>Материал по ЕГРН</v>
      </c>
      <c r="K2816" s="7">
        <f>VLOOKUP(J2816,Лист2!A$2:B$4,2,FALSE)</f>
        <v>792</v>
      </c>
      <c r="L2816" s="7" t="str">
        <f t="shared" si="174"/>
        <v>ГОТОВ_ИЗМЕНЕН</v>
      </c>
      <c r="M2816" s="7">
        <f t="shared" si="175"/>
        <v>0</v>
      </c>
    </row>
    <row r="2817" spans="1:13" x14ac:dyDescent="0.25">
      <c r="A2817" s="1">
        <v>946062</v>
      </c>
      <c r="B2817" s="6" t="s">
        <v>2951</v>
      </c>
      <c r="F2817" s="6" t="s">
        <v>9</v>
      </c>
      <c r="G2817" s="6" t="s">
        <v>62</v>
      </c>
      <c r="H2817" s="9" t="s">
        <v>63</v>
      </c>
      <c r="I2817" s="7" t="str">
        <f t="shared" si="172"/>
        <v>61001006002</v>
      </c>
      <c r="J2817" s="7" t="str">
        <f t="shared" si="173"/>
        <v>Материал по ЕГРН</v>
      </c>
      <c r="K2817" s="7">
        <f>VLOOKUP(J2817,Лист2!A$2:B$4,2,FALSE)</f>
        <v>792</v>
      </c>
      <c r="L2817" s="7" t="str">
        <f t="shared" si="174"/>
        <v>ГОТОВ_ИЗМЕНЕН</v>
      </c>
      <c r="M2817" s="7">
        <f t="shared" si="175"/>
        <v>0</v>
      </c>
    </row>
    <row r="2818" spans="1:13" x14ac:dyDescent="0.25">
      <c r="A2818" s="1">
        <v>946074</v>
      </c>
      <c r="B2818" s="6" t="s">
        <v>2952</v>
      </c>
      <c r="F2818" s="6" t="s">
        <v>9</v>
      </c>
      <c r="G2818" s="6" t="s">
        <v>62</v>
      </c>
      <c r="H2818" s="9" t="s">
        <v>63</v>
      </c>
      <c r="I2818" s="7" t="str">
        <f t="shared" si="172"/>
        <v>61001006002</v>
      </c>
      <c r="J2818" s="7" t="str">
        <f t="shared" si="173"/>
        <v>Материал по ЕГРН</v>
      </c>
      <c r="K2818" s="7">
        <f>VLOOKUP(J2818,Лист2!A$2:B$4,2,FALSE)</f>
        <v>792</v>
      </c>
      <c r="L2818" s="7" t="str">
        <f t="shared" si="174"/>
        <v>ГОТОВ_ИЗМЕНЕН</v>
      </c>
      <c r="M2818" s="7">
        <f t="shared" si="175"/>
        <v>0</v>
      </c>
    </row>
    <row r="2819" spans="1:13" x14ac:dyDescent="0.25">
      <c r="A2819" s="1">
        <v>946086</v>
      </c>
      <c r="B2819" s="6" t="s">
        <v>2953</v>
      </c>
      <c r="F2819" s="6" t="s">
        <v>9</v>
      </c>
      <c r="G2819" s="6" t="s">
        <v>34</v>
      </c>
      <c r="H2819" s="9" t="s">
        <v>35</v>
      </c>
      <c r="I2819" s="7" t="str">
        <f t="shared" si="172"/>
        <v>61001002000</v>
      </c>
      <c r="J2819" s="7" t="str">
        <f t="shared" si="173"/>
        <v>Материал по ЕГРН</v>
      </c>
      <c r="K2819" s="7">
        <f>VLOOKUP(J2819,Лист2!A$2:B$4,2,FALSE)</f>
        <v>792</v>
      </c>
      <c r="L2819" s="7" t="str">
        <f t="shared" si="174"/>
        <v>ГОТОВ_ИЗМЕНЕН</v>
      </c>
      <c r="M2819" s="7">
        <f t="shared" si="175"/>
        <v>0</v>
      </c>
    </row>
    <row r="2820" spans="1:13" x14ac:dyDescent="0.25">
      <c r="A2820" s="1">
        <v>946098</v>
      </c>
      <c r="B2820" s="6" t="s">
        <v>2954</v>
      </c>
      <c r="F2820" s="6" t="s">
        <v>9</v>
      </c>
      <c r="G2820" s="6" t="s">
        <v>139</v>
      </c>
      <c r="H2820" s="9" t="s">
        <v>140</v>
      </c>
      <c r="I2820" s="7" t="str">
        <f t="shared" si="172"/>
        <v>61001999000</v>
      </c>
      <c r="J2820" s="7" t="str">
        <f t="shared" si="173"/>
        <v>Материал по ЕГРН</v>
      </c>
      <c r="K2820" s="7">
        <f>VLOOKUP(J2820,Лист2!A$2:B$4,2,FALSE)</f>
        <v>792</v>
      </c>
      <c r="L2820" s="7" t="str">
        <f t="shared" si="174"/>
        <v>ГОТОВ_ИЗМЕНЕН</v>
      </c>
      <c r="M2820" s="7">
        <f t="shared" si="175"/>
        <v>0</v>
      </c>
    </row>
    <row r="2821" spans="1:13" x14ac:dyDescent="0.25">
      <c r="A2821" s="1">
        <v>946110</v>
      </c>
      <c r="B2821" s="6" t="s">
        <v>2955</v>
      </c>
      <c r="F2821" s="6" t="s">
        <v>9</v>
      </c>
      <c r="G2821" s="6" t="s">
        <v>146</v>
      </c>
      <c r="H2821" s="9" t="s">
        <v>147</v>
      </c>
      <c r="I2821" s="7" t="str">
        <f t="shared" ref="I2821:I2884" si="176">IF(LEN(H2821)=11,H2821,IF(LEN(H2821)=0,"61001005000","61001003000"))</f>
        <v>61001000000</v>
      </c>
      <c r="J2821" s="7" t="str">
        <f t="shared" ref="J2821:J2884" si="177">IF(LEN(H2821)=11,"Материал по ЕГРН",IF(LEN(H2821)=0,"Прочие по допущению","Смешанные по допущению"))</f>
        <v>Материал по ЕГРН</v>
      </c>
      <c r="K2821" s="7">
        <f>VLOOKUP(J2821,Лист2!A$2:B$4,2,FALSE)</f>
        <v>792</v>
      </c>
      <c r="L2821" s="7" t="str">
        <f t="shared" ref="L2821:L2884" si="178">IF(I2821=C2821,"ГОТОВ","ГОТОВ_ИЗМЕНЕН")</f>
        <v>ГОТОВ_ИЗМЕНЕН</v>
      </c>
      <c r="M2821" s="7">
        <f t="shared" ref="M2821:M2884" si="179">C2821</f>
        <v>0</v>
      </c>
    </row>
    <row r="2822" spans="1:13" x14ac:dyDescent="0.25">
      <c r="A2822" s="1">
        <v>946122</v>
      </c>
      <c r="B2822" s="6" t="s">
        <v>2956</v>
      </c>
      <c r="F2822" s="6" t="s">
        <v>9</v>
      </c>
      <c r="G2822" s="6" t="s">
        <v>62</v>
      </c>
      <c r="H2822" s="9" t="s">
        <v>63</v>
      </c>
      <c r="I2822" s="7" t="str">
        <f t="shared" si="176"/>
        <v>61001006002</v>
      </c>
      <c r="J2822" s="7" t="str">
        <f t="shared" si="177"/>
        <v>Материал по ЕГРН</v>
      </c>
      <c r="K2822" s="7">
        <f>VLOOKUP(J2822,Лист2!A$2:B$4,2,FALSE)</f>
        <v>792</v>
      </c>
      <c r="L2822" s="7" t="str">
        <f t="shared" si="178"/>
        <v>ГОТОВ_ИЗМЕНЕН</v>
      </c>
      <c r="M2822" s="7">
        <f t="shared" si="179"/>
        <v>0</v>
      </c>
    </row>
    <row r="2823" spans="1:13" x14ac:dyDescent="0.25">
      <c r="A2823" s="1">
        <v>946134</v>
      </c>
      <c r="B2823" s="6" t="s">
        <v>2957</v>
      </c>
      <c r="F2823" s="6" t="s">
        <v>9</v>
      </c>
      <c r="G2823" s="6" t="s">
        <v>59</v>
      </c>
      <c r="H2823" s="9" t="s">
        <v>60</v>
      </c>
      <c r="I2823" s="7" t="str">
        <f t="shared" si="176"/>
        <v>61001001001</v>
      </c>
      <c r="J2823" s="7" t="str">
        <f t="shared" si="177"/>
        <v>Материал по ЕГРН</v>
      </c>
      <c r="K2823" s="7">
        <f>VLOOKUP(J2823,Лист2!A$2:B$4,2,FALSE)</f>
        <v>792</v>
      </c>
      <c r="L2823" s="7" t="str">
        <f t="shared" si="178"/>
        <v>ГОТОВ_ИЗМЕНЕН</v>
      </c>
      <c r="M2823" s="7">
        <f t="shared" si="179"/>
        <v>0</v>
      </c>
    </row>
    <row r="2824" spans="1:13" x14ac:dyDescent="0.25">
      <c r="A2824" s="1">
        <v>946146</v>
      </c>
      <c r="B2824" s="6" t="s">
        <v>2958</v>
      </c>
      <c r="F2824" s="6" t="s">
        <v>9</v>
      </c>
      <c r="G2824" s="6" t="s">
        <v>34</v>
      </c>
      <c r="H2824" s="9" t="s">
        <v>35</v>
      </c>
      <c r="I2824" s="7" t="str">
        <f t="shared" si="176"/>
        <v>61001002000</v>
      </c>
      <c r="J2824" s="7" t="str">
        <f t="shared" si="177"/>
        <v>Материал по ЕГРН</v>
      </c>
      <c r="K2824" s="7">
        <f>VLOOKUP(J2824,Лист2!A$2:B$4,2,FALSE)</f>
        <v>792</v>
      </c>
      <c r="L2824" s="7" t="str">
        <f t="shared" si="178"/>
        <v>ГОТОВ_ИЗМЕНЕН</v>
      </c>
      <c r="M2824" s="7">
        <f t="shared" si="179"/>
        <v>0</v>
      </c>
    </row>
    <row r="2825" spans="1:13" x14ac:dyDescent="0.25">
      <c r="A2825" s="1">
        <v>946158</v>
      </c>
      <c r="B2825" s="6" t="s">
        <v>2959</v>
      </c>
      <c r="F2825" s="6" t="s">
        <v>9</v>
      </c>
      <c r="G2825" s="6" t="s">
        <v>180</v>
      </c>
      <c r="H2825" s="9" t="s">
        <v>181</v>
      </c>
      <c r="I2825" s="7" t="str">
        <f t="shared" si="176"/>
        <v>61001009000</v>
      </c>
      <c r="J2825" s="7" t="str">
        <f t="shared" si="177"/>
        <v>Материал по ЕГРН</v>
      </c>
      <c r="K2825" s="7">
        <f>VLOOKUP(J2825,Лист2!A$2:B$4,2,FALSE)</f>
        <v>792</v>
      </c>
      <c r="L2825" s="7" t="str">
        <f t="shared" si="178"/>
        <v>ГОТОВ_ИЗМЕНЕН</v>
      </c>
      <c r="M2825" s="7">
        <f t="shared" si="179"/>
        <v>0</v>
      </c>
    </row>
    <row r="2826" spans="1:13" x14ac:dyDescent="0.25">
      <c r="A2826" s="1">
        <v>263357</v>
      </c>
      <c r="B2826" s="6" t="s">
        <v>2960</v>
      </c>
      <c r="C2826" s="9" t="s">
        <v>33</v>
      </c>
      <c r="D2826" s="6" t="s">
        <v>20</v>
      </c>
      <c r="E2826" s="6" t="s">
        <v>37</v>
      </c>
      <c r="F2826" s="6" t="s">
        <v>9</v>
      </c>
      <c r="G2826" s="6" t="s">
        <v>38</v>
      </c>
      <c r="H2826" s="9" t="s">
        <v>33</v>
      </c>
      <c r="I2826" s="7" t="str">
        <f t="shared" si="176"/>
        <v>61001005000</v>
      </c>
      <c r="J2826" s="7" t="str">
        <f t="shared" si="177"/>
        <v>Материал по ЕГРН</v>
      </c>
      <c r="K2826" s="7">
        <f>VLOOKUP(J2826,Лист2!A$2:B$4,2,FALSE)</f>
        <v>792</v>
      </c>
      <c r="L2826" s="7" t="str">
        <f t="shared" si="178"/>
        <v>ГОТОВ</v>
      </c>
      <c r="M2826" s="7" t="str">
        <f t="shared" si="179"/>
        <v>61001005000</v>
      </c>
    </row>
    <row r="2827" spans="1:13" x14ac:dyDescent="0.25">
      <c r="A2827" s="1">
        <v>789552</v>
      </c>
      <c r="B2827" s="6" t="s">
        <v>2961</v>
      </c>
      <c r="C2827" s="9" t="s">
        <v>33</v>
      </c>
      <c r="D2827" s="6" t="s">
        <v>20</v>
      </c>
      <c r="E2827" s="6" t="s">
        <v>37</v>
      </c>
      <c r="F2827" s="6" t="s">
        <v>9</v>
      </c>
      <c r="G2827" s="6" t="s">
        <v>38</v>
      </c>
      <c r="H2827" s="9" t="s">
        <v>33</v>
      </c>
      <c r="I2827" s="7" t="str">
        <f t="shared" si="176"/>
        <v>61001005000</v>
      </c>
      <c r="J2827" s="7" t="str">
        <f t="shared" si="177"/>
        <v>Материал по ЕГРН</v>
      </c>
      <c r="K2827" s="7">
        <f>VLOOKUP(J2827,Лист2!A$2:B$4,2,FALSE)</f>
        <v>792</v>
      </c>
      <c r="L2827" s="7" t="str">
        <f t="shared" si="178"/>
        <v>ГОТОВ</v>
      </c>
      <c r="M2827" s="7" t="str">
        <f t="shared" si="179"/>
        <v>61001005000</v>
      </c>
    </row>
    <row r="2828" spans="1:13" x14ac:dyDescent="0.25">
      <c r="A2828" s="1">
        <v>945498</v>
      </c>
      <c r="B2828" s="6" t="s">
        <v>2962</v>
      </c>
      <c r="F2828" s="6" t="s">
        <v>9</v>
      </c>
      <c r="G2828" s="6" t="s">
        <v>43</v>
      </c>
      <c r="H2828" s="9" t="s">
        <v>42</v>
      </c>
      <c r="I2828" s="7" t="str">
        <f t="shared" si="176"/>
        <v>61001002001</v>
      </c>
      <c r="J2828" s="7" t="str">
        <f t="shared" si="177"/>
        <v>Материал по ЕГРН</v>
      </c>
      <c r="K2828" s="7">
        <f>VLOOKUP(J2828,Лист2!A$2:B$4,2,FALSE)</f>
        <v>792</v>
      </c>
      <c r="L2828" s="7" t="str">
        <f t="shared" si="178"/>
        <v>ГОТОВ_ИЗМЕНЕН</v>
      </c>
      <c r="M2828" s="7">
        <f t="shared" si="179"/>
        <v>0</v>
      </c>
    </row>
    <row r="2829" spans="1:13" x14ac:dyDescent="0.25">
      <c r="A2829" s="1">
        <v>945510</v>
      </c>
      <c r="B2829" s="6" t="s">
        <v>2963</v>
      </c>
      <c r="F2829" s="6" t="s">
        <v>9</v>
      </c>
      <c r="G2829" s="6" t="s">
        <v>62</v>
      </c>
      <c r="H2829" s="9" t="s">
        <v>63</v>
      </c>
      <c r="I2829" s="7" t="str">
        <f t="shared" si="176"/>
        <v>61001006002</v>
      </c>
      <c r="J2829" s="7" t="str">
        <f t="shared" si="177"/>
        <v>Материал по ЕГРН</v>
      </c>
      <c r="K2829" s="7">
        <f>VLOOKUP(J2829,Лист2!A$2:B$4,2,FALSE)</f>
        <v>792</v>
      </c>
      <c r="L2829" s="7" t="str">
        <f t="shared" si="178"/>
        <v>ГОТОВ_ИЗМЕНЕН</v>
      </c>
      <c r="M2829" s="7">
        <f t="shared" si="179"/>
        <v>0</v>
      </c>
    </row>
    <row r="2830" spans="1:13" x14ac:dyDescent="0.25">
      <c r="A2830" s="1">
        <v>945522</v>
      </c>
      <c r="B2830" s="6" t="s">
        <v>2964</v>
      </c>
      <c r="F2830" s="6" t="s">
        <v>9</v>
      </c>
      <c r="G2830" s="6" t="s">
        <v>10</v>
      </c>
      <c r="H2830" s="9" t="s">
        <v>11</v>
      </c>
      <c r="I2830" s="7" t="str">
        <f t="shared" si="176"/>
        <v>61001003000</v>
      </c>
      <c r="J2830" s="7" t="str">
        <f t="shared" si="177"/>
        <v>Материал по ЕГРН</v>
      </c>
      <c r="K2830" s="7">
        <f>VLOOKUP(J2830,Лист2!A$2:B$4,2,FALSE)</f>
        <v>792</v>
      </c>
      <c r="L2830" s="7" t="str">
        <f t="shared" si="178"/>
        <v>ГОТОВ_ИЗМЕНЕН</v>
      </c>
      <c r="M2830" s="7">
        <f t="shared" si="179"/>
        <v>0</v>
      </c>
    </row>
    <row r="2831" spans="1:13" x14ac:dyDescent="0.25">
      <c r="A2831" s="1">
        <v>945534</v>
      </c>
      <c r="B2831" s="6" t="s">
        <v>2965</v>
      </c>
      <c r="F2831" s="6" t="s">
        <v>9</v>
      </c>
      <c r="G2831" s="6" t="s">
        <v>59</v>
      </c>
      <c r="H2831" s="9" t="s">
        <v>60</v>
      </c>
      <c r="I2831" s="7" t="str">
        <f t="shared" si="176"/>
        <v>61001001001</v>
      </c>
      <c r="J2831" s="7" t="str">
        <f t="shared" si="177"/>
        <v>Материал по ЕГРН</v>
      </c>
      <c r="K2831" s="7">
        <f>VLOOKUP(J2831,Лист2!A$2:B$4,2,FALSE)</f>
        <v>792</v>
      </c>
      <c r="L2831" s="7" t="str">
        <f t="shared" si="178"/>
        <v>ГОТОВ_ИЗМЕНЕН</v>
      </c>
      <c r="M2831" s="7">
        <f t="shared" si="179"/>
        <v>0</v>
      </c>
    </row>
    <row r="2832" spans="1:13" x14ac:dyDescent="0.25">
      <c r="A2832" s="1">
        <v>945546</v>
      </c>
      <c r="B2832" s="6" t="s">
        <v>2966</v>
      </c>
      <c r="F2832" s="6" t="s">
        <v>9</v>
      </c>
      <c r="G2832" s="6" t="s">
        <v>149</v>
      </c>
      <c r="H2832" s="9" t="s">
        <v>150</v>
      </c>
      <c r="I2832" s="7" t="str">
        <f t="shared" si="176"/>
        <v>61001007000</v>
      </c>
      <c r="J2832" s="7" t="str">
        <f t="shared" si="177"/>
        <v>Материал по ЕГРН</v>
      </c>
      <c r="K2832" s="7">
        <f>VLOOKUP(J2832,Лист2!A$2:B$4,2,FALSE)</f>
        <v>792</v>
      </c>
      <c r="L2832" s="7" t="str">
        <f t="shared" si="178"/>
        <v>ГОТОВ_ИЗМЕНЕН</v>
      </c>
      <c r="M2832" s="7">
        <f t="shared" si="179"/>
        <v>0</v>
      </c>
    </row>
    <row r="2833" spans="1:13" x14ac:dyDescent="0.25">
      <c r="A2833" s="1">
        <v>945558</v>
      </c>
      <c r="B2833" s="6" t="s">
        <v>2967</v>
      </c>
      <c r="F2833" s="6" t="s">
        <v>9</v>
      </c>
      <c r="G2833" s="6" t="s">
        <v>59</v>
      </c>
      <c r="H2833" s="9" t="s">
        <v>60</v>
      </c>
      <c r="I2833" s="7" t="str">
        <f t="shared" si="176"/>
        <v>61001001001</v>
      </c>
      <c r="J2833" s="7" t="str">
        <f t="shared" si="177"/>
        <v>Материал по ЕГРН</v>
      </c>
      <c r="K2833" s="7">
        <f>VLOOKUP(J2833,Лист2!A$2:B$4,2,FALSE)</f>
        <v>792</v>
      </c>
      <c r="L2833" s="7" t="str">
        <f t="shared" si="178"/>
        <v>ГОТОВ_ИЗМЕНЕН</v>
      </c>
      <c r="M2833" s="7">
        <f t="shared" si="179"/>
        <v>0</v>
      </c>
    </row>
    <row r="2834" spans="1:13" x14ac:dyDescent="0.25">
      <c r="A2834" s="1">
        <v>945570</v>
      </c>
      <c r="B2834" s="6" t="s">
        <v>2968</v>
      </c>
      <c r="F2834" s="6" t="s">
        <v>9</v>
      </c>
      <c r="G2834" s="6" t="s">
        <v>38</v>
      </c>
      <c r="H2834" s="9" t="s">
        <v>33</v>
      </c>
      <c r="I2834" s="7" t="str">
        <f t="shared" si="176"/>
        <v>61001005000</v>
      </c>
      <c r="J2834" s="7" t="str">
        <f t="shared" si="177"/>
        <v>Материал по ЕГРН</v>
      </c>
      <c r="K2834" s="7">
        <f>VLOOKUP(J2834,Лист2!A$2:B$4,2,FALSE)</f>
        <v>792</v>
      </c>
      <c r="L2834" s="7" t="str">
        <f t="shared" si="178"/>
        <v>ГОТОВ_ИЗМЕНЕН</v>
      </c>
      <c r="M2834" s="7">
        <f t="shared" si="179"/>
        <v>0</v>
      </c>
    </row>
    <row r="2835" spans="1:13" x14ac:dyDescent="0.25">
      <c r="A2835" s="1">
        <v>945582</v>
      </c>
      <c r="B2835" s="6" t="s">
        <v>2969</v>
      </c>
      <c r="F2835" s="6" t="s">
        <v>9</v>
      </c>
      <c r="G2835" s="6" t="s">
        <v>90</v>
      </c>
      <c r="H2835" s="9" t="s">
        <v>12</v>
      </c>
      <c r="I2835" s="7" t="str">
        <f t="shared" si="176"/>
        <v>61001008000</v>
      </c>
      <c r="J2835" s="7" t="str">
        <f t="shared" si="177"/>
        <v>Материал по ЕГРН</v>
      </c>
      <c r="K2835" s="7">
        <f>VLOOKUP(J2835,Лист2!A$2:B$4,2,FALSE)</f>
        <v>792</v>
      </c>
      <c r="L2835" s="7" t="str">
        <f t="shared" si="178"/>
        <v>ГОТОВ_ИЗМЕНЕН</v>
      </c>
      <c r="M2835" s="7">
        <f t="shared" si="179"/>
        <v>0</v>
      </c>
    </row>
    <row r="2836" spans="1:13" x14ac:dyDescent="0.25">
      <c r="A2836" s="1">
        <v>945594</v>
      </c>
      <c r="B2836" s="6" t="s">
        <v>2970</v>
      </c>
      <c r="F2836" s="6" t="s">
        <v>9</v>
      </c>
      <c r="G2836" s="6" t="s">
        <v>34</v>
      </c>
      <c r="H2836" s="9" t="s">
        <v>35</v>
      </c>
      <c r="I2836" s="7" t="str">
        <f t="shared" si="176"/>
        <v>61001002000</v>
      </c>
      <c r="J2836" s="7" t="str">
        <f t="shared" si="177"/>
        <v>Материал по ЕГРН</v>
      </c>
      <c r="K2836" s="7">
        <f>VLOOKUP(J2836,Лист2!A$2:B$4,2,FALSE)</f>
        <v>792</v>
      </c>
      <c r="L2836" s="7" t="str">
        <f t="shared" si="178"/>
        <v>ГОТОВ_ИЗМЕНЕН</v>
      </c>
      <c r="M2836" s="7">
        <f t="shared" si="179"/>
        <v>0</v>
      </c>
    </row>
    <row r="2837" spans="1:13" x14ac:dyDescent="0.25">
      <c r="A2837" s="1">
        <v>945606</v>
      </c>
      <c r="B2837" s="6" t="s">
        <v>2971</v>
      </c>
      <c r="F2837" s="6" t="s">
        <v>9</v>
      </c>
      <c r="G2837" s="6" t="s">
        <v>38</v>
      </c>
      <c r="H2837" s="9" t="s">
        <v>33</v>
      </c>
      <c r="I2837" s="7" t="str">
        <f t="shared" si="176"/>
        <v>61001005000</v>
      </c>
      <c r="J2837" s="7" t="str">
        <f t="shared" si="177"/>
        <v>Материал по ЕГРН</v>
      </c>
      <c r="K2837" s="7">
        <f>VLOOKUP(J2837,Лист2!A$2:B$4,2,FALSE)</f>
        <v>792</v>
      </c>
      <c r="L2837" s="7" t="str">
        <f t="shared" si="178"/>
        <v>ГОТОВ_ИЗМЕНЕН</v>
      </c>
      <c r="M2837" s="7">
        <f t="shared" si="179"/>
        <v>0</v>
      </c>
    </row>
    <row r="2838" spans="1:13" x14ac:dyDescent="0.25">
      <c r="A2838" s="1">
        <v>945618</v>
      </c>
      <c r="B2838" s="6" t="s">
        <v>2972</v>
      </c>
      <c r="F2838" s="6" t="s">
        <v>9</v>
      </c>
      <c r="G2838" s="6" t="s">
        <v>38</v>
      </c>
      <c r="H2838" s="9" t="s">
        <v>33</v>
      </c>
      <c r="I2838" s="7" t="str">
        <f t="shared" si="176"/>
        <v>61001005000</v>
      </c>
      <c r="J2838" s="7" t="str">
        <f t="shared" si="177"/>
        <v>Материал по ЕГРН</v>
      </c>
      <c r="K2838" s="7">
        <f>VLOOKUP(J2838,Лист2!A$2:B$4,2,FALSE)</f>
        <v>792</v>
      </c>
      <c r="L2838" s="7" t="str">
        <f t="shared" si="178"/>
        <v>ГОТОВ_ИЗМЕНЕН</v>
      </c>
      <c r="M2838" s="7">
        <f t="shared" si="179"/>
        <v>0</v>
      </c>
    </row>
    <row r="2839" spans="1:13" x14ac:dyDescent="0.25">
      <c r="A2839" s="1">
        <v>945630</v>
      </c>
      <c r="B2839" s="6" t="s">
        <v>2973</v>
      </c>
      <c r="F2839" s="6" t="s">
        <v>9</v>
      </c>
      <c r="G2839" s="6" t="s">
        <v>38</v>
      </c>
      <c r="H2839" s="9" t="s">
        <v>33</v>
      </c>
      <c r="I2839" s="7" t="str">
        <f t="shared" si="176"/>
        <v>61001005000</v>
      </c>
      <c r="J2839" s="7" t="str">
        <f t="shared" si="177"/>
        <v>Материал по ЕГРН</v>
      </c>
      <c r="K2839" s="7">
        <f>VLOOKUP(J2839,Лист2!A$2:B$4,2,FALSE)</f>
        <v>792</v>
      </c>
      <c r="L2839" s="7" t="str">
        <f t="shared" si="178"/>
        <v>ГОТОВ_ИЗМЕНЕН</v>
      </c>
      <c r="M2839" s="7">
        <f t="shared" si="179"/>
        <v>0</v>
      </c>
    </row>
    <row r="2840" spans="1:13" x14ac:dyDescent="0.25">
      <c r="A2840" s="1">
        <v>945642</v>
      </c>
      <c r="B2840" s="6" t="s">
        <v>2974</v>
      </c>
      <c r="F2840" s="6" t="s">
        <v>9</v>
      </c>
      <c r="G2840" s="6" t="s">
        <v>38</v>
      </c>
      <c r="H2840" s="9" t="s">
        <v>33</v>
      </c>
      <c r="I2840" s="7" t="str">
        <f t="shared" si="176"/>
        <v>61001005000</v>
      </c>
      <c r="J2840" s="7" t="str">
        <f t="shared" si="177"/>
        <v>Материал по ЕГРН</v>
      </c>
      <c r="K2840" s="7">
        <f>VLOOKUP(J2840,Лист2!A$2:B$4,2,FALSE)</f>
        <v>792</v>
      </c>
      <c r="L2840" s="7" t="str">
        <f t="shared" si="178"/>
        <v>ГОТОВ_ИЗМЕНЕН</v>
      </c>
      <c r="M2840" s="7">
        <f t="shared" si="179"/>
        <v>0</v>
      </c>
    </row>
    <row r="2841" spans="1:13" x14ac:dyDescent="0.25">
      <c r="A2841" s="1">
        <v>945654</v>
      </c>
      <c r="B2841" s="6" t="s">
        <v>2975</v>
      </c>
      <c r="F2841" s="6" t="s">
        <v>9</v>
      </c>
      <c r="G2841" s="6" t="s">
        <v>38</v>
      </c>
      <c r="H2841" s="9" t="s">
        <v>33</v>
      </c>
      <c r="I2841" s="7" t="str">
        <f t="shared" si="176"/>
        <v>61001005000</v>
      </c>
      <c r="J2841" s="7" t="str">
        <f t="shared" si="177"/>
        <v>Материал по ЕГРН</v>
      </c>
      <c r="K2841" s="7">
        <f>VLOOKUP(J2841,Лист2!A$2:B$4,2,FALSE)</f>
        <v>792</v>
      </c>
      <c r="L2841" s="7" t="str">
        <f t="shared" si="178"/>
        <v>ГОТОВ_ИЗМЕНЕН</v>
      </c>
      <c r="M2841" s="7">
        <f t="shared" si="179"/>
        <v>0</v>
      </c>
    </row>
    <row r="2842" spans="1:13" x14ac:dyDescent="0.25">
      <c r="A2842" s="1">
        <v>945666</v>
      </c>
      <c r="B2842" s="6" t="s">
        <v>2976</v>
      </c>
      <c r="E2842" s="6" t="s">
        <v>8</v>
      </c>
      <c r="F2842" s="6" t="s">
        <v>9</v>
      </c>
      <c r="G2842" s="6" t="s">
        <v>34</v>
      </c>
      <c r="H2842" s="9" t="s">
        <v>35</v>
      </c>
      <c r="I2842" s="7" t="str">
        <f t="shared" si="176"/>
        <v>61001002000</v>
      </c>
      <c r="J2842" s="7" t="str">
        <f t="shared" si="177"/>
        <v>Материал по ЕГРН</v>
      </c>
      <c r="K2842" s="7">
        <f>VLOOKUP(J2842,Лист2!A$2:B$4,2,FALSE)</f>
        <v>792</v>
      </c>
      <c r="L2842" s="7" t="str">
        <f t="shared" si="178"/>
        <v>ГОТОВ_ИЗМЕНЕН</v>
      </c>
      <c r="M2842" s="7">
        <f t="shared" si="179"/>
        <v>0</v>
      </c>
    </row>
    <row r="2843" spans="1:13" x14ac:dyDescent="0.25">
      <c r="A2843" s="1">
        <v>945678</v>
      </c>
      <c r="B2843" s="6" t="s">
        <v>2977</v>
      </c>
      <c r="F2843" s="6" t="s">
        <v>9</v>
      </c>
      <c r="G2843" s="6" t="s">
        <v>34</v>
      </c>
      <c r="H2843" s="9" t="s">
        <v>35</v>
      </c>
      <c r="I2843" s="7" t="str">
        <f t="shared" si="176"/>
        <v>61001002000</v>
      </c>
      <c r="J2843" s="7" t="str">
        <f t="shared" si="177"/>
        <v>Материал по ЕГРН</v>
      </c>
      <c r="K2843" s="7">
        <f>VLOOKUP(J2843,Лист2!A$2:B$4,2,FALSE)</f>
        <v>792</v>
      </c>
      <c r="L2843" s="7" t="str">
        <f t="shared" si="178"/>
        <v>ГОТОВ_ИЗМЕНЕН</v>
      </c>
      <c r="M2843" s="7">
        <f t="shared" si="179"/>
        <v>0</v>
      </c>
    </row>
    <row r="2844" spans="1:13" x14ac:dyDescent="0.25">
      <c r="A2844" s="1">
        <v>945690</v>
      </c>
      <c r="B2844" s="6" t="s">
        <v>2978</v>
      </c>
      <c r="F2844" s="6" t="s">
        <v>9</v>
      </c>
      <c r="G2844" s="6" t="s">
        <v>38</v>
      </c>
      <c r="H2844" s="9" t="s">
        <v>33</v>
      </c>
      <c r="I2844" s="7" t="str">
        <f t="shared" si="176"/>
        <v>61001005000</v>
      </c>
      <c r="J2844" s="7" t="str">
        <f t="shared" si="177"/>
        <v>Материал по ЕГРН</v>
      </c>
      <c r="K2844" s="7">
        <f>VLOOKUP(J2844,Лист2!A$2:B$4,2,FALSE)</f>
        <v>792</v>
      </c>
      <c r="L2844" s="7" t="str">
        <f t="shared" si="178"/>
        <v>ГОТОВ_ИЗМЕНЕН</v>
      </c>
      <c r="M2844" s="7">
        <f t="shared" si="179"/>
        <v>0</v>
      </c>
    </row>
    <row r="2845" spans="1:13" x14ac:dyDescent="0.25">
      <c r="A2845" s="1">
        <v>945702</v>
      </c>
      <c r="B2845" s="6" t="s">
        <v>2979</v>
      </c>
      <c r="F2845" s="6" t="s">
        <v>9</v>
      </c>
      <c r="G2845" s="6" t="s">
        <v>38</v>
      </c>
      <c r="H2845" s="9" t="s">
        <v>33</v>
      </c>
      <c r="I2845" s="7" t="str">
        <f t="shared" si="176"/>
        <v>61001005000</v>
      </c>
      <c r="J2845" s="7" t="str">
        <f t="shared" si="177"/>
        <v>Материал по ЕГРН</v>
      </c>
      <c r="K2845" s="7">
        <f>VLOOKUP(J2845,Лист2!A$2:B$4,2,FALSE)</f>
        <v>792</v>
      </c>
      <c r="L2845" s="7" t="str">
        <f t="shared" si="178"/>
        <v>ГОТОВ_ИЗМЕНЕН</v>
      </c>
      <c r="M2845" s="7">
        <f t="shared" si="179"/>
        <v>0</v>
      </c>
    </row>
    <row r="2846" spans="1:13" x14ac:dyDescent="0.25">
      <c r="A2846" s="1">
        <v>945714</v>
      </c>
      <c r="B2846" s="6" t="s">
        <v>2980</v>
      </c>
      <c r="F2846" s="6" t="s">
        <v>9</v>
      </c>
      <c r="G2846" s="6" t="s">
        <v>34</v>
      </c>
      <c r="H2846" s="9" t="s">
        <v>35</v>
      </c>
      <c r="I2846" s="7" t="str">
        <f t="shared" si="176"/>
        <v>61001002000</v>
      </c>
      <c r="J2846" s="7" t="str">
        <f t="shared" si="177"/>
        <v>Материал по ЕГРН</v>
      </c>
      <c r="K2846" s="7">
        <f>VLOOKUP(J2846,Лист2!A$2:B$4,2,FALSE)</f>
        <v>792</v>
      </c>
      <c r="L2846" s="7" t="str">
        <f t="shared" si="178"/>
        <v>ГОТОВ_ИЗМЕНЕН</v>
      </c>
      <c r="M2846" s="7">
        <f t="shared" si="179"/>
        <v>0</v>
      </c>
    </row>
    <row r="2847" spans="1:13" x14ac:dyDescent="0.25">
      <c r="A2847" s="1">
        <v>945726</v>
      </c>
      <c r="B2847" s="6" t="s">
        <v>2981</v>
      </c>
      <c r="F2847" s="6" t="s">
        <v>9</v>
      </c>
      <c r="G2847" s="6" t="s">
        <v>10</v>
      </c>
      <c r="H2847" s="9" t="s">
        <v>11</v>
      </c>
      <c r="I2847" s="7" t="str">
        <f t="shared" si="176"/>
        <v>61001003000</v>
      </c>
      <c r="J2847" s="7" t="str">
        <f t="shared" si="177"/>
        <v>Материал по ЕГРН</v>
      </c>
      <c r="K2847" s="7">
        <f>VLOOKUP(J2847,Лист2!A$2:B$4,2,FALSE)</f>
        <v>792</v>
      </c>
      <c r="L2847" s="7" t="str">
        <f t="shared" si="178"/>
        <v>ГОТОВ_ИЗМЕНЕН</v>
      </c>
      <c r="M2847" s="7">
        <f t="shared" si="179"/>
        <v>0</v>
      </c>
    </row>
    <row r="2848" spans="1:13" x14ac:dyDescent="0.25">
      <c r="A2848" s="1">
        <v>945738</v>
      </c>
      <c r="B2848" s="6" t="s">
        <v>2982</v>
      </c>
      <c r="F2848" s="6" t="s">
        <v>9</v>
      </c>
      <c r="G2848" s="6" t="s">
        <v>38</v>
      </c>
      <c r="H2848" s="9" t="s">
        <v>33</v>
      </c>
      <c r="I2848" s="7" t="str">
        <f t="shared" si="176"/>
        <v>61001005000</v>
      </c>
      <c r="J2848" s="7" t="str">
        <f t="shared" si="177"/>
        <v>Материал по ЕГРН</v>
      </c>
      <c r="K2848" s="7">
        <f>VLOOKUP(J2848,Лист2!A$2:B$4,2,FALSE)</f>
        <v>792</v>
      </c>
      <c r="L2848" s="7" t="str">
        <f t="shared" si="178"/>
        <v>ГОТОВ_ИЗМЕНЕН</v>
      </c>
      <c r="M2848" s="7">
        <f t="shared" si="179"/>
        <v>0</v>
      </c>
    </row>
    <row r="2849" spans="1:13" x14ac:dyDescent="0.25">
      <c r="A2849" s="1">
        <v>945750</v>
      </c>
      <c r="B2849" s="6" t="s">
        <v>2983</v>
      </c>
      <c r="F2849" s="6" t="s">
        <v>9</v>
      </c>
      <c r="G2849" s="6" t="s">
        <v>59</v>
      </c>
      <c r="H2849" s="9" t="s">
        <v>60</v>
      </c>
      <c r="I2849" s="7" t="str">
        <f t="shared" si="176"/>
        <v>61001001001</v>
      </c>
      <c r="J2849" s="7" t="str">
        <f t="shared" si="177"/>
        <v>Материал по ЕГРН</v>
      </c>
      <c r="K2849" s="7">
        <f>VLOOKUP(J2849,Лист2!A$2:B$4,2,FALSE)</f>
        <v>792</v>
      </c>
      <c r="L2849" s="7" t="str">
        <f t="shared" si="178"/>
        <v>ГОТОВ_ИЗМЕНЕН</v>
      </c>
      <c r="M2849" s="7">
        <f t="shared" si="179"/>
        <v>0</v>
      </c>
    </row>
    <row r="2850" spans="1:13" x14ac:dyDescent="0.25">
      <c r="A2850" s="1">
        <v>945762</v>
      </c>
      <c r="B2850" s="6" t="s">
        <v>2984</v>
      </c>
      <c r="F2850" s="6" t="s">
        <v>9</v>
      </c>
      <c r="G2850" s="6" t="s">
        <v>34</v>
      </c>
      <c r="H2850" s="9" t="s">
        <v>35</v>
      </c>
      <c r="I2850" s="7" t="str">
        <f t="shared" si="176"/>
        <v>61001002000</v>
      </c>
      <c r="J2850" s="7" t="str">
        <f t="shared" si="177"/>
        <v>Материал по ЕГРН</v>
      </c>
      <c r="K2850" s="7">
        <f>VLOOKUP(J2850,Лист2!A$2:B$4,2,FALSE)</f>
        <v>792</v>
      </c>
      <c r="L2850" s="7" t="str">
        <f t="shared" si="178"/>
        <v>ГОТОВ_ИЗМЕНЕН</v>
      </c>
      <c r="M2850" s="7">
        <f t="shared" si="179"/>
        <v>0</v>
      </c>
    </row>
    <row r="2851" spans="1:13" x14ac:dyDescent="0.25">
      <c r="A2851" s="1">
        <v>945774</v>
      </c>
      <c r="B2851" s="6" t="s">
        <v>2985</v>
      </c>
      <c r="F2851" s="6" t="s">
        <v>9</v>
      </c>
      <c r="G2851" s="6" t="s">
        <v>38</v>
      </c>
      <c r="H2851" s="9" t="s">
        <v>33</v>
      </c>
      <c r="I2851" s="7" t="str">
        <f t="shared" si="176"/>
        <v>61001005000</v>
      </c>
      <c r="J2851" s="7" t="str">
        <f t="shared" si="177"/>
        <v>Материал по ЕГРН</v>
      </c>
      <c r="K2851" s="7">
        <f>VLOOKUP(J2851,Лист2!A$2:B$4,2,FALSE)</f>
        <v>792</v>
      </c>
      <c r="L2851" s="7" t="str">
        <f t="shared" si="178"/>
        <v>ГОТОВ_ИЗМЕНЕН</v>
      </c>
      <c r="M2851" s="7">
        <f t="shared" si="179"/>
        <v>0</v>
      </c>
    </row>
    <row r="2852" spans="1:13" x14ac:dyDescent="0.25">
      <c r="A2852" s="1">
        <v>234631</v>
      </c>
      <c r="B2852" s="6" t="s">
        <v>2986</v>
      </c>
      <c r="C2852" s="9" t="s">
        <v>42</v>
      </c>
      <c r="D2852" s="6" t="s">
        <v>20</v>
      </c>
      <c r="E2852" s="6" t="s">
        <v>37</v>
      </c>
      <c r="F2852" s="6" t="s">
        <v>9</v>
      </c>
      <c r="G2852" s="6" t="s">
        <v>43</v>
      </c>
      <c r="H2852" s="9" t="s">
        <v>42</v>
      </c>
      <c r="I2852" s="7" t="str">
        <f t="shared" si="176"/>
        <v>61001002001</v>
      </c>
      <c r="J2852" s="7" t="str">
        <f t="shared" si="177"/>
        <v>Материал по ЕГРН</v>
      </c>
      <c r="K2852" s="7">
        <f>VLOOKUP(J2852,Лист2!A$2:B$4,2,FALSE)</f>
        <v>792</v>
      </c>
      <c r="L2852" s="7" t="str">
        <f t="shared" si="178"/>
        <v>ГОТОВ</v>
      </c>
      <c r="M2852" s="7" t="str">
        <f t="shared" si="179"/>
        <v>61001002001</v>
      </c>
    </row>
    <row r="2853" spans="1:13" x14ac:dyDescent="0.25">
      <c r="A2853" s="1">
        <v>599488</v>
      </c>
      <c r="B2853" s="6" t="s">
        <v>2987</v>
      </c>
      <c r="C2853" s="9" t="s">
        <v>33</v>
      </c>
      <c r="D2853" s="6" t="s">
        <v>20</v>
      </c>
      <c r="E2853" s="6" t="s">
        <v>37</v>
      </c>
      <c r="F2853" s="6" t="s">
        <v>9</v>
      </c>
      <c r="G2853" s="6" t="s">
        <v>38</v>
      </c>
      <c r="H2853" s="9" t="s">
        <v>33</v>
      </c>
      <c r="I2853" s="7" t="str">
        <f t="shared" si="176"/>
        <v>61001005000</v>
      </c>
      <c r="J2853" s="7" t="str">
        <f t="shared" si="177"/>
        <v>Материал по ЕГРН</v>
      </c>
      <c r="K2853" s="7">
        <f>VLOOKUP(J2853,Лист2!A$2:B$4,2,FALSE)</f>
        <v>792</v>
      </c>
      <c r="L2853" s="7" t="str">
        <f t="shared" si="178"/>
        <v>ГОТОВ</v>
      </c>
      <c r="M2853" s="7" t="str">
        <f t="shared" si="179"/>
        <v>61001005000</v>
      </c>
    </row>
    <row r="2854" spans="1:13" x14ac:dyDescent="0.25">
      <c r="A2854" s="1">
        <v>944285</v>
      </c>
      <c r="B2854" s="6" t="s">
        <v>2988</v>
      </c>
      <c r="F2854" s="6" t="s">
        <v>9</v>
      </c>
      <c r="G2854" s="6" t="s">
        <v>38</v>
      </c>
      <c r="H2854" s="9" t="s">
        <v>33</v>
      </c>
      <c r="I2854" s="7" t="str">
        <f t="shared" si="176"/>
        <v>61001005000</v>
      </c>
      <c r="J2854" s="7" t="str">
        <f t="shared" si="177"/>
        <v>Материал по ЕГРН</v>
      </c>
      <c r="K2854" s="7">
        <f>VLOOKUP(J2854,Лист2!A$2:B$4,2,FALSE)</f>
        <v>792</v>
      </c>
      <c r="L2854" s="7" t="str">
        <f t="shared" si="178"/>
        <v>ГОТОВ_ИЗМЕНЕН</v>
      </c>
      <c r="M2854" s="7">
        <f t="shared" si="179"/>
        <v>0</v>
      </c>
    </row>
    <row r="2855" spans="1:13" x14ac:dyDescent="0.25">
      <c r="A2855" s="1">
        <v>944297</v>
      </c>
      <c r="B2855" s="6" t="s">
        <v>2989</v>
      </c>
      <c r="F2855" s="6" t="s">
        <v>9</v>
      </c>
      <c r="G2855" s="6" t="s">
        <v>38</v>
      </c>
      <c r="H2855" s="9" t="s">
        <v>33</v>
      </c>
      <c r="I2855" s="7" t="str">
        <f t="shared" si="176"/>
        <v>61001005000</v>
      </c>
      <c r="J2855" s="7" t="str">
        <f t="shared" si="177"/>
        <v>Материал по ЕГРН</v>
      </c>
      <c r="K2855" s="7">
        <f>VLOOKUP(J2855,Лист2!A$2:B$4,2,FALSE)</f>
        <v>792</v>
      </c>
      <c r="L2855" s="7" t="str">
        <f t="shared" si="178"/>
        <v>ГОТОВ_ИЗМЕНЕН</v>
      </c>
      <c r="M2855" s="7">
        <f t="shared" si="179"/>
        <v>0</v>
      </c>
    </row>
    <row r="2856" spans="1:13" x14ac:dyDescent="0.25">
      <c r="A2856" s="1">
        <v>944309</v>
      </c>
      <c r="B2856" s="6" t="s">
        <v>2990</v>
      </c>
      <c r="F2856" s="6" t="s">
        <v>9</v>
      </c>
      <c r="G2856" s="6" t="s">
        <v>180</v>
      </c>
      <c r="H2856" s="9" t="s">
        <v>181</v>
      </c>
      <c r="I2856" s="7" t="str">
        <f t="shared" si="176"/>
        <v>61001009000</v>
      </c>
      <c r="J2856" s="7" t="str">
        <f t="shared" si="177"/>
        <v>Материал по ЕГРН</v>
      </c>
      <c r="K2856" s="7">
        <f>VLOOKUP(J2856,Лист2!A$2:B$4,2,FALSE)</f>
        <v>792</v>
      </c>
      <c r="L2856" s="7" t="str">
        <f t="shared" si="178"/>
        <v>ГОТОВ_ИЗМЕНЕН</v>
      </c>
      <c r="M2856" s="7">
        <f t="shared" si="179"/>
        <v>0</v>
      </c>
    </row>
    <row r="2857" spans="1:13" x14ac:dyDescent="0.25">
      <c r="A2857" s="1">
        <v>944321</v>
      </c>
      <c r="B2857" s="6" t="s">
        <v>2991</v>
      </c>
      <c r="F2857" s="6" t="s">
        <v>9</v>
      </c>
      <c r="G2857" s="6" t="s">
        <v>38</v>
      </c>
      <c r="H2857" s="9" t="s">
        <v>33</v>
      </c>
      <c r="I2857" s="7" t="str">
        <f t="shared" si="176"/>
        <v>61001005000</v>
      </c>
      <c r="J2857" s="7" t="str">
        <f t="shared" si="177"/>
        <v>Материал по ЕГРН</v>
      </c>
      <c r="K2857" s="7">
        <f>VLOOKUP(J2857,Лист2!A$2:B$4,2,FALSE)</f>
        <v>792</v>
      </c>
      <c r="L2857" s="7" t="str">
        <f t="shared" si="178"/>
        <v>ГОТОВ_ИЗМЕНЕН</v>
      </c>
      <c r="M2857" s="7">
        <f t="shared" si="179"/>
        <v>0</v>
      </c>
    </row>
    <row r="2858" spans="1:13" x14ac:dyDescent="0.25">
      <c r="A2858" s="1">
        <v>944333</v>
      </c>
      <c r="B2858" s="6" t="s">
        <v>2992</v>
      </c>
      <c r="F2858" s="6" t="s">
        <v>9</v>
      </c>
      <c r="G2858" s="6" t="s">
        <v>34</v>
      </c>
      <c r="H2858" s="9" t="s">
        <v>35</v>
      </c>
      <c r="I2858" s="7" t="str">
        <f t="shared" si="176"/>
        <v>61001002000</v>
      </c>
      <c r="J2858" s="7" t="str">
        <f t="shared" si="177"/>
        <v>Материал по ЕГРН</v>
      </c>
      <c r="K2858" s="7">
        <f>VLOOKUP(J2858,Лист2!A$2:B$4,2,FALSE)</f>
        <v>792</v>
      </c>
      <c r="L2858" s="7" t="str">
        <f t="shared" si="178"/>
        <v>ГОТОВ_ИЗМЕНЕН</v>
      </c>
      <c r="M2858" s="7">
        <f t="shared" si="179"/>
        <v>0</v>
      </c>
    </row>
    <row r="2859" spans="1:13" x14ac:dyDescent="0.25">
      <c r="A2859" s="1">
        <v>944345</v>
      </c>
      <c r="B2859" s="6" t="s">
        <v>2993</v>
      </c>
      <c r="F2859" s="6" t="s">
        <v>9</v>
      </c>
      <c r="G2859" s="6" t="s">
        <v>10</v>
      </c>
      <c r="H2859" s="9" t="s">
        <v>11</v>
      </c>
      <c r="I2859" s="7" t="str">
        <f t="shared" si="176"/>
        <v>61001003000</v>
      </c>
      <c r="J2859" s="7" t="str">
        <f t="shared" si="177"/>
        <v>Материал по ЕГРН</v>
      </c>
      <c r="K2859" s="7">
        <f>VLOOKUP(J2859,Лист2!A$2:B$4,2,FALSE)</f>
        <v>792</v>
      </c>
      <c r="L2859" s="7" t="str">
        <f t="shared" si="178"/>
        <v>ГОТОВ_ИЗМЕНЕН</v>
      </c>
      <c r="M2859" s="7">
        <f t="shared" si="179"/>
        <v>0</v>
      </c>
    </row>
    <row r="2860" spans="1:13" x14ac:dyDescent="0.25">
      <c r="A2860" s="1">
        <v>944357</v>
      </c>
      <c r="B2860" s="6" t="s">
        <v>2994</v>
      </c>
      <c r="F2860" s="6" t="s">
        <v>9</v>
      </c>
      <c r="G2860" s="6" t="s">
        <v>38</v>
      </c>
      <c r="H2860" s="9" t="s">
        <v>33</v>
      </c>
      <c r="I2860" s="7" t="str">
        <f t="shared" si="176"/>
        <v>61001005000</v>
      </c>
      <c r="J2860" s="7" t="str">
        <f t="shared" si="177"/>
        <v>Материал по ЕГРН</v>
      </c>
      <c r="K2860" s="7">
        <f>VLOOKUP(J2860,Лист2!A$2:B$4,2,FALSE)</f>
        <v>792</v>
      </c>
      <c r="L2860" s="7" t="str">
        <f t="shared" si="178"/>
        <v>ГОТОВ_ИЗМЕНЕН</v>
      </c>
      <c r="M2860" s="7">
        <f t="shared" si="179"/>
        <v>0</v>
      </c>
    </row>
    <row r="2861" spans="1:13" x14ac:dyDescent="0.25">
      <c r="A2861" s="1">
        <v>944369</v>
      </c>
      <c r="B2861" s="6" t="s">
        <v>2995</v>
      </c>
      <c r="F2861" s="6" t="s">
        <v>9</v>
      </c>
      <c r="G2861" s="6" t="s">
        <v>38</v>
      </c>
      <c r="H2861" s="9" t="s">
        <v>33</v>
      </c>
      <c r="I2861" s="7" t="str">
        <f t="shared" si="176"/>
        <v>61001005000</v>
      </c>
      <c r="J2861" s="7" t="str">
        <f t="shared" si="177"/>
        <v>Материал по ЕГРН</v>
      </c>
      <c r="K2861" s="7">
        <f>VLOOKUP(J2861,Лист2!A$2:B$4,2,FALSE)</f>
        <v>792</v>
      </c>
      <c r="L2861" s="7" t="str">
        <f t="shared" si="178"/>
        <v>ГОТОВ_ИЗМЕНЕН</v>
      </c>
      <c r="M2861" s="7">
        <f t="shared" si="179"/>
        <v>0</v>
      </c>
    </row>
    <row r="2862" spans="1:13" x14ac:dyDescent="0.25">
      <c r="A2862" s="1">
        <v>944381</v>
      </c>
      <c r="B2862" s="6" t="s">
        <v>2996</v>
      </c>
      <c r="F2862" s="6" t="s">
        <v>9</v>
      </c>
      <c r="G2862" s="6" t="s">
        <v>73</v>
      </c>
      <c r="H2862" s="9" t="s">
        <v>74</v>
      </c>
      <c r="I2862" s="7" t="str">
        <f t="shared" si="176"/>
        <v>61001006000</v>
      </c>
      <c r="J2862" s="7" t="str">
        <f t="shared" si="177"/>
        <v>Материал по ЕГРН</v>
      </c>
      <c r="K2862" s="7">
        <f>VLOOKUP(J2862,Лист2!A$2:B$4,2,FALSE)</f>
        <v>792</v>
      </c>
      <c r="L2862" s="7" t="str">
        <f t="shared" si="178"/>
        <v>ГОТОВ_ИЗМЕНЕН</v>
      </c>
      <c r="M2862" s="7">
        <f t="shared" si="179"/>
        <v>0</v>
      </c>
    </row>
    <row r="2863" spans="1:13" x14ac:dyDescent="0.25">
      <c r="A2863" s="1">
        <v>944393</v>
      </c>
      <c r="B2863" s="6" t="s">
        <v>2997</v>
      </c>
      <c r="F2863" s="6" t="s">
        <v>9</v>
      </c>
      <c r="G2863" s="6" t="s">
        <v>34</v>
      </c>
      <c r="H2863" s="9" t="s">
        <v>35</v>
      </c>
      <c r="I2863" s="7" t="str">
        <f t="shared" si="176"/>
        <v>61001002000</v>
      </c>
      <c r="J2863" s="7" t="str">
        <f t="shared" si="177"/>
        <v>Материал по ЕГРН</v>
      </c>
      <c r="K2863" s="7">
        <f>VLOOKUP(J2863,Лист2!A$2:B$4,2,FALSE)</f>
        <v>792</v>
      </c>
      <c r="L2863" s="7" t="str">
        <f t="shared" si="178"/>
        <v>ГОТОВ_ИЗМЕНЕН</v>
      </c>
      <c r="M2863" s="7">
        <f t="shared" si="179"/>
        <v>0</v>
      </c>
    </row>
    <row r="2864" spans="1:13" x14ac:dyDescent="0.25">
      <c r="A2864" s="1">
        <v>944405</v>
      </c>
      <c r="B2864" s="6" t="s">
        <v>2998</v>
      </c>
      <c r="F2864" s="6" t="s">
        <v>9</v>
      </c>
      <c r="G2864" s="6" t="s">
        <v>62</v>
      </c>
      <c r="H2864" s="9" t="s">
        <v>63</v>
      </c>
      <c r="I2864" s="7" t="str">
        <f t="shared" si="176"/>
        <v>61001006002</v>
      </c>
      <c r="J2864" s="7" t="str">
        <f t="shared" si="177"/>
        <v>Материал по ЕГРН</v>
      </c>
      <c r="K2864" s="7">
        <f>VLOOKUP(J2864,Лист2!A$2:B$4,2,FALSE)</f>
        <v>792</v>
      </c>
      <c r="L2864" s="7" t="str">
        <f t="shared" si="178"/>
        <v>ГОТОВ_ИЗМЕНЕН</v>
      </c>
      <c r="M2864" s="7">
        <f t="shared" si="179"/>
        <v>0</v>
      </c>
    </row>
    <row r="2865" spans="1:13" x14ac:dyDescent="0.25">
      <c r="A2865" s="1">
        <v>944417</v>
      </c>
      <c r="B2865" s="6" t="s">
        <v>2999</v>
      </c>
      <c r="F2865" s="6" t="s">
        <v>9</v>
      </c>
      <c r="G2865" s="6" t="s">
        <v>38</v>
      </c>
      <c r="H2865" s="9" t="s">
        <v>33</v>
      </c>
      <c r="I2865" s="7" t="str">
        <f t="shared" si="176"/>
        <v>61001005000</v>
      </c>
      <c r="J2865" s="7" t="str">
        <f t="shared" si="177"/>
        <v>Материал по ЕГРН</v>
      </c>
      <c r="K2865" s="7">
        <f>VLOOKUP(J2865,Лист2!A$2:B$4,2,FALSE)</f>
        <v>792</v>
      </c>
      <c r="L2865" s="7" t="str">
        <f t="shared" si="178"/>
        <v>ГОТОВ_ИЗМЕНЕН</v>
      </c>
      <c r="M2865" s="7">
        <f t="shared" si="179"/>
        <v>0</v>
      </c>
    </row>
    <row r="2866" spans="1:13" x14ac:dyDescent="0.25">
      <c r="A2866" s="1">
        <v>944429</v>
      </c>
      <c r="B2866" s="6" t="s">
        <v>3000</v>
      </c>
      <c r="F2866" s="6" t="s">
        <v>9</v>
      </c>
      <c r="G2866" s="6" t="s">
        <v>73</v>
      </c>
      <c r="H2866" s="9" t="s">
        <v>74</v>
      </c>
      <c r="I2866" s="7" t="str">
        <f t="shared" si="176"/>
        <v>61001006000</v>
      </c>
      <c r="J2866" s="7" t="str">
        <f t="shared" si="177"/>
        <v>Материал по ЕГРН</v>
      </c>
      <c r="K2866" s="7">
        <f>VLOOKUP(J2866,Лист2!A$2:B$4,2,FALSE)</f>
        <v>792</v>
      </c>
      <c r="L2866" s="7" t="str">
        <f t="shared" si="178"/>
        <v>ГОТОВ_ИЗМЕНЕН</v>
      </c>
      <c r="M2866" s="7">
        <f t="shared" si="179"/>
        <v>0</v>
      </c>
    </row>
    <row r="2867" spans="1:13" x14ac:dyDescent="0.25">
      <c r="A2867" s="1">
        <v>944441</v>
      </c>
      <c r="B2867" s="6" t="s">
        <v>3001</v>
      </c>
      <c r="F2867" s="6" t="s">
        <v>9</v>
      </c>
      <c r="G2867" s="6" t="s">
        <v>38</v>
      </c>
      <c r="H2867" s="9" t="s">
        <v>33</v>
      </c>
      <c r="I2867" s="7" t="str">
        <f t="shared" si="176"/>
        <v>61001005000</v>
      </c>
      <c r="J2867" s="7" t="str">
        <f t="shared" si="177"/>
        <v>Материал по ЕГРН</v>
      </c>
      <c r="K2867" s="7">
        <f>VLOOKUP(J2867,Лист2!A$2:B$4,2,FALSE)</f>
        <v>792</v>
      </c>
      <c r="L2867" s="7" t="str">
        <f t="shared" si="178"/>
        <v>ГОТОВ_ИЗМЕНЕН</v>
      </c>
      <c r="M2867" s="7">
        <f t="shared" si="179"/>
        <v>0</v>
      </c>
    </row>
    <row r="2868" spans="1:13" x14ac:dyDescent="0.25">
      <c r="A2868" s="1">
        <v>944453</v>
      </c>
      <c r="B2868" s="6" t="s">
        <v>3002</v>
      </c>
      <c r="F2868" s="6" t="s">
        <v>9</v>
      </c>
      <c r="G2868" s="6" t="s">
        <v>778</v>
      </c>
      <c r="H2868" s="9" t="s">
        <v>779</v>
      </c>
      <c r="I2868" s="7" t="str">
        <f t="shared" si="176"/>
        <v>61001003002</v>
      </c>
      <c r="J2868" s="7" t="str">
        <f t="shared" si="177"/>
        <v>Материал по ЕГРН</v>
      </c>
      <c r="K2868" s="7">
        <f>VLOOKUP(J2868,Лист2!A$2:B$4,2,FALSE)</f>
        <v>792</v>
      </c>
      <c r="L2868" s="7" t="str">
        <f t="shared" si="178"/>
        <v>ГОТОВ_ИЗМЕНЕН</v>
      </c>
      <c r="M2868" s="7">
        <f t="shared" si="179"/>
        <v>0</v>
      </c>
    </row>
    <row r="2869" spans="1:13" x14ac:dyDescent="0.25">
      <c r="A2869" s="1">
        <v>944465</v>
      </c>
      <c r="B2869" s="6" t="s">
        <v>3003</v>
      </c>
      <c r="F2869" s="6" t="s">
        <v>9</v>
      </c>
      <c r="G2869" s="6" t="s">
        <v>62</v>
      </c>
      <c r="H2869" s="9" t="s">
        <v>63</v>
      </c>
      <c r="I2869" s="7" t="str">
        <f t="shared" si="176"/>
        <v>61001006002</v>
      </c>
      <c r="J2869" s="7" t="str">
        <f t="shared" si="177"/>
        <v>Материал по ЕГРН</v>
      </c>
      <c r="K2869" s="7">
        <f>VLOOKUP(J2869,Лист2!A$2:B$4,2,FALSE)</f>
        <v>792</v>
      </c>
      <c r="L2869" s="7" t="str">
        <f t="shared" si="178"/>
        <v>ГОТОВ_ИЗМЕНЕН</v>
      </c>
      <c r="M2869" s="7">
        <f t="shared" si="179"/>
        <v>0</v>
      </c>
    </row>
    <row r="2870" spans="1:13" x14ac:dyDescent="0.25">
      <c r="A2870" s="1">
        <v>944477</v>
      </c>
      <c r="B2870" s="6" t="s">
        <v>3004</v>
      </c>
      <c r="F2870" s="6" t="s">
        <v>9</v>
      </c>
      <c r="G2870" s="6" t="s">
        <v>170</v>
      </c>
      <c r="H2870" s="9" t="s">
        <v>171</v>
      </c>
      <c r="I2870" s="7" t="str">
        <f t="shared" si="176"/>
        <v>61001001000</v>
      </c>
      <c r="J2870" s="7" t="str">
        <f t="shared" si="177"/>
        <v>Материал по ЕГРН</v>
      </c>
      <c r="K2870" s="7">
        <f>VLOOKUP(J2870,Лист2!A$2:B$4,2,FALSE)</f>
        <v>792</v>
      </c>
      <c r="L2870" s="7" t="str">
        <f t="shared" si="178"/>
        <v>ГОТОВ_ИЗМЕНЕН</v>
      </c>
      <c r="M2870" s="7">
        <f t="shared" si="179"/>
        <v>0</v>
      </c>
    </row>
    <row r="2871" spans="1:13" x14ac:dyDescent="0.25">
      <c r="A2871" s="1">
        <v>944489</v>
      </c>
      <c r="B2871" s="6" t="s">
        <v>3005</v>
      </c>
      <c r="F2871" s="6" t="s">
        <v>9</v>
      </c>
      <c r="G2871" s="6" t="s">
        <v>10</v>
      </c>
      <c r="H2871" s="9" t="s">
        <v>11</v>
      </c>
      <c r="I2871" s="7" t="str">
        <f t="shared" si="176"/>
        <v>61001003000</v>
      </c>
      <c r="J2871" s="7" t="str">
        <f t="shared" si="177"/>
        <v>Материал по ЕГРН</v>
      </c>
      <c r="K2871" s="7">
        <f>VLOOKUP(J2871,Лист2!A$2:B$4,2,FALSE)</f>
        <v>792</v>
      </c>
      <c r="L2871" s="7" t="str">
        <f t="shared" si="178"/>
        <v>ГОТОВ_ИЗМЕНЕН</v>
      </c>
      <c r="M2871" s="7">
        <f t="shared" si="179"/>
        <v>0</v>
      </c>
    </row>
    <row r="2872" spans="1:13" x14ac:dyDescent="0.25">
      <c r="A2872" s="1">
        <v>944501</v>
      </c>
      <c r="B2872" s="6" t="s">
        <v>3006</v>
      </c>
      <c r="F2872" s="6" t="s">
        <v>9</v>
      </c>
      <c r="G2872" s="6" t="s">
        <v>90</v>
      </c>
      <c r="H2872" s="9" t="s">
        <v>12</v>
      </c>
      <c r="I2872" s="7" t="str">
        <f t="shared" si="176"/>
        <v>61001008000</v>
      </c>
      <c r="J2872" s="7" t="str">
        <f t="shared" si="177"/>
        <v>Материал по ЕГРН</v>
      </c>
      <c r="K2872" s="7">
        <f>VLOOKUP(J2872,Лист2!A$2:B$4,2,FALSE)</f>
        <v>792</v>
      </c>
      <c r="L2872" s="7" t="str">
        <f t="shared" si="178"/>
        <v>ГОТОВ_ИЗМЕНЕН</v>
      </c>
      <c r="M2872" s="7">
        <f t="shared" si="179"/>
        <v>0</v>
      </c>
    </row>
    <row r="2873" spans="1:13" x14ac:dyDescent="0.25">
      <c r="A2873" s="1">
        <v>944513</v>
      </c>
      <c r="B2873" s="6" t="s">
        <v>3007</v>
      </c>
      <c r="F2873" s="6" t="s">
        <v>9</v>
      </c>
      <c r="G2873" s="6" t="s">
        <v>73</v>
      </c>
      <c r="H2873" s="9" t="s">
        <v>74</v>
      </c>
      <c r="I2873" s="7" t="str">
        <f t="shared" si="176"/>
        <v>61001006000</v>
      </c>
      <c r="J2873" s="7" t="str">
        <f t="shared" si="177"/>
        <v>Материал по ЕГРН</v>
      </c>
      <c r="K2873" s="7">
        <f>VLOOKUP(J2873,Лист2!A$2:B$4,2,FALSE)</f>
        <v>792</v>
      </c>
      <c r="L2873" s="7" t="str">
        <f t="shared" si="178"/>
        <v>ГОТОВ_ИЗМЕНЕН</v>
      </c>
      <c r="M2873" s="7">
        <f t="shared" si="179"/>
        <v>0</v>
      </c>
    </row>
    <row r="2874" spans="1:13" x14ac:dyDescent="0.25">
      <c r="A2874" s="1">
        <v>944525</v>
      </c>
      <c r="B2874" s="6" t="s">
        <v>3008</v>
      </c>
      <c r="F2874" s="6" t="s">
        <v>9</v>
      </c>
      <c r="G2874" s="6" t="s">
        <v>59</v>
      </c>
      <c r="H2874" s="9" t="s">
        <v>60</v>
      </c>
      <c r="I2874" s="7" t="str">
        <f t="shared" si="176"/>
        <v>61001001001</v>
      </c>
      <c r="J2874" s="7" t="str">
        <f t="shared" si="177"/>
        <v>Материал по ЕГРН</v>
      </c>
      <c r="K2874" s="7">
        <f>VLOOKUP(J2874,Лист2!A$2:B$4,2,FALSE)</f>
        <v>792</v>
      </c>
      <c r="L2874" s="7" t="str">
        <f t="shared" si="178"/>
        <v>ГОТОВ_ИЗМЕНЕН</v>
      </c>
      <c r="M2874" s="7">
        <f t="shared" si="179"/>
        <v>0</v>
      </c>
    </row>
    <row r="2875" spans="1:13" x14ac:dyDescent="0.25">
      <c r="A2875" s="1">
        <v>944537</v>
      </c>
      <c r="B2875" s="6" t="s">
        <v>3009</v>
      </c>
      <c r="F2875" s="6" t="s">
        <v>9</v>
      </c>
      <c r="G2875" s="6" t="s">
        <v>59</v>
      </c>
      <c r="H2875" s="9" t="s">
        <v>60</v>
      </c>
      <c r="I2875" s="7" t="str">
        <f t="shared" si="176"/>
        <v>61001001001</v>
      </c>
      <c r="J2875" s="7" t="str">
        <f t="shared" si="177"/>
        <v>Материал по ЕГРН</v>
      </c>
      <c r="K2875" s="7">
        <f>VLOOKUP(J2875,Лист2!A$2:B$4,2,FALSE)</f>
        <v>792</v>
      </c>
      <c r="L2875" s="7" t="str">
        <f t="shared" si="178"/>
        <v>ГОТОВ_ИЗМЕНЕН</v>
      </c>
      <c r="M2875" s="7">
        <f t="shared" si="179"/>
        <v>0</v>
      </c>
    </row>
    <row r="2876" spans="1:13" x14ac:dyDescent="0.25">
      <c r="A2876" s="1">
        <v>944549</v>
      </c>
      <c r="B2876" s="6" t="s">
        <v>3010</v>
      </c>
      <c r="F2876" s="6" t="s">
        <v>9</v>
      </c>
      <c r="G2876" s="6" t="s">
        <v>139</v>
      </c>
      <c r="H2876" s="9" t="s">
        <v>140</v>
      </c>
      <c r="I2876" s="7" t="str">
        <f t="shared" si="176"/>
        <v>61001999000</v>
      </c>
      <c r="J2876" s="7" t="str">
        <f t="shared" si="177"/>
        <v>Материал по ЕГРН</v>
      </c>
      <c r="K2876" s="7">
        <f>VLOOKUP(J2876,Лист2!A$2:B$4,2,FALSE)</f>
        <v>792</v>
      </c>
      <c r="L2876" s="7" t="str">
        <f t="shared" si="178"/>
        <v>ГОТОВ_ИЗМЕНЕН</v>
      </c>
      <c r="M2876" s="7">
        <f t="shared" si="179"/>
        <v>0</v>
      </c>
    </row>
    <row r="2877" spans="1:13" x14ac:dyDescent="0.25">
      <c r="A2877" s="1">
        <v>944561</v>
      </c>
      <c r="B2877" s="6" t="s">
        <v>3011</v>
      </c>
      <c r="F2877" s="6" t="s">
        <v>9</v>
      </c>
      <c r="G2877" s="6" t="s">
        <v>34</v>
      </c>
      <c r="H2877" s="9" t="s">
        <v>35</v>
      </c>
      <c r="I2877" s="7" t="str">
        <f t="shared" si="176"/>
        <v>61001002000</v>
      </c>
      <c r="J2877" s="7" t="str">
        <f t="shared" si="177"/>
        <v>Материал по ЕГРН</v>
      </c>
      <c r="K2877" s="7">
        <f>VLOOKUP(J2877,Лист2!A$2:B$4,2,FALSE)</f>
        <v>792</v>
      </c>
      <c r="L2877" s="7" t="str">
        <f t="shared" si="178"/>
        <v>ГОТОВ_ИЗМЕНЕН</v>
      </c>
      <c r="M2877" s="7">
        <f t="shared" si="179"/>
        <v>0</v>
      </c>
    </row>
    <row r="2878" spans="1:13" x14ac:dyDescent="0.25">
      <c r="A2878" s="1">
        <v>944573</v>
      </c>
      <c r="B2878" s="6" t="s">
        <v>3012</v>
      </c>
      <c r="F2878" s="6" t="s">
        <v>9</v>
      </c>
      <c r="G2878" s="6" t="s">
        <v>65</v>
      </c>
      <c r="H2878" s="9" t="s">
        <v>66</v>
      </c>
      <c r="I2878" s="7" t="str">
        <f t="shared" si="176"/>
        <v>61001002003</v>
      </c>
      <c r="J2878" s="7" t="str">
        <f t="shared" si="177"/>
        <v>Материал по ЕГРН</v>
      </c>
      <c r="K2878" s="7">
        <f>VLOOKUP(J2878,Лист2!A$2:B$4,2,FALSE)</f>
        <v>792</v>
      </c>
      <c r="L2878" s="7" t="str">
        <f t="shared" si="178"/>
        <v>ГОТОВ_ИЗМЕНЕН</v>
      </c>
      <c r="M2878" s="7">
        <f t="shared" si="179"/>
        <v>0</v>
      </c>
    </row>
    <row r="2879" spans="1:13" x14ac:dyDescent="0.25">
      <c r="A2879" s="1">
        <v>944585</v>
      </c>
      <c r="B2879" s="6" t="s">
        <v>3013</v>
      </c>
      <c r="F2879" s="6" t="s">
        <v>9</v>
      </c>
      <c r="G2879" s="6" t="s">
        <v>146</v>
      </c>
      <c r="H2879" s="9" t="s">
        <v>147</v>
      </c>
      <c r="I2879" s="7" t="str">
        <f t="shared" si="176"/>
        <v>61001000000</v>
      </c>
      <c r="J2879" s="7" t="str">
        <f t="shared" si="177"/>
        <v>Материал по ЕГРН</v>
      </c>
      <c r="K2879" s="7">
        <f>VLOOKUP(J2879,Лист2!A$2:B$4,2,FALSE)</f>
        <v>792</v>
      </c>
      <c r="L2879" s="7" t="str">
        <f t="shared" si="178"/>
        <v>ГОТОВ_ИЗМЕНЕН</v>
      </c>
      <c r="M2879" s="7">
        <f t="shared" si="179"/>
        <v>0</v>
      </c>
    </row>
    <row r="2880" spans="1:13" x14ac:dyDescent="0.25">
      <c r="A2880" s="1">
        <v>944597</v>
      </c>
      <c r="B2880" s="6" t="s">
        <v>3014</v>
      </c>
      <c r="F2880" s="6" t="s">
        <v>9</v>
      </c>
      <c r="G2880" s="6" t="s">
        <v>10</v>
      </c>
      <c r="H2880" s="9" t="s">
        <v>11</v>
      </c>
      <c r="I2880" s="7" t="str">
        <f t="shared" si="176"/>
        <v>61001003000</v>
      </c>
      <c r="J2880" s="7" t="str">
        <f t="shared" si="177"/>
        <v>Материал по ЕГРН</v>
      </c>
      <c r="K2880" s="7">
        <f>VLOOKUP(J2880,Лист2!A$2:B$4,2,FALSE)</f>
        <v>792</v>
      </c>
      <c r="L2880" s="7" t="str">
        <f t="shared" si="178"/>
        <v>ГОТОВ_ИЗМЕНЕН</v>
      </c>
      <c r="M2880" s="7">
        <f t="shared" si="179"/>
        <v>0</v>
      </c>
    </row>
    <row r="2881" spans="1:13" x14ac:dyDescent="0.25">
      <c r="A2881" s="1">
        <v>944609</v>
      </c>
      <c r="B2881" s="6" t="s">
        <v>3015</v>
      </c>
      <c r="F2881" s="6" t="s">
        <v>9</v>
      </c>
      <c r="G2881" s="6" t="s">
        <v>34</v>
      </c>
      <c r="H2881" s="9" t="s">
        <v>35</v>
      </c>
      <c r="I2881" s="7" t="str">
        <f t="shared" si="176"/>
        <v>61001002000</v>
      </c>
      <c r="J2881" s="7" t="str">
        <f t="shared" si="177"/>
        <v>Материал по ЕГРН</v>
      </c>
      <c r="K2881" s="7">
        <f>VLOOKUP(J2881,Лист2!A$2:B$4,2,FALSE)</f>
        <v>792</v>
      </c>
      <c r="L2881" s="7" t="str">
        <f t="shared" si="178"/>
        <v>ГОТОВ_ИЗМЕНЕН</v>
      </c>
      <c r="M2881" s="7">
        <f t="shared" si="179"/>
        <v>0</v>
      </c>
    </row>
    <row r="2882" spans="1:13" x14ac:dyDescent="0.25">
      <c r="A2882" s="1">
        <v>944621</v>
      </c>
      <c r="B2882" s="6" t="s">
        <v>3016</v>
      </c>
      <c r="F2882" s="6" t="s">
        <v>9</v>
      </c>
      <c r="G2882" s="6" t="s">
        <v>34</v>
      </c>
      <c r="H2882" s="9" t="s">
        <v>35</v>
      </c>
      <c r="I2882" s="7" t="str">
        <f t="shared" si="176"/>
        <v>61001002000</v>
      </c>
      <c r="J2882" s="7" t="str">
        <f t="shared" si="177"/>
        <v>Материал по ЕГРН</v>
      </c>
      <c r="K2882" s="7">
        <f>VLOOKUP(J2882,Лист2!A$2:B$4,2,FALSE)</f>
        <v>792</v>
      </c>
      <c r="L2882" s="7" t="str">
        <f t="shared" si="178"/>
        <v>ГОТОВ_ИЗМЕНЕН</v>
      </c>
      <c r="M2882" s="7">
        <f t="shared" si="179"/>
        <v>0</v>
      </c>
    </row>
    <row r="2883" spans="1:13" x14ac:dyDescent="0.25">
      <c r="A2883" s="1">
        <v>944633</v>
      </c>
      <c r="B2883" s="6" t="s">
        <v>3017</v>
      </c>
      <c r="F2883" s="6" t="s">
        <v>9</v>
      </c>
      <c r="G2883" s="6" t="s">
        <v>73</v>
      </c>
      <c r="H2883" s="9" t="s">
        <v>74</v>
      </c>
      <c r="I2883" s="7" t="str">
        <f t="shared" si="176"/>
        <v>61001006000</v>
      </c>
      <c r="J2883" s="7" t="str">
        <f t="shared" si="177"/>
        <v>Материал по ЕГРН</v>
      </c>
      <c r="K2883" s="7">
        <f>VLOOKUP(J2883,Лист2!A$2:B$4,2,FALSE)</f>
        <v>792</v>
      </c>
      <c r="L2883" s="7" t="str">
        <f t="shared" si="178"/>
        <v>ГОТОВ_ИЗМЕНЕН</v>
      </c>
      <c r="M2883" s="7">
        <f t="shared" si="179"/>
        <v>0</v>
      </c>
    </row>
    <row r="2884" spans="1:13" x14ac:dyDescent="0.25">
      <c r="A2884" s="1">
        <v>945851</v>
      </c>
      <c r="B2884" s="6" t="s">
        <v>3018</v>
      </c>
      <c r="F2884" s="6" t="s">
        <v>9</v>
      </c>
      <c r="G2884" s="6" t="s">
        <v>10</v>
      </c>
      <c r="H2884" s="9" t="s">
        <v>11</v>
      </c>
      <c r="I2884" s="7" t="str">
        <f t="shared" si="176"/>
        <v>61001003000</v>
      </c>
      <c r="J2884" s="7" t="str">
        <f t="shared" si="177"/>
        <v>Материал по ЕГРН</v>
      </c>
      <c r="K2884" s="7">
        <f>VLOOKUP(J2884,Лист2!A$2:B$4,2,FALSE)</f>
        <v>792</v>
      </c>
      <c r="L2884" s="7" t="str">
        <f t="shared" si="178"/>
        <v>ГОТОВ_ИЗМЕНЕН</v>
      </c>
      <c r="M2884" s="7">
        <f t="shared" si="179"/>
        <v>0</v>
      </c>
    </row>
    <row r="2885" spans="1:13" x14ac:dyDescent="0.25">
      <c r="A2885" s="1">
        <v>945863</v>
      </c>
      <c r="B2885" s="6" t="s">
        <v>3019</v>
      </c>
      <c r="F2885" s="6" t="s">
        <v>9</v>
      </c>
      <c r="G2885" s="6" t="s">
        <v>59</v>
      </c>
      <c r="H2885" s="9" t="s">
        <v>60</v>
      </c>
      <c r="I2885" s="7" t="str">
        <f t="shared" ref="I2885:I2948" si="180">IF(LEN(H2885)=11,H2885,IF(LEN(H2885)=0,"61001005000","61001003000"))</f>
        <v>61001001001</v>
      </c>
      <c r="J2885" s="7" t="str">
        <f t="shared" ref="J2885:J2948" si="181">IF(LEN(H2885)=11,"Материал по ЕГРН",IF(LEN(H2885)=0,"Прочие по допущению","Смешанные по допущению"))</f>
        <v>Материал по ЕГРН</v>
      </c>
      <c r="K2885" s="7">
        <f>VLOOKUP(J2885,Лист2!A$2:B$4,2,FALSE)</f>
        <v>792</v>
      </c>
      <c r="L2885" s="7" t="str">
        <f t="shared" ref="L2885:L2948" si="182">IF(I2885=C2885,"ГОТОВ","ГОТОВ_ИЗМЕНЕН")</f>
        <v>ГОТОВ_ИЗМЕНЕН</v>
      </c>
      <c r="M2885" s="7">
        <f t="shared" ref="M2885:M2948" si="183">C2885</f>
        <v>0</v>
      </c>
    </row>
    <row r="2886" spans="1:13" x14ac:dyDescent="0.25">
      <c r="A2886" s="1">
        <v>945875</v>
      </c>
      <c r="B2886" s="6" t="s">
        <v>3020</v>
      </c>
      <c r="F2886" s="6" t="s">
        <v>9</v>
      </c>
      <c r="G2886" s="6" t="s">
        <v>59</v>
      </c>
      <c r="H2886" s="9" t="s">
        <v>60</v>
      </c>
      <c r="I2886" s="7" t="str">
        <f t="shared" si="180"/>
        <v>61001001001</v>
      </c>
      <c r="J2886" s="7" t="str">
        <f t="shared" si="181"/>
        <v>Материал по ЕГРН</v>
      </c>
      <c r="K2886" s="7">
        <f>VLOOKUP(J2886,Лист2!A$2:B$4,2,FALSE)</f>
        <v>792</v>
      </c>
      <c r="L2886" s="7" t="str">
        <f t="shared" si="182"/>
        <v>ГОТОВ_ИЗМЕНЕН</v>
      </c>
      <c r="M2886" s="7">
        <f t="shared" si="183"/>
        <v>0</v>
      </c>
    </row>
    <row r="2887" spans="1:13" x14ac:dyDescent="0.25">
      <c r="A2887" s="1">
        <v>945887</v>
      </c>
      <c r="B2887" s="6" t="s">
        <v>3021</v>
      </c>
      <c r="F2887" s="6" t="s">
        <v>9</v>
      </c>
      <c r="G2887" s="6" t="s">
        <v>62</v>
      </c>
      <c r="H2887" s="9" t="s">
        <v>63</v>
      </c>
      <c r="I2887" s="7" t="str">
        <f t="shared" si="180"/>
        <v>61001006002</v>
      </c>
      <c r="J2887" s="7" t="str">
        <f t="shared" si="181"/>
        <v>Материал по ЕГРН</v>
      </c>
      <c r="K2887" s="7">
        <f>VLOOKUP(J2887,Лист2!A$2:B$4,2,FALSE)</f>
        <v>792</v>
      </c>
      <c r="L2887" s="7" t="str">
        <f t="shared" si="182"/>
        <v>ГОТОВ_ИЗМЕНЕН</v>
      </c>
      <c r="M2887" s="7">
        <f t="shared" si="183"/>
        <v>0</v>
      </c>
    </row>
    <row r="2888" spans="1:13" x14ac:dyDescent="0.25">
      <c r="A2888" s="1">
        <v>945899</v>
      </c>
      <c r="B2888" s="6" t="s">
        <v>3022</v>
      </c>
      <c r="F2888" s="6" t="s">
        <v>9</v>
      </c>
      <c r="G2888" s="6" t="s">
        <v>38</v>
      </c>
      <c r="H2888" s="9" t="s">
        <v>33</v>
      </c>
      <c r="I2888" s="7" t="str">
        <f t="shared" si="180"/>
        <v>61001005000</v>
      </c>
      <c r="J2888" s="7" t="str">
        <f t="shared" si="181"/>
        <v>Материал по ЕГРН</v>
      </c>
      <c r="K2888" s="7">
        <f>VLOOKUP(J2888,Лист2!A$2:B$4,2,FALSE)</f>
        <v>792</v>
      </c>
      <c r="L2888" s="7" t="str">
        <f t="shared" si="182"/>
        <v>ГОТОВ_ИЗМЕНЕН</v>
      </c>
      <c r="M2888" s="7">
        <f t="shared" si="183"/>
        <v>0</v>
      </c>
    </row>
    <row r="2889" spans="1:13" x14ac:dyDescent="0.25">
      <c r="A2889" s="1">
        <v>945911</v>
      </c>
      <c r="B2889" s="6" t="s">
        <v>3023</v>
      </c>
      <c r="F2889" s="6" t="s">
        <v>9</v>
      </c>
      <c r="G2889" s="6" t="s">
        <v>62</v>
      </c>
      <c r="H2889" s="9" t="s">
        <v>63</v>
      </c>
      <c r="I2889" s="7" t="str">
        <f t="shared" si="180"/>
        <v>61001006002</v>
      </c>
      <c r="J2889" s="7" t="str">
        <f t="shared" si="181"/>
        <v>Материал по ЕГРН</v>
      </c>
      <c r="K2889" s="7">
        <f>VLOOKUP(J2889,Лист2!A$2:B$4,2,FALSE)</f>
        <v>792</v>
      </c>
      <c r="L2889" s="7" t="str">
        <f t="shared" si="182"/>
        <v>ГОТОВ_ИЗМЕНЕН</v>
      </c>
      <c r="M2889" s="7">
        <f t="shared" si="183"/>
        <v>0</v>
      </c>
    </row>
    <row r="2890" spans="1:13" x14ac:dyDescent="0.25">
      <c r="A2890" s="1">
        <v>945923</v>
      </c>
      <c r="B2890" s="6" t="s">
        <v>3024</v>
      </c>
      <c r="F2890" s="6" t="s">
        <v>9</v>
      </c>
      <c r="G2890" s="6" t="s">
        <v>38</v>
      </c>
      <c r="H2890" s="9" t="s">
        <v>33</v>
      </c>
      <c r="I2890" s="7" t="str">
        <f t="shared" si="180"/>
        <v>61001005000</v>
      </c>
      <c r="J2890" s="7" t="str">
        <f t="shared" si="181"/>
        <v>Материал по ЕГРН</v>
      </c>
      <c r="K2890" s="7">
        <f>VLOOKUP(J2890,Лист2!A$2:B$4,2,FALSE)</f>
        <v>792</v>
      </c>
      <c r="L2890" s="7" t="str">
        <f t="shared" si="182"/>
        <v>ГОТОВ_ИЗМЕНЕН</v>
      </c>
      <c r="M2890" s="7">
        <f t="shared" si="183"/>
        <v>0</v>
      </c>
    </row>
    <row r="2891" spans="1:13" x14ac:dyDescent="0.25">
      <c r="A2891" s="1">
        <v>945935</v>
      </c>
      <c r="B2891" s="6" t="s">
        <v>3025</v>
      </c>
      <c r="F2891" s="6" t="s">
        <v>9</v>
      </c>
      <c r="G2891" s="6" t="s">
        <v>10</v>
      </c>
      <c r="H2891" s="9" t="s">
        <v>11</v>
      </c>
      <c r="I2891" s="7" t="str">
        <f t="shared" si="180"/>
        <v>61001003000</v>
      </c>
      <c r="J2891" s="7" t="str">
        <f t="shared" si="181"/>
        <v>Материал по ЕГРН</v>
      </c>
      <c r="K2891" s="7">
        <f>VLOOKUP(J2891,Лист2!A$2:B$4,2,FALSE)</f>
        <v>792</v>
      </c>
      <c r="L2891" s="7" t="str">
        <f t="shared" si="182"/>
        <v>ГОТОВ_ИЗМЕНЕН</v>
      </c>
      <c r="M2891" s="7">
        <f t="shared" si="183"/>
        <v>0</v>
      </c>
    </row>
    <row r="2892" spans="1:13" x14ac:dyDescent="0.25">
      <c r="A2892" s="1">
        <v>945947</v>
      </c>
      <c r="B2892" s="6" t="s">
        <v>3026</v>
      </c>
      <c r="F2892" s="6" t="s">
        <v>9</v>
      </c>
      <c r="G2892" s="6" t="s">
        <v>149</v>
      </c>
      <c r="H2892" s="9" t="s">
        <v>150</v>
      </c>
      <c r="I2892" s="7" t="str">
        <f t="shared" si="180"/>
        <v>61001007000</v>
      </c>
      <c r="J2892" s="7" t="str">
        <f t="shared" si="181"/>
        <v>Материал по ЕГРН</v>
      </c>
      <c r="K2892" s="7">
        <f>VLOOKUP(J2892,Лист2!A$2:B$4,2,FALSE)</f>
        <v>792</v>
      </c>
      <c r="L2892" s="7" t="str">
        <f t="shared" si="182"/>
        <v>ГОТОВ_ИЗМЕНЕН</v>
      </c>
      <c r="M2892" s="7">
        <f t="shared" si="183"/>
        <v>0</v>
      </c>
    </row>
    <row r="2893" spans="1:13" x14ac:dyDescent="0.25">
      <c r="A2893" s="1">
        <v>945959</v>
      </c>
      <c r="B2893" s="6" t="s">
        <v>3027</v>
      </c>
      <c r="F2893" s="6" t="s">
        <v>9</v>
      </c>
      <c r="G2893" s="6" t="s">
        <v>38</v>
      </c>
      <c r="H2893" s="9" t="s">
        <v>33</v>
      </c>
      <c r="I2893" s="7" t="str">
        <f t="shared" si="180"/>
        <v>61001005000</v>
      </c>
      <c r="J2893" s="7" t="str">
        <f t="shared" si="181"/>
        <v>Материал по ЕГРН</v>
      </c>
      <c r="K2893" s="7">
        <f>VLOOKUP(J2893,Лист2!A$2:B$4,2,FALSE)</f>
        <v>792</v>
      </c>
      <c r="L2893" s="7" t="str">
        <f t="shared" si="182"/>
        <v>ГОТОВ_ИЗМЕНЕН</v>
      </c>
      <c r="M2893" s="7">
        <f t="shared" si="183"/>
        <v>0</v>
      </c>
    </row>
    <row r="2894" spans="1:13" x14ac:dyDescent="0.25">
      <c r="A2894" s="1">
        <v>945971</v>
      </c>
      <c r="B2894" s="6" t="s">
        <v>3028</v>
      </c>
      <c r="F2894" s="6" t="s">
        <v>9</v>
      </c>
      <c r="G2894" s="6" t="s">
        <v>10</v>
      </c>
      <c r="H2894" s="9" t="s">
        <v>11</v>
      </c>
      <c r="I2894" s="7" t="str">
        <f t="shared" si="180"/>
        <v>61001003000</v>
      </c>
      <c r="J2894" s="7" t="str">
        <f t="shared" si="181"/>
        <v>Материал по ЕГРН</v>
      </c>
      <c r="K2894" s="7">
        <f>VLOOKUP(J2894,Лист2!A$2:B$4,2,FALSE)</f>
        <v>792</v>
      </c>
      <c r="L2894" s="7" t="str">
        <f t="shared" si="182"/>
        <v>ГОТОВ_ИЗМЕНЕН</v>
      </c>
      <c r="M2894" s="7">
        <f t="shared" si="183"/>
        <v>0</v>
      </c>
    </row>
    <row r="2895" spans="1:13" x14ac:dyDescent="0.25">
      <c r="A2895" s="1">
        <v>945983</v>
      </c>
      <c r="B2895" s="6" t="s">
        <v>3029</v>
      </c>
      <c r="F2895" s="6" t="s">
        <v>9</v>
      </c>
      <c r="G2895" s="6" t="s">
        <v>38</v>
      </c>
      <c r="H2895" s="9" t="s">
        <v>33</v>
      </c>
      <c r="I2895" s="7" t="str">
        <f t="shared" si="180"/>
        <v>61001005000</v>
      </c>
      <c r="J2895" s="7" t="str">
        <f t="shared" si="181"/>
        <v>Материал по ЕГРН</v>
      </c>
      <c r="K2895" s="7">
        <f>VLOOKUP(J2895,Лист2!A$2:B$4,2,FALSE)</f>
        <v>792</v>
      </c>
      <c r="L2895" s="7" t="str">
        <f t="shared" si="182"/>
        <v>ГОТОВ_ИЗМЕНЕН</v>
      </c>
      <c r="M2895" s="7">
        <f t="shared" si="183"/>
        <v>0</v>
      </c>
    </row>
    <row r="2896" spans="1:13" x14ac:dyDescent="0.25">
      <c r="A2896" s="1">
        <v>945995</v>
      </c>
      <c r="B2896" s="6" t="s">
        <v>3030</v>
      </c>
      <c r="F2896" s="6" t="s">
        <v>9</v>
      </c>
      <c r="G2896" s="6" t="s">
        <v>10</v>
      </c>
      <c r="H2896" s="9" t="s">
        <v>11</v>
      </c>
      <c r="I2896" s="7" t="str">
        <f t="shared" si="180"/>
        <v>61001003000</v>
      </c>
      <c r="J2896" s="7" t="str">
        <f t="shared" si="181"/>
        <v>Материал по ЕГРН</v>
      </c>
      <c r="K2896" s="7">
        <f>VLOOKUP(J2896,Лист2!A$2:B$4,2,FALSE)</f>
        <v>792</v>
      </c>
      <c r="L2896" s="7" t="str">
        <f t="shared" si="182"/>
        <v>ГОТОВ_ИЗМЕНЕН</v>
      </c>
      <c r="M2896" s="7">
        <f t="shared" si="183"/>
        <v>0</v>
      </c>
    </row>
    <row r="2897" spans="1:13" x14ac:dyDescent="0.25">
      <c r="A2897" s="1">
        <v>946007</v>
      </c>
      <c r="B2897" s="6" t="s">
        <v>3031</v>
      </c>
      <c r="F2897" s="6" t="s">
        <v>9</v>
      </c>
      <c r="G2897" s="6" t="s">
        <v>38</v>
      </c>
      <c r="H2897" s="9" t="s">
        <v>33</v>
      </c>
      <c r="I2897" s="7" t="str">
        <f t="shared" si="180"/>
        <v>61001005000</v>
      </c>
      <c r="J2897" s="7" t="str">
        <f t="shared" si="181"/>
        <v>Материал по ЕГРН</v>
      </c>
      <c r="K2897" s="7">
        <f>VLOOKUP(J2897,Лист2!A$2:B$4,2,FALSE)</f>
        <v>792</v>
      </c>
      <c r="L2897" s="7" t="str">
        <f t="shared" si="182"/>
        <v>ГОТОВ_ИЗМЕНЕН</v>
      </c>
      <c r="M2897" s="7">
        <f t="shared" si="183"/>
        <v>0</v>
      </c>
    </row>
    <row r="2898" spans="1:13" x14ac:dyDescent="0.25">
      <c r="A2898" s="1">
        <v>946019</v>
      </c>
      <c r="B2898" s="6" t="s">
        <v>3032</v>
      </c>
      <c r="F2898" s="6" t="s">
        <v>9</v>
      </c>
      <c r="G2898" s="6" t="s">
        <v>38</v>
      </c>
      <c r="H2898" s="9" t="s">
        <v>33</v>
      </c>
      <c r="I2898" s="7" t="str">
        <f t="shared" si="180"/>
        <v>61001005000</v>
      </c>
      <c r="J2898" s="7" t="str">
        <f t="shared" si="181"/>
        <v>Материал по ЕГРН</v>
      </c>
      <c r="K2898" s="7">
        <f>VLOOKUP(J2898,Лист2!A$2:B$4,2,FALSE)</f>
        <v>792</v>
      </c>
      <c r="L2898" s="7" t="str">
        <f t="shared" si="182"/>
        <v>ГОТОВ_ИЗМЕНЕН</v>
      </c>
      <c r="M2898" s="7">
        <f t="shared" si="183"/>
        <v>0</v>
      </c>
    </row>
    <row r="2899" spans="1:13" x14ac:dyDescent="0.25">
      <c r="A2899" s="1">
        <v>946031</v>
      </c>
      <c r="B2899" s="6" t="s">
        <v>3033</v>
      </c>
      <c r="F2899" s="6" t="s">
        <v>9</v>
      </c>
      <c r="G2899" s="6" t="s">
        <v>34</v>
      </c>
      <c r="H2899" s="9" t="s">
        <v>35</v>
      </c>
      <c r="I2899" s="7" t="str">
        <f t="shared" si="180"/>
        <v>61001002000</v>
      </c>
      <c r="J2899" s="7" t="str">
        <f t="shared" si="181"/>
        <v>Материал по ЕГРН</v>
      </c>
      <c r="K2899" s="7">
        <f>VLOOKUP(J2899,Лист2!A$2:B$4,2,FALSE)</f>
        <v>792</v>
      </c>
      <c r="L2899" s="7" t="str">
        <f t="shared" si="182"/>
        <v>ГОТОВ_ИЗМЕНЕН</v>
      </c>
      <c r="M2899" s="7">
        <f t="shared" si="183"/>
        <v>0</v>
      </c>
    </row>
    <row r="2900" spans="1:13" x14ac:dyDescent="0.25">
      <c r="A2900" s="1">
        <v>946043</v>
      </c>
      <c r="B2900" s="6" t="s">
        <v>3034</v>
      </c>
      <c r="F2900" s="6" t="s">
        <v>9</v>
      </c>
      <c r="G2900" s="6" t="s">
        <v>38</v>
      </c>
      <c r="H2900" s="9" t="s">
        <v>33</v>
      </c>
      <c r="I2900" s="7" t="str">
        <f t="shared" si="180"/>
        <v>61001005000</v>
      </c>
      <c r="J2900" s="7" t="str">
        <f t="shared" si="181"/>
        <v>Материал по ЕГРН</v>
      </c>
      <c r="K2900" s="7">
        <f>VLOOKUP(J2900,Лист2!A$2:B$4,2,FALSE)</f>
        <v>792</v>
      </c>
      <c r="L2900" s="7" t="str">
        <f t="shared" si="182"/>
        <v>ГОТОВ_ИЗМЕНЕН</v>
      </c>
      <c r="M2900" s="7">
        <f t="shared" si="183"/>
        <v>0</v>
      </c>
    </row>
    <row r="2901" spans="1:13" x14ac:dyDescent="0.25">
      <c r="A2901" s="1">
        <v>946055</v>
      </c>
      <c r="B2901" s="6" t="s">
        <v>3035</v>
      </c>
      <c r="F2901" s="6" t="s">
        <v>9</v>
      </c>
      <c r="G2901" s="6" t="s">
        <v>59</v>
      </c>
      <c r="H2901" s="9" t="s">
        <v>60</v>
      </c>
      <c r="I2901" s="7" t="str">
        <f t="shared" si="180"/>
        <v>61001001001</v>
      </c>
      <c r="J2901" s="7" t="str">
        <f t="shared" si="181"/>
        <v>Материал по ЕГРН</v>
      </c>
      <c r="K2901" s="7">
        <f>VLOOKUP(J2901,Лист2!A$2:B$4,2,FALSE)</f>
        <v>792</v>
      </c>
      <c r="L2901" s="7" t="str">
        <f t="shared" si="182"/>
        <v>ГОТОВ_ИЗМЕНЕН</v>
      </c>
      <c r="M2901" s="7">
        <f t="shared" si="183"/>
        <v>0</v>
      </c>
    </row>
    <row r="2902" spans="1:13" x14ac:dyDescent="0.25">
      <c r="A2902" s="1">
        <v>946067</v>
      </c>
      <c r="B2902" s="6" t="s">
        <v>3036</v>
      </c>
      <c r="F2902" s="6" t="s">
        <v>9</v>
      </c>
      <c r="G2902" s="6" t="s">
        <v>125</v>
      </c>
      <c r="H2902" s="9" t="s">
        <v>126</v>
      </c>
      <c r="I2902" s="7" t="str">
        <f t="shared" si="180"/>
        <v>61001007004</v>
      </c>
      <c r="J2902" s="7" t="str">
        <f t="shared" si="181"/>
        <v>Материал по ЕГРН</v>
      </c>
      <c r="K2902" s="7">
        <f>VLOOKUP(J2902,Лист2!A$2:B$4,2,FALSE)</f>
        <v>792</v>
      </c>
      <c r="L2902" s="7" t="str">
        <f t="shared" si="182"/>
        <v>ГОТОВ_ИЗМЕНЕН</v>
      </c>
      <c r="M2902" s="7">
        <f t="shared" si="183"/>
        <v>0</v>
      </c>
    </row>
    <row r="2903" spans="1:13" x14ac:dyDescent="0.25">
      <c r="A2903" s="1">
        <v>946079</v>
      </c>
      <c r="B2903" s="6" t="s">
        <v>3037</v>
      </c>
      <c r="F2903" s="6" t="s">
        <v>9</v>
      </c>
      <c r="G2903" s="6" t="s">
        <v>38</v>
      </c>
      <c r="H2903" s="9" t="s">
        <v>33</v>
      </c>
      <c r="I2903" s="7" t="str">
        <f t="shared" si="180"/>
        <v>61001005000</v>
      </c>
      <c r="J2903" s="7" t="str">
        <f t="shared" si="181"/>
        <v>Материал по ЕГРН</v>
      </c>
      <c r="K2903" s="7">
        <f>VLOOKUP(J2903,Лист2!A$2:B$4,2,FALSE)</f>
        <v>792</v>
      </c>
      <c r="L2903" s="7" t="str">
        <f t="shared" si="182"/>
        <v>ГОТОВ_ИЗМЕНЕН</v>
      </c>
      <c r="M2903" s="7">
        <f t="shared" si="183"/>
        <v>0</v>
      </c>
    </row>
    <row r="2904" spans="1:13" x14ac:dyDescent="0.25">
      <c r="A2904" s="1">
        <v>946091</v>
      </c>
      <c r="B2904" s="6" t="s">
        <v>3038</v>
      </c>
      <c r="F2904" s="6" t="s">
        <v>9</v>
      </c>
      <c r="G2904" s="6" t="s">
        <v>10</v>
      </c>
      <c r="H2904" s="9" t="s">
        <v>11</v>
      </c>
      <c r="I2904" s="7" t="str">
        <f t="shared" si="180"/>
        <v>61001003000</v>
      </c>
      <c r="J2904" s="7" t="str">
        <f t="shared" si="181"/>
        <v>Материал по ЕГРН</v>
      </c>
      <c r="K2904" s="7">
        <f>VLOOKUP(J2904,Лист2!A$2:B$4,2,FALSE)</f>
        <v>792</v>
      </c>
      <c r="L2904" s="7" t="str">
        <f t="shared" si="182"/>
        <v>ГОТОВ_ИЗМЕНЕН</v>
      </c>
      <c r="M2904" s="7">
        <f t="shared" si="183"/>
        <v>0</v>
      </c>
    </row>
    <row r="2905" spans="1:13" x14ac:dyDescent="0.25">
      <c r="A2905" s="1">
        <v>946103</v>
      </c>
      <c r="B2905" s="6" t="s">
        <v>3039</v>
      </c>
      <c r="F2905" s="6" t="s">
        <v>9</v>
      </c>
      <c r="G2905" s="6" t="s">
        <v>34</v>
      </c>
      <c r="H2905" s="9" t="s">
        <v>35</v>
      </c>
      <c r="I2905" s="7" t="str">
        <f t="shared" si="180"/>
        <v>61001002000</v>
      </c>
      <c r="J2905" s="7" t="str">
        <f t="shared" si="181"/>
        <v>Материал по ЕГРН</v>
      </c>
      <c r="K2905" s="7">
        <f>VLOOKUP(J2905,Лист2!A$2:B$4,2,FALSE)</f>
        <v>792</v>
      </c>
      <c r="L2905" s="7" t="str">
        <f t="shared" si="182"/>
        <v>ГОТОВ_ИЗМЕНЕН</v>
      </c>
      <c r="M2905" s="7">
        <f t="shared" si="183"/>
        <v>0</v>
      </c>
    </row>
    <row r="2906" spans="1:13" x14ac:dyDescent="0.25">
      <c r="A2906" s="1">
        <v>946115</v>
      </c>
      <c r="B2906" s="6" t="s">
        <v>3040</v>
      </c>
      <c r="F2906" s="6" t="s">
        <v>9</v>
      </c>
      <c r="G2906" s="6" t="s">
        <v>62</v>
      </c>
      <c r="H2906" s="9" t="s">
        <v>63</v>
      </c>
      <c r="I2906" s="7" t="str">
        <f t="shared" si="180"/>
        <v>61001006002</v>
      </c>
      <c r="J2906" s="7" t="str">
        <f t="shared" si="181"/>
        <v>Материал по ЕГРН</v>
      </c>
      <c r="K2906" s="7">
        <f>VLOOKUP(J2906,Лист2!A$2:B$4,2,FALSE)</f>
        <v>792</v>
      </c>
      <c r="L2906" s="7" t="str">
        <f t="shared" si="182"/>
        <v>ГОТОВ_ИЗМЕНЕН</v>
      </c>
      <c r="M2906" s="7">
        <f t="shared" si="183"/>
        <v>0</v>
      </c>
    </row>
    <row r="2907" spans="1:13" x14ac:dyDescent="0.25">
      <c r="A2907" s="1">
        <v>946127</v>
      </c>
      <c r="B2907" s="6" t="s">
        <v>3041</v>
      </c>
      <c r="F2907" s="6" t="s">
        <v>9</v>
      </c>
      <c r="G2907" s="6" t="s">
        <v>146</v>
      </c>
      <c r="H2907" s="9" t="s">
        <v>147</v>
      </c>
      <c r="I2907" s="7" t="str">
        <f t="shared" si="180"/>
        <v>61001000000</v>
      </c>
      <c r="J2907" s="7" t="str">
        <f t="shared" si="181"/>
        <v>Материал по ЕГРН</v>
      </c>
      <c r="K2907" s="7">
        <f>VLOOKUP(J2907,Лист2!A$2:B$4,2,FALSE)</f>
        <v>792</v>
      </c>
      <c r="L2907" s="7" t="str">
        <f t="shared" si="182"/>
        <v>ГОТОВ_ИЗМЕНЕН</v>
      </c>
      <c r="M2907" s="7">
        <f t="shared" si="183"/>
        <v>0</v>
      </c>
    </row>
    <row r="2908" spans="1:13" x14ac:dyDescent="0.25">
      <c r="A2908" s="1">
        <v>946139</v>
      </c>
      <c r="B2908" s="6" t="s">
        <v>3042</v>
      </c>
      <c r="F2908" s="6" t="s">
        <v>9</v>
      </c>
      <c r="G2908" s="6" t="s">
        <v>139</v>
      </c>
      <c r="H2908" s="9" t="s">
        <v>140</v>
      </c>
      <c r="I2908" s="7" t="str">
        <f t="shared" si="180"/>
        <v>61001999000</v>
      </c>
      <c r="J2908" s="7" t="str">
        <f t="shared" si="181"/>
        <v>Материал по ЕГРН</v>
      </c>
      <c r="K2908" s="7">
        <f>VLOOKUP(J2908,Лист2!A$2:B$4,2,FALSE)</f>
        <v>792</v>
      </c>
      <c r="L2908" s="7" t="str">
        <f t="shared" si="182"/>
        <v>ГОТОВ_ИЗМЕНЕН</v>
      </c>
      <c r="M2908" s="7">
        <f t="shared" si="183"/>
        <v>0</v>
      </c>
    </row>
    <row r="2909" spans="1:13" x14ac:dyDescent="0.25">
      <c r="A2909" s="1">
        <v>946151</v>
      </c>
      <c r="B2909" s="6" t="s">
        <v>3043</v>
      </c>
      <c r="F2909" s="6" t="s">
        <v>9</v>
      </c>
      <c r="G2909" s="6" t="s">
        <v>601</v>
      </c>
      <c r="H2909" s="9" t="s">
        <v>602</v>
      </c>
      <c r="I2909" s="7" t="str">
        <f t="shared" si="180"/>
        <v>61001003000</v>
      </c>
      <c r="J2909" s="7" t="str">
        <f t="shared" si="181"/>
        <v>Смешанные по допущению</v>
      </c>
      <c r="K2909" s="7">
        <f>VLOOKUP(J2909,Лист2!A$2:B$4,2,FALSE)</f>
        <v>793</v>
      </c>
      <c r="L2909" s="7" t="str">
        <f t="shared" si="182"/>
        <v>ГОТОВ_ИЗМЕНЕН</v>
      </c>
      <c r="M2909" s="7">
        <f t="shared" si="183"/>
        <v>0</v>
      </c>
    </row>
    <row r="2910" spans="1:13" x14ac:dyDescent="0.25">
      <c r="A2910" s="1">
        <v>193735</v>
      </c>
      <c r="B2910" s="6" t="s">
        <v>3044</v>
      </c>
      <c r="C2910" s="9" t="s">
        <v>33</v>
      </c>
      <c r="D2910" s="6" t="s">
        <v>20</v>
      </c>
      <c r="E2910" s="6" t="s">
        <v>37</v>
      </c>
      <c r="F2910" s="6" t="s">
        <v>9</v>
      </c>
      <c r="G2910" s="6" t="s">
        <v>38</v>
      </c>
      <c r="H2910" s="9" t="s">
        <v>33</v>
      </c>
      <c r="I2910" s="7" t="str">
        <f t="shared" si="180"/>
        <v>61001005000</v>
      </c>
      <c r="J2910" s="7" t="str">
        <f t="shared" si="181"/>
        <v>Материал по ЕГРН</v>
      </c>
      <c r="K2910" s="7">
        <f>VLOOKUP(J2910,Лист2!A$2:B$4,2,FALSE)</f>
        <v>792</v>
      </c>
      <c r="L2910" s="7" t="str">
        <f t="shared" si="182"/>
        <v>ГОТОВ</v>
      </c>
      <c r="M2910" s="7" t="str">
        <f t="shared" si="183"/>
        <v>61001005000</v>
      </c>
    </row>
    <row r="2911" spans="1:13" x14ac:dyDescent="0.25">
      <c r="A2911" s="1">
        <v>422972</v>
      </c>
      <c r="B2911" s="6" t="s">
        <v>3045</v>
      </c>
      <c r="C2911" s="9" t="s">
        <v>60</v>
      </c>
      <c r="D2911" s="6" t="s">
        <v>20</v>
      </c>
      <c r="E2911" s="6" t="s">
        <v>37</v>
      </c>
      <c r="F2911" s="6" t="s">
        <v>9</v>
      </c>
      <c r="G2911" s="6" t="s">
        <v>59</v>
      </c>
      <c r="H2911" s="9" t="s">
        <v>60</v>
      </c>
      <c r="I2911" s="7" t="str">
        <f t="shared" si="180"/>
        <v>61001001001</v>
      </c>
      <c r="J2911" s="7" t="str">
        <f t="shared" si="181"/>
        <v>Материал по ЕГРН</v>
      </c>
      <c r="K2911" s="7">
        <f>VLOOKUP(J2911,Лист2!A$2:B$4,2,FALSE)</f>
        <v>792</v>
      </c>
      <c r="L2911" s="7" t="str">
        <f t="shared" si="182"/>
        <v>ГОТОВ</v>
      </c>
      <c r="M2911" s="7" t="str">
        <f t="shared" si="183"/>
        <v>61001001001</v>
      </c>
    </row>
    <row r="2912" spans="1:13" x14ac:dyDescent="0.25">
      <c r="A2912" s="1">
        <v>855506</v>
      </c>
      <c r="B2912" s="6" t="s">
        <v>3046</v>
      </c>
      <c r="C2912" s="9" t="s">
        <v>33</v>
      </c>
      <c r="D2912" s="6" t="s">
        <v>20</v>
      </c>
      <c r="E2912" s="6" t="s">
        <v>37</v>
      </c>
      <c r="F2912" s="6" t="s">
        <v>9</v>
      </c>
      <c r="G2912" s="6" t="s">
        <v>38</v>
      </c>
      <c r="H2912" s="9" t="s">
        <v>33</v>
      </c>
      <c r="I2912" s="7" t="str">
        <f t="shared" si="180"/>
        <v>61001005000</v>
      </c>
      <c r="J2912" s="7" t="str">
        <f t="shared" si="181"/>
        <v>Материал по ЕГРН</v>
      </c>
      <c r="K2912" s="7">
        <f>VLOOKUP(J2912,Лист2!A$2:B$4,2,FALSE)</f>
        <v>792</v>
      </c>
      <c r="L2912" s="7" t="str">
        <f t="shared" si="182"/>
        <v>ГОТОВ</v>
      </c>
      <c r="M2912" s="7" t="str">
        <f t="shared" si="183"/>
        <v>61001005000</v>
      </c>
    </row>
    <row r="2913" spans="1:13" x14ac:dyDescent="0.25">
      <c r="A2913" s="1">
        <v>945503</v>
      </c>
      <c r="B2913" s="6" t="s">
        <v>3047</v>
      </c>
      <c r="F2913" s="6" t="s">
        <v>9</v>
      </c>
      <c r="G2913" s="6" t="s">
        <v>59</v>
      </c>
      <c r="H2913" s="9" t="s">
        <v>60</v>
      </c>
      <c r="I2913" s="7" t="str">
        <f t="shared" si="180"/>
        <v>61001001001</v>
      </c>
      <c r="J2913" s="7" t="str">
        <f t="shared" si="181"/>
        <v>Материал по ЕГРН</v>
      </c>
      <c r="K2913" s="7">
        <f>VLOOKUP(J2913,Лист2!A$2:B$4,2,FALSE)</f>
        <v>792</v>
      </c>
      <c r="L2913" s="7" t="str">
        <f t="shared" si="182"/>
        <v>ГОТОВ_ИЗМЕНЕН</v>
      </c>
      <c r="M2913" s="7">
        <f t="shared" si="183"/>
        <v>0</v>
      </c>
    </row>
    <row r="2914" spans="1:13" x14ac:dyDescent="0.25">
      <c r="A2914" s="1">
        <v>945515</v>
      </c>
      <c r="B2914" s="6" t="s">
        <v>3048</v>
      </c>
      <c r="F2914" s="6" t="s">
        <v>9</v>
      </c>
      <c r="G2914" s="6" t="s">
        <v>62</v>
      </c>
      <c r="H2914" s="9" t="s">
        <v>63</v>
      </c>
      <c r="I2914" s="7" t="str">
        <f t="shared" si="180"/>
        <v>61001006002</v>
      </c>
      <c r="J2914" s="7" t="str">
        <f t="shared" si="181"/>
        <v>Материал по ЕГРН</v>
      </c>
      <c r="K2914" s="7">
        <f>VLOOKUP(J2914,Лист2!A$2:B$4,2,FALSE)</f>
        <v>792</v>
      </c>
      <c r="L2914" s="7" t="str">
        <f t="shared" si="182"/>
        <v>ГОТОВ_ИЗМЕНЕН</v>
      </c>
      <c r="M2914" s="7">
        <f t="shared" si="183"/>
        <v>0</v>
      </c>
    </row>
    <row r="2915" spans="1:13" x14ac:dyDescent="0.25">
      <c r="A2915" s="1">
        <v>945527</v>
      </c>
      <c r="B2915" s="6" t="s">
        <v>3049</v>
      </c>
      <c r="F2915" s="6" t="s">
        <v>9</v>
      </c>
      <c r="G2915" s="6" t="s">
        <v>38</v>
      </c>
      <c r="H2915" s="9" t="s">
        <v>33</v>
      </c>
      <c r="I2915" s="7" t="str">
        <f t="shared" si="180"/>
        <v>61001005000</v>
      </c>
      <c r="J2915" s="7" t="str">
        <f t="shared" si="181"/>
        <v>Материал по ЕГРН</v>
      </c>
      <c r="K2915" s="7">
        <f>VLOOKUP(J2915,Лист2!A$2:B$4,2,FALSE)</f>
        <v>792</v>
      </c>
      <c r="L2915" s="7" t="str">
        <f t="shared" si="182"/>
        <v>ГОТОВ_ИЗМЕНЕН</v>
      </c>
      <c r="M2915" s="7">
        <f t="shared" si="183"/>
        <v>0</v>
      </c>
    </row>
    <row r="2916" spans="1:13" x14ac:dyDescent="0.25">
      <c r="A2916" s="1">
        <v>945539</v>
      </c>
      <c r="B2916" s="6" t="s">
        <v>3050</v>
      </c>
      <c r="F2916" s="6" t="s">
        <v>9</v>
      </c>
      <c r="G2916" s="6" t="s">
        <v>34</v>
      </c>
      <c r="H2916" s="9" t="s">
        <v>35</v>
      </c>
      <c r="I2916" s="7" t="str">
        <f t="shared" si="180"/>
        <v>61001002000</v>
      </c>
      <c r="J2916" s="7" t="str">
        <f t="shared" si="181"/>
        <v>Материал по ЕГРН</v>
      </c>
      <c r="K2916" s="7">
        <f>VLOOKUP(J2916,Лист2!A$2:B$4,2,FALSE)</f>
        <v>792</v>
      </c>
      <c r="L2916" s="7" t="str">
        <f t="shared" si="182"/>
        <v>ГОТОВ_ИЗМЕНЕН</v>
      </c>
      <c r="M2916" s="7">
        <f t="shared" si="183"/>
        <v>0</v>
      </c>
    </row>
    <row r="2917" spans="1:13" x14ac:dyDescent="0.25">
      <c r="A2917" s="1">
        <v>945551</v>
      </c>
      <c r="B2917" s="6" t="s">
        <v>3051</v>
      </c>
      <c r="F2917" s="6" t="s">
        <v>9</v>
      </c>
      <c r="G2917" s="6" t="s">
        <v>43</v>
      </c>
      <c r="H2917" s="9" t="s">
        <v>42</v>
      </c>
      <c r="I2917" s="7" t="str">
        <f t="shared" si="180"/>
        <v>61001002001</v>
      </c>
      <c r="J2917" s="7" t="str">
        <f t="shared" si="181"/>
        <v>Материал по ЕГРН</v>
      </c>
      <c r="K2917" s="7">
        <f>VLOOKUP(J2917,Лист2!A$2:B$4,2,FALSE)</f>
        <v>792</v>
      </c>
      <c r="L2917" s="7" t="str">
        <f t="shared" si="182"/>
        <v>ГОТОВ_ИЗМЕНЕН</v>
      </c>
      <c r="M2917" s="7">
        <f t="shared" si="183"/>
        <v>0</v>
      </c>
    </row>
    <row r="2918" spans="1:13" x14ac:dyDescent="0.25">
      <c r="A2918" s="1">
        <v>945563</v>
      </c>
      <c r="B2918" s="6" t="s">
        <v>3052</v>
      </c>
      <c r="F2918" s="6" t="s">
        <v>9</v>
      </c>
      <c r="G2918" s="6" t="s">
        <v>38</v>
      </c>
      <c r="H2918" s="9" t="s">
        <v>33</v>
      </c>
      <c r="I2918" s="7" t="str">
        <f t="shared" si="180"/>
        <v>61001005000</v>
      </c>
      <c r="J2918" s="7" t="str">
        <f t="shared" si="181"/>
        <v>Материал по ЕГРН</v>
      </c>
      <c r="K2918" s="7">
        <f>VLOOKUP(J2918,Лист2!A$2:B$4,2,FALSE)</f>
        <v>792</v>
      </c>
      <c r="L2918" s="7" t="str">
        <f t="shared" si="182"/>
        <v>ГОТОВ_ИЗМЕНЕН</v>
      </c>
      <c r="M2918" s="7">
        <f t="shared" si="183"/>
        <v>0</v>
      </c>
    </row>
    <row r="2919" spans="1:13" x14ac:dyDescent="0.25">
      <c r="A2919" s="1">
        <v>945575</v>
      </c>
      <c r="B2919" s="6" t="s">
        <v>3053</v>
      </c>
      <c r="F2919" s="6" t="s">
        <v>9</v>
      </c>
      <c r="G2919" s="6" t="s">
        <v>10</v>
      </c>
      <c r="H2919" s="9" t="s">
        <v>11</v>
      </c>
      <c r="I2919" s="7" t="str">
        <f t="shared" si="180"/>
        <v>61001003000</v>
      </c>
      <c r="J2919" s="7" t="str">
        <f t="shared" si="181"/>
        <v>Материал по ЕГРН</v>
      </c>
      <c r="K2919" s="7">
        <f>VLOOKUP(J2919,Лист2!A$2:B$4,2,FALSE)</f>
        <v>792</v>
      </c>
      <c r="L2919" s="7" t="str">
        <f t="shared" si="182"/>
        <v>ГОТОВ_ИЗМЕНЕН</v>
      </c>
      <c r="M2919" s="7">
        <f t="shared" si="183"/>
        <v>0</v>
      </c>
    </row>
    <row r="2920" spans="1:13" x14ac:dyDescent="0.25">
      <c r="A2920" s="1">
        <v>945587</v>
      </c>
      <c r="B2920" s="6" t="s">
        <v>3054</v>
      </c>
      <c r="F2920" s="6" t="s">
        <v>9</v>
      </c>
      <c r="G2920" s="6" t="s">
        <v>34</v>
      </c>
      <c r="H2920" s="9" t="s">
        <v>35</v>
      </c>
      <c r="I2920" s="7" t="str">
        <f t="shared" si="180"/>
        <v>61001002000</v>
      </c>
      <c r="J2920" s="7" t="str">
        <f t="shared" si="181"/>
        <v>Материал по ЕГРН</v>
      </c>
      <c r="K2920" s="7">
        <f>VLOOKUP(J2920,Лист2!A$2:B$4,2,FALSE)</f>
        <v>792</v>
      </c>
      <c r="L2920" s="7" t="str">
        <f t="shared" si="182"/>
        <v>ГОТОВ_ИЗМЕНЕН</v>
      </c>
      <c r="M2920" s="7">
        <f t="shared" si="183"/>
        <v>0</v>
      </c>
    </row>
    <row r="2921" spans="1:13" x14ac:dyDescent="0.25">
      <c r="A2921" s="1">
        <v>945599</v>
      </c>
      <c r="B2921" s="6" t="s">
        <v>3055</v>
      </c>
      <c r="F2921" s="6" t="s">
        <v>9</v>
      </c>
      <c r="G2921" s="6" t="s">
        <v>629</v>
      </c>
      <c r="H2921" s="9" t="s">
        <v>630</v>
      </c>
      <c r="I2921" s="7" t="str">
        <f t="shared" si="180"/>
        <v>61001003000</v>
      </c>
      <c r="J2921" s="7" t="str">
        <f t="shared" si="181"/>
        <v>Смешанные по допущению</v>
      </c>
      <c r="K2921" s="7">
        <f>VLOOKUP(J2921,Лист2!A$2:B$4,2,FALSE)</f>
        <v>793</v>
      </c>
      <c r="L2921" s="7" t="str">
        <f t="shared" si="182"/>
        <v>ГОТОВ_ИЗМЕНЕН</v>
      </c>
      <c r="M2921" s="7">
        <f t="shared" si="183"/>
        <v>0</v>
      </c>
    </row>
    <row r="2922" spans="1:13" x14ac:dyDescent="0.25">
      <c r="A2922" s="1">
        <v>945611</v>
      </c>
      <c r="B2922" s="6" t="s">
        <v>3056</v>
      </c>
      <c r="F2922" s="6" t="s">
        <v>9</v>
      </c>
      <c r="G2922" s="6" t="s">
        <v>38</v>
      </c>
      <c r="H2922" s="9" t="s">
        <v>33</v>
      </c>
      <c r="I2922" s="7" t="str">
        <f t="shared" si="180"/>
        <v>61001005000</v>
      </c>
      <c r="J2922" s="7" t="str">
        <f t="shared" si="181"/>
        <v>Материал по ЕГРН</v>
      </c>
      <c r="K2922" s="7">
        <f>VLOOKUP(J2922,Лист2!A$2:B$4,2,FALSE)</f>
        <v>792</v>
      </c>
      <c r="L2922" s="7" t="str">
        <f t="shared" si="182"/>
        <v>ГОТОВ_ИЗМЕНЕН</v>
      </c>
      <c r="M2922" s="7">
        <f t="shared" si="183"/>
        <v>0</v>
      </c>
    </row>
    <row r="2923" spans="1:13" x14ac:dyDescent="0.25">
      <c r="A2923" s="1">
        <v>945623</v>
      </c>
      <c r="B2923" s="6" t="s">
        <v>3057</v>
      </c>
      <c r="F2923" s="6" t="s">
        <v>9</v>
      </c>
      <c r="G2923" s="6" t="s">
        <v>59</v>
      </c>
      <c r="H2923" s="9" t="s">
        <v>60</v>
      </c>
      <c r="I2923" s="7" t="str">
        <f t="shared" si="180"/>
        <v>61001001001</v>
      </c>
      <c r="J2923" s="7" t="str">
        <f t="shared" si="181"/>
        <v>Материал по ЕГРН</v>
      </c>
      <c r="K2923" s="7">
        <f>VLOOKUP(J2923,Лист2!A$2:B$4,2,FALSE)</f>
        <v>792</v>
      </c>
      <c r="L2923" s="7" t="str">
        <f t="shared" si="182"/>
        <v>ГОТОВ_ИЗМЕНЕН</v>
      </c>
      <c r="M2923" s="7">
        <f t="shared" si="183"/>
        <v>0</v>
      </c>
    </row>
    <row r="2924" spans="1:13" x14ac:dyDescent="0.25">
      <c r="A2924" s="1">
        <v>945635</v>
      </c>
      <c r="B2924" s="6" t="s">
        <v>3058</v>
      </c>
      <c r="F2924" s="6" t="s">
        <v>9</v>
      </c>
      <c r="G2924" s="6" t="s">
        <v>62</v>
      </c>
      <c r="H2924" s="9" t="s">
        <v>63</v>
      </c>
      <c r="I2924" s="7" t="str">
        <f t="shared" si="180"/>
        <v>61001006002</v>
      </c>
      <c r="J2924" s="7" t="str">
        <f t="shared" si="181"/>
        <v>Материал по ЕГРН</v>
      </c>
      <c r="K2924" s="7">
        <f>VLOOKUP(J2924,Лист2!A$2:B$4,2,FALSE)</f>
        <v>792</v>
      </c>
      <c r="L2924" s="7" t="str">
        <f t="shared" si="182"/>
        <v>ГОТОВ_ИЗМЕНЕН</v>
      </c>
      <c r="M2924" s="7">
        <f t="shared" si="183"/>
        <v>0</v>
      </c>
    </row>
    <row r="2925" spans="1:13" x14ac:dyDescent="0.25">
      <c r="A2925" s="1">
        <v>945647</v>
      </c>
      <c r="B2925" s="6" t="s">
        <v>3059</v>
      </c>
      <c r="F2925" s="6" t="s">
        <v>9</v>
      </c>
      <c r="G2925" s="6" t="s">
        <v>59</v>
      </c>
      <c r="H2925" s="9" t="s">
        <v>60</v>
      </c>
      <c r="I2925" s="7" t="str">
        <f t="shared" si="180"/>
        <v>61001001001</v>
      </c>
      <c r="J2925" s="7" t="str">
        <f t="shared" si="181"/>
        <v>Материал по ЕГРН</v>
      </c>
      <c r="K2925" s="7">
        <f>VLOOKUP(J2925,Лист2!A$2:B$4,2,FALSE)</f>
        <v>792</v>
      </c>
      <c r="L2925" s="7" t="str">
        <f t="shared" si="182"/>
        <v>ГОТОВ_ИЗМЕНЕН</v>
      </c>
      <c r="M2925" s="7">
        <f t="shared" si="183"/>
        <v>0</v>
      </c>
    </row>
    <row r="2926" spans="1:13" x14ac:dyDescent="0.25">
      <c r="A2926" s="1">
        <v>945659</v>
      </c>
      <c r="B2926" s="6" t="s">
        <v>3060</v>
      </c>
      <c r="E2926" s="6" t="s">
        <v>8</v>
      </c>
      <c r="F2926" s="6" t="s">
        <v>9</v>
      </c>
      <c r="G2926" s="6" t="s">
        <v>510</v>
      </c>
      <c r="H2926" s="9" t="s">
        <v>511</v>
      </c>
      <c r="I2926" s="7" t="str">
        <f t="shared" si="180"/>
        <v>61001003000</v>
      </c>
      <c r="J2926" s="7" t="str">
        <f t="shared" si="181"/>
        <v>Смешанные по допущению</v>
      </c>
      <c r="K2926" s="7">
        <f>VLOOKUP(J2926,Лист2!A$2:B$4,2,FALSE)</f>
        <v>793</v>
      </c>
      <c r="L2926" s="7" t="str">
        <f t="shared" si="182"/>
        <v>ГОТОВ_ИЗМЕНЕН</v>
      </c>
      <c r="M2926" s="7">
        <f t="shared" si="183"/>
        <v>0</v>
      </c>
    </row>
    <row r="2927" spans="1:13" x14ac:dyDescent="0.25">
      <c r="A2927" s="1">
        <v>945671</v>
      </c>
      <c r="B2927" s="6" t="s">
        <v>3061</v>
      </c>
      <c r="F2927" s="6" t="s">
        <v>9</v>
      </c>
      <c r="G2927" s="6" t="s">
        <v>38</v>
      </c>
      <c r="H2927" s="9" t="s">
        <v>33</v>
      </c>
      <c r="I2927" s="7" t="str">
        <f t="shared" si="180"/>
        <v>61001005000</v>
      </c>
      <c r="J2927" s="7" t="str">
        <f t="shared" si="181"/>
        <v>Материал по ЕГРН</v>
      </c>
      <c r="K2927" s="7">
        <f>VLOOKUP(J2927,Лист2!A$2:B$4,2,FALSE)</f>
        <v>792</v>
      </c>
      <c r="L2927" s="7" t="str">
        <f t="shared" si="182"/>
        <v>ГОТОВ_ИЗМЕНЕН</v>
      </c>
      <c r="M2927" s="7">
        <f t="shared" si="183"/>
        <v>0</v>
      </c>
    </row>
    <row r="2928" spans="1:13" x14ac:dyDescent="0.25">
      <c r="A2928" s="1">
        <v>945683</v>
      </c>
      <c r="B2928" s="6" t="s">
        <v>3062</v>
      </c>
      <c r="F2928" s="6" t="s">
        <v>9</v>
      </c>
      <c r="G2928" s="6" t="s">
        <v>34</v>
      </c>
      <c r="H2928" s="9" t="s">
        <v>35</v>
      </c>
      <c r="I2928" s="7" t="str">
        <f t="shared" si="180"/>
        <v>61001002000</v>
      </c>
      <c r="J2928" s="7" t="str">
        <f t="shared" si="181"/>
        <v>Материал по ЕГРН</v>
      </c>
      <c r="K2928" s="7">
        <f>VLOOKUP(J2928,Лист2!A$2:B$4,2,FALSE)</f>
        <v>792</v>
      </c>
      <c r="L2928" s="7" t="str">
        <f t="shared" si="182"/>
        <v>ГОТОВ_ИЗМЕНЕН</v>
      </c>
      <c r="M2928" s="7">
        <f t="shared" si="183"/>
        <v>0</v>
      </c>
    </row>
    <row r="2929" spans="1:13" x14ac:dyDescent="0.25">
      <c r="A2929" s="1">
        <v>945695</v>
      </c>
      <c r="B2929" s="6" t="s">
        <v>3063</v>
      </c>
      <c r="F2929" s="6" t="s">
        <v>9</v>
      </c>
      <c r="G2929" s="6" t="s">
        <v>90</v>
      </c>
      <c r="H2929" s="9" t="s">
        <v>12</v>
      </c>
      <c r="I2929" s="7" t="str">
        <f t="shared" si="180"/>
        <v>61001008000</v>
      </c>
      <c r="J2929" s="7" t="str">
        <f t="shared" si="181"/>
        <v>Материал по ЕГРН</v>
      </c>
      <c r="K2929" s="7">
        <f>VLOOKUP(J2929,Лист2!A$2:B$4,2,FALSE)</f>
        <v>792</v>
      </c>
      <c r="L2929" s="7" t="str">
        <f t="shared" si="182"/>
        <v>ГОТОВ_ИЗМЕНЕН</v>
      </c>
      <c r="M2929" s="7">
        <f t="shared" si="183"/>
        <v>0</v>
      </c>
    </row>
    <row r="2930" spans="1:13" x14ac:dyDescent="0.25">
      <c r="A2930" s="1">
        <v>945707</v>
      </c>
      <c r="B2930" s="6" t="s">
        <v>3064</v>
      </c>
      <c r="F2930" s="6" t="s">
        <v>9</v>
      </c>
      <c r="G2930" s="6" t="s">
        <v>62</v>
      </c>
      <c r="H2930" s="9" t="s">
        <v>63</v>
      </c>
      <c r="I2930" s="7" t="str">
        <f t="shared" si="180"/>
        <v>61001006002</v>
      </c>
      <c r="J2930" s="7" t="str">
        <f t="shared" si="181"/>
        <v>Материал по ЕГРН</v>
      </c>
      <c r="K2930" s="7">
        <f>VLOOKUP(J2930,Лист2!A$2:B$4,2,FALSE)</f>
        <v>792</v>
      </c>
      <c r="L2930" s="7" t="str">
        <f t="shared" si="182"/>
        <v>ГОТОВ_ИЗМЕНЕН</v>
      </c>
      <c r="M2930" s="7">
        <f t="shared" si="183"/>
        <v>0</v>
      </c>
    </row>
    <row r="2931" spans="1:13" x14ac:dyDescent="0.25">
      <c r="A2931" s="1">
        <v>945719</v>
      </c>
      <c r="B2931" s="6" t="s">
        <v>3065</v>
      </c>
      <c r="F2931" s="6" t="s">
        <v>9</v>
      </c>
      <c r="G2931" s="6" t="s">
        <v>10</v>
      </c>
      <c r="H2931" s="9" t="s">
        <v>11</v>
      </c>
      <c r="I2931" s="7" t="str">
        <f t="shared" si="180"/>
        <v>61001003000</v>
      </c>
      <c r="J2931" s="7" t="str">
        <f t="shared" si="181"/>
        <v>Материал по ЕГРН</v>
      </c>
      <c r="K2931" s="7">
        <f>VLOOKUP(J2931,Лист2!A$2:B$4,2,FALSE)</f>
        <v>792</v>
      </c>
      <c r="L2931" s="7" t="str">
        <f t="shared" si="182"/>
        <v>ГОТОВ_ИЗМЕНЕН</v>
      </c>
      <c r="M2931" s="7">
        <f t="shared" si="183"/>
        <v>0</v>
      </c>
    </row>
    <row r="2932" spans="1:13" x14ac:dyDescent="0.25">
      <c r="A2932" s="1">
        <v>945731</v>
      </c>
      <c r="B2932" s="6" t="s">
        <v>3066</v>
      </c>
      <c r="F2932" s="6" t="s">
        <v>9</v>
      </c>
      <c r="G2932" s="6" t="s">
        <v>38</v>
      </c>
      <c r="H2932" s="9" t="s">
        <v>33</v>
      </c>
      <c r="I2932" s="7" t="str">
        <f t="shared" si="180"/>
        <v>61001005000</v>
      </c>
      <c r="J2932" s="7" t="str">
        <f t="shared" si="181"/>
        <v>Материал по ЕГРН</v>
      </c>
      <c r="K2932" s="7">
        <f>VLOOKUP(J2932,Лист2!A$2:B$4,2,FALSE)</f>
        <v>792</v>
      </c>
      <c r="L2932" s="7" t="str">
        <f t="shared" si="182"/>
        <v>ГОТОВ_ИЗМЕНЕН</v>
      </c>
      <c r="M2932" s="7">
        <f t="shared" si="183"/>
        <v>0</v>
      </c>
    </row>
    <row r="2933" spans="1:13" x14ac:dyDescent="0.25">
      <c r="A2933" s="1">
        <v>945743</v>
      </c>
      <c r="B2933" s="6" t="s">
        <v>3067</v>
      </c>
      <c r="F2933" s="6" t="s">
        <v>9</v>
      </c>
      <c r="G2933" s="6" t="s">
        <v>59</v>
      </c>
      <c r="H2933" s="9" t="s">
        <v>60</v>
      </c>
      <c r="I2933" s="7" t="str">
        <f t="shared" si="180"/>
        <v>61001001001</v>
      </c>
      <c r="J2933" s="7" t="str">
        <f t="shared" si="181"/>
        <v>Материал по ЕГРН</v>
      </c>
      <c r="K2933" s="7">
        <f>VLOOKUP(J2933,Лист2!A$2:B$4,2,FALSE)</f>
        <v>792</v>
      </c>
      <c r="L2933" s="7" t="str">
        <f t="shared" si="182"/>
        <v>ГОТОВ_ИЗМЕНЕН</v>
      </c>
      <c r="M2933" s="7">
        <f t="shared" si="183"/>
        <v>0</v>
      </c>
    </row>
    <row r="2934" spans="1:13" x14ac:dyDescent="0.25">
      <c r="A2934" s="1">
        <v>945755</v>
      </c>
      <c r="B2934" s="6" t="s">
        <v>3068</v>
      </c>
      <c r="F2934" s="6" t="s">
        <v>9</v>
      </c>
      <c r="G2934" s="6" t="s">
        <v>10</v>
      </c>
      <c r="H2934" s="9" t="s">
        <v>11</v>
      </c>
      <c r="I2934" s="7" t="str">
        <f t="shared" si="180"/>
        <v>61001003000</v>
      </c>
      <c r="J2934" s="7" t="str">
        <f t="shared" si="181"/>
        <v>Материал по ЕГРН</v>
      </c>
      <c r="K2934" s="7">
        <f>VLOOKUP(J2934,Лист2!A$2:B$4,2,FALSE)</f>
        <v>792</v>
      </c>
      <c r="L2934" s="7" t="str">
        <f t="shared" si="182"/>
        <v>ГОТОВ_ИЗМЕНЕН</v>
      </c>
      <c r="M2934" s="7">
        <f t="shared" si="183"/>
        <v>0</v>
      </c>
    </row>
    <row r="2935" spans="1:13" ht="25.5" x14ac:dyDescent="0.25">
      <c r="A2935" s="1">
        <v>945767</v>
      </c>
      <c r="B2935" s="6" t="s">
        <v>3069</v>
      </c>
      <c r="F2935" s="6" t="s">
        <v>9</v>
      </c>
      <c r="G2935" s="6" t="s">
        <v>3070</v>
      </c>
      <c r="H2935" s="9" t="s">
        <v>3071</v>
      </c>
      <c r="I2935" s="7" t="str">
        <f t="shared" si="180"/>
        <v>61001003000</v>
      </c>
      <c r="J2935" s="7" t="str">
        <f t="shared" si="181"/>
        <v>Смешанные по допущению</v>
      </c>
      <c r="K2935" s="7">
        <f>VLOOKUP(J2935,Лист2!A$2:B$4,2,FALSE)</f>
        <v>793</v>
      </c>
      <c r="L2935" s="7" t="str">
        <f t="shared" si="182"/>
        <v>ГОТОВ_ИЗМЕНЕН</v>
      </c>
      <c r="M2935" s="7">
        <f t="shared" si="183"/>
        <v>0</v>
      </c>
    </row>
    <row r="2936" spans="1:13" x14ac:dyDescent="0.25">
      <c r="A2936" s="1">
        <v>945779</v>
      </c>
      <c r="B2936" s="6" t="s">
        <v>3072</v>
      </c>
      <c r="F2936" s="6" t="s">
        <v>9</v>
      </c>
      <c r="G2936" s="6" t="s">
        <v>38</v>
      </c>
      <c r="H2936" s="9" t="s">
        <v>33</v>
      </c>
      <c r="I2936" s="7" t="str">
        <f t="shared" si="180"/>
        <v>61001005000</v>
      </c>
      <c r="J2936" s="7" t="str">
        <f t="shared" si="181"/>
        <v>Материал по ЕГРН</v>
      </c>
      <c r="K2936" s="7">
        <f>VLOOKUP(J2936,Лист2!A$2:B$4,2,FALSE)</f>
        <v>792</v>
      </c>
      <c r="L2936" s="7" t="str">
        <f t="shared" si="182"/>
        <v>ГОТОВ_ИЗМЕНЕН</v>
      </c>
      <c r="M2936" s="7">
        <f t="shared" si="183"/>
        <v>0</v>
      </c>
    </row>
    <row r="2937" spans="1:13" x14ac:dyDescent="0.25">
      <c r="A2937" s="1">
        <v>70694</v>
      </c>
      <c r="B2937" s="6" t="s">
        <v>3073</v>
      </c>
      <c r="C2937" s="9" t="s">
        <v>33</v>
      </c>
      <c r="D2937" s="6" t="s">
        <v>20</v>
      </c>
      <c r="E2937" s="6" t="s">
        <v>37</v>
      </c>
      <c r="F2937" s="6" t="s">
        <v>9</v>
      </c>
      <c r="G2937" s="6" t="s">
        <v>38</v>
      </c>
      <c r="H2937" s="9" t="s">
        <v>33</v>
      </c>
      <c r="I2937" s="7" t="str">
        <f t="shared" si="180"/>
        <v>61001005000</v>
      </c>
      <c r="J2937" s="7" t="str">
        <f t="shared" si="181"/>
        <v>Материал по ЕГРН</v>
      </c>
      <c r="K2937" s="7">
        <f>VLOOKUP(J2937,Лист2!A$2:B$4,2,FALSE)</f>
        <v>792</v>
      </c>
      <c r="L2937" s="7" t="str">
        <f t="shared" si="182"/>
        <v>ГОТОВ</v>
      </c>
      <c r="M2937" s="7" t="str">
        <f t="shared" si="183"/>
        <v>61001005000</v>
      </c>
    </row>
    <row r="2938" spans="1:13" x14ac:dyDescent="0.25">
      <c r="A2938" s="1">
        <v>316095</v>
      </c>
      <c r="B2938" s="6" t="s">
        <v>3074</v>
      </c>
      <c r="C2938" s="9" t="s">
        <v>33</v>
      </c>
      <c r="D2938" s="6" t="s">
        <v>20</v>
      </c>
      <c r="E2938" s="6" t="s">
        <v>37</v>
      </c>
      <c r="F2938" s="6" t="s">
        <v>9</v>
      </c>
      <c r="G2938" s="6" t="s">
        <v>38</v>
      </c>
      <c r="H2938" s="9" t="s">
        <v>33</v>
      </c>
      <c r="I2938" s="7" t="str">
        <f t="shared" si="180"/>
        <v>61001005000</v>
      </c>
      <c r="J2938" s="7" t="str">
        <f t="shared" si="181"/>
        <v>Материал по ЕГРН</v>
      </c>
      <c r="K2938" s="7">
        <f>VLOOKUP(J2938,Лист2!A$2:B$4,2,FALSE)</f>
        <v>792</v>
      </c>
      <c r="L2938" s="7" t="str">
        <f t="shared" si="182"/>
        <v>ГОТОВ</v>
      </c>
      <c r="M2938" s="7" t="str">
        <f t="shared" si="183"/>
        <v>61001005000</v>
      </c>
    </row>
    <row r="2939" spans="1:13" x14ac:dyDescent="0.25">
      <c r="A2939" s="1">
        <v>944278</v>
      </c>
      <c r="B2939" s="6" t="s">
        <v>3075</v>
      </c>
      <c r="E2939" s="6" t="s">
        <v>8</v>
      </c>
      <c r="F2939" s="6" t="s">
        <v>9</v>
      </c>
      <c r="G2939" s="6" t="s">
        <v>3076</v>
      </c>
      <c r="H2939" s="9" t="s">
        <v>3077</v>
      </c>
      <c r="I2939" s="7" t="str">
        <f t="shared" si="180"/>
        <v>61001003000</v>
      </c>
      <c r="J2939" s="7" t="str">
        <f t="shared" si="181"/>
        <v>Смешанные по допущению</v>
      </c>
      <c r="K2939" s="7">
        <f>VLOOKUP(J2939,Лист2!A$2:B$4,2,FALSE)</f>
        <v>793</v>
      </c>
      <c r="L2939" s="7" t="str">
        <f t="shared" si="182"/>
        <v>ГОТОВ_ИЗМЕНЕН</v>
      </c>
      <c r="M2939" s="7">
        <f t="shared" si="183"/>
        <v>0</v>
      </c>
    </row>
    <row r="2940" spans="1:13" x14ac:dyDescent="0.25">
      <c r="A2940" s="1">
        <v>944290</v>
      </c>
      <c r="B2940" s="6" t="s">
        <v>3078</v>
      </c>
      <c r="F2940" s="6" t="s">
        <v>9</v>
      </c>
      <c r="G2940" s="6" t="s">
        <v>34</v>
      </c>
      <c r="H2940" s="9" t="s">
        <v>35</v>
      </c>
      <c r="I2940" s="7" t="str">
        <f t="shared" si="180"/>
        <v>61001002000</v>
      </c>
      <c r="J2940" s="7" t="str">
        <f t="shared" si="181"/>
        <v>Материал по ЕГРН</v>
      </c>
      <c r="K2940" s="7">
        <f>VLOOKUP(J2940,Лист2!A$2:B$4,2,FALSE)</f>
        <v>792</v>
      </c>
      <c r="L2940" s="7" t="str">
        <f t="shared" si="182"/>
        <v>ГОТОВ_ИЗМЕНЕН</v>
      </c>
      <c r="M2940" s="7">
        <f t="shared" si="183"/>
        <v>0</v>
      </c>
    </row>
    <row r="2941" spans="1:13" x14ac:dyDescent="0.25">
      <c r="A2941" s="1">
        <v>944302</v>
      </c>
      <c r="B2941" s="6" t="s">
        <v>3079</v>
      </c>
      <c r="F2941" s="6" t="s">
        <v>9</v>
      </c>
      <c r="G2941" s="6" t="s">
        <v>34</v>
      </c>
      <c r="H2941" s="9" t="s">
        <v>35</v>
      </c>
      <c r="I2941" s="7" t="str">
        <f t="shared" si="180"/>
        <v>61001002000</v>
      </c>
      <c r="J2941" s="7" t="str">
        <f t="shared" si="181"/>
        <v>Материал по ЕГРН</v>
      </c>
      <c r="K2941" s="7">
        <f>VLOOKUP(J2941,Лист2!A$2:B$4,2,FALSE)</f>
        <v>792</v>
      </c>
      <c r="L2941" s="7" t="str">
        <f t="shared" si="182"/>
        <v>ГОТОВ_ИЗМЕНЕН</v>
      </c>
      <c r="M2941" s="7">
        <f t="shared" si="183"/>
        <v>0</v>
      </c>
    </row>
    <row r="2942" spans="1:13" x14ac:dyDescent="0.25">
      <c r="A2942" s="1">
        <v>944314</v>
      </c>
      <c r="B2942" s="6" t="s">
        <v>3080</v>
      </c>
      <c r="F2942" s="6" t="s">
        <v>9</v>
      </c>
      <c r="G2942" s="6" t="s">
        <v>38</v>
      </c>
      <c r="H2942" s="9" t="s">
        <v>33</v>
      </c>
      <c r="I2942" s="7" t="str">
        <f t="shared" si="180"/>
        <v>61001005000</v>
      </c>
      <c r="J2942" s="7" t="str">
        <f t="shared" si="181"/>
        <v>Материал по ЕГРН</v>
      </c>
      <c r="K2942" s="7">
        <f>VLOOKUP(J2942,Лист2!A$2:B$4,2,FALSE)</f>
        <v>792</v>
      </c>
      <c r="L2942" s="7" t="str">
        <f t="shared" si="182"/>
        <v>ГОТОВ_ИЗМЕНЕН</v>
      </c>
      <c r="M2942" s="7">
        <f t="shared" si="183"/>
        <v>0</v>
      </c>
    </row>
    <row r="2943" spans="1:13" x14ac:dyDescent="0.25">
      <c r="A2943" s="1">
        <v>944326</v>
      </c>
      <c r="B2943" s="6" t="s">
        <v>3081</v>
      </c>
      <c r="F2943" s="6" t="s">
        <v>9</v>
      </c>
      <c r="G2943" s="6" t="s">
        <v>38</v>
      </c>
      <c r="H2943" s="9" t="s">
        <v>33</v>
      </c>
      <c r="I2943" s="7" t="str">
        <f t="shared" si="180"/>
        <v>61001005000</v>
      </c>
      <c r="J2943" s="7" t="str">
        <f t="shared" si="181"/>
        <v>Материал по ЕГРН</v>
      </c>
      <c r="K2943" s="7">
        <f>VLOOKUP(J2943,Лист2!A$2:B$4,2,FALSE)</f>
        <v>792</v>
      </c>
      <c r="L2943" s="7" t="str">
        <f t="shared" si="182"/>
        <v>ГОТОВ_ИЗМЕНЕН</v>
      </c>
      <c r="M2943" s="7">
        <f t="shared" si="183"/>
        <v>0</v>
      </c>
    </row>
    <row r="2944" spans="1:13" x14ac:dyDescent="0.25">
      <c r="A2944" s="1">
        <v>944338</v>
      </c>
      <c r="B2944" s="6" t="s">
        <v>3082</v>
      </c>
      <c r="F2944" s="6" t="s">
        <v>9</v>
      </c>
      <c r="G2944" s="6" t="s">
        <v>38</v>
      </c>
      <c r="H2944" s="9" t="s">
        <v>33</v>
      </c>
      <c r="I2944" s="7" t="str">
        <f t="shared" si="180"/>
        <v>61001005000</v>
      </c>
      <c r="J2944" s="7" t="str">
        <f t="shared" si="181"/>
        <v>Материал по ЕГРН</v>
      </c>
      <c r="K2944" s="7">
        <f>VLOOKUP(J2944,Лист2!A$2:B$4,2,FALSE)</f>
        <v>792</v>
      </c>
      <c r="L2944" s="7" t="str">
        <f t="shared" si="182"/>
        <v>ГОТОВ_ИЗМЕНЕН</v>
      </c>
      <c r="M2944" s="7">
        <f t="shared" si="183"/>
        <v>0</v>
      </c>
    </row>
    <row r="2945" spans="1:13" x14ac:dyDescent="0.25">
      <c r="A2945" s="1">
        <v>944350</v>
      </c>
      <c r="B2945" s="6" t="s">
        <v>3083</v>
      </c>
      <c r="F2945" s="6" t="s">
        <v>9</v>
      </c>
      <c r="G2945" s="6" t="s">
        <v>62</v>
      </c>
      <c r="H2945" s="9" t="s">
        <v>63</v>
      </c>
      <c r="I2945" s="7" t="str">
        <f t="shared" si="180"/>
        <v>61001006002</v>
      </c>
      <c r="J2945" s="7" t="str">
        <f t="shared" si="181"/>
        <v>Материал по ЕГРН</v>
      </c>
      <c r="K2945" s="7">
        <f>VLOOKUP(J2945,Лист2!A$2:B$4,2,FALSE)</f>
        <v>792</v>
      </c>
      <c r="L2945" s="7" t="str">
        <f t="shared" si="182"/>
        <v>ГОТОВ_ИЗМЕНЕН</v>
      </c>
      <c r="M2945" s="7">
        <f t="shared" si="183"/>
        <v>0</v>
      </c>
    </row>
    <row r="2946" spans="1:13" x14ac:dyDescent="0.25">
      <c r="A2946" s="1">
        <v>944362</v>
      </c>
      <c r="B2946" s="6" t="s">
        <v>3084</v>
      </c>
      <c r="F2946" s="6" t="s">
        <v>9</v>
      </c>
      <c r="G2946" s="6" t="s">
        <v>38</v>
      </c>
      <c r="H2946" s="9" t="s">
        <v>33</v>
      </c>
      <c r="I2946" s="7" t="str">
        <f t="shared" si="180"/>
        <v>61001005000</v>
      </c>
      <c r="J2946" s="7" t="str">
        <f t="shared" si="181"/>
        <v>Материал по ЕГРН</v>
      </c>
      <c r="K2946" s="7">
        <f>VLOOKUP(J2946,Лист2!A$2:B$4,2,FALSE)</f>
        <v>792</v>
      </c>
      <c r="L2946" s="7" t="str">
        <f t="shared" si="182"/>
        <v>ГОТОВ_ИЗМЕНЕН</v>
      </c>
      <c r="M2946" s="7">
        <f t="shared" si="183"/>
        <v>0</v>
      </c>
    </row>
    <row r="2947" spans="1:13" x14ac:dyDescent="0.25">
      <c r="A2947" s="1">
        <v>944374</v>
      </c>
      <c r="B2947" s="6" t="s">
        <v>3085</v>
      </c>
      <c r="F2947" s="6" t="s">
        <v>9</v>
      </c>
      <c r="G2947" s="6" t="s">
        <v>34</v>
      </c>
      <c r="H2947" s="9" t="s">
        <v>35</v>
      </c>
      <c r="I2947" s="7" t="str">
        <f t="shared" si="180"/>
        <v>61001002000</v>
      </c>
      <c r="J2947" s="7" t="str">
        <f t="shared" si="181"/>
        <v>Материал по ЕГРН</v>
      </c>
      <c r="K2947" s="7">
        <f>VLOOKUP(J2947,Лист2!A$2:B$4,2,FALSE)</f>
        <v>792</v>
      </c>
      <c r="L2947" s="7" t="str">
        <f t="shared" si="182"/>
        <v>ГОТОВ_ИЗМЕНЕН</v>
      </c>
      <c r="M2947" s="7">
        <f t="shared" si="183"/>
        <v>0</v>
      </c>
    </row>
    <row r="2948" spans="1:13" x14ac:dyDescent="0.25">
      <c r="A2948" s="1">
        <v>944386</v>
      </c>
      <c r="B2948" s="6" t="s">
        <v>3086</v>
      </c>
      <c r="F2948" s="6" t="s">
        <v>9</v>
      </c>
      <c r="G2948" s="6" t="s">
        <v>34</v>
      </c>
      <c r="H2948" s="9" t="s">
        <v>35</v>
      </c>
      <c r="I2948" s="7" t="str">
        <f t="shared" si="180"/>
        <v>61001002000</v>
      </c>
      <c r="J2948" s="7" t="str">
        <f t="shared" si="181"/>
        <v>Материал по ЕГРН</v>
      </c>
      <c r="K2948" s="7">
        <f>VLOOKUP(J2948,Лист2!A$2:B$4,2,FALSE)</f>
        <v>792</v>
      </c>
      <c r="L2948" s="7" t="str">
        <f t="shared" si="182"/>
        <v>ГОТОВ_ИЗМЕНЕН</v>
      </c>
      <c r="M2948" s="7">
        <f t="shared" si="183"/>
        <v>0</v>
      </c>
    </row>
    <row r="2949" spans="1:13" x14ac:dyDescent="0.25">
      <c r="A2949" s="1">
        <v>944398</v>
      </c>
      <c r="B2949" s="6" t="s">
        <v>3087</v>
      </c>
      <c r="F2949" s="6" t="s">
        <v>9</v>
      </c>
      <c r="G2949" s="6" t="s">
        <v>38</v>
      </c>
      <c r="H2949" s="9" t="s">
        <v>33</v>
      </c>
      <c r="I2949" s="7" t="str">
        <f t="shared" ref="I2949:I3012" si="184">IF(LEN(H2949)=11,H2949,IF(LEN(H2949)=0,"61001005000","61001003000"))</f>
        <v>61001005000</v>
      </c>
      <c r="J2949" s="7" t="str">
        <f t="shared" ref="J2949:J3012" si="185">IF(LEN(H2949)=11,"Материал по ЕГРН",IF(LEN(H2949)=0,"Прочие по допущению","Смешанные по допущению"))</f>
        <v>Материал по ЕГРН</v>
      </c>
      <c r="K2949" s="7">
        <f>VLOOKUP(J2949,Лист2!A$2:B$4,2,FALSE)</f>
        <v>792</v>
      </c>
      <c r="L2949" s="7" t="str">
        <f t="shared" ref="L2949:L3012" si="186">IF(I2949=C2949,"ГОТОВ","ГОТОВ_ИЗМЕНЕН")</f>
        <v>ГОТОВ_ИЗМЕНЕН</v>
      </c>
      <c r="M2949" s="7">
        <f t="shared" ref="M2949:M3012" si="187">C2949</f>
        <v>0</v>
      </c>
    </row>
    <row r="2950" spans="1:13" x14ac:dyDescent="0.25">
      <c r="A2950" s="1">
        <v>944410</v>
      </c>
      <c r="B2950" s="6" t="s">
        <v>3088</v>
      </c>
      <c r="F2950" s="6" t="s">
        <v>9</v>
      </c>
      <c r="G2950" s="6" t="s">
        <v>38</v>
      </c>
      <c r="H2950" s="9" t="s">
        <v>33</v>
      </c>
      <c r="I2950" s="7" t="str">
        <f t="shared" si="184"/>
        <v>61001005000</v>
      </c>
      <c r="J2950" s="7" t="str">
        <f t="shared" si="185"/>
        <v>Материал по ЕГРН</v>
      </c>
      <c r="K2950" s="7">
        <f>VLOOKUP(J2950,Лист2!A$2:B$4,2,FALSE)</f>
        <v>792</v>
      </c>
      <c r="L2950" s="7" t="str">
        <f t="shared" si="186"/>
        <v>ГОТОВ_ИЗМЕНЕН</v>
      </c>
      <c r="M2950" s="7">
        <f t="shared" si="187"/>
        <v>0</v>
      </c>
    </row>
    <row r="2951" spans="1:13" x14ac:dyDescent="0.25">
      <c r="A2951" s="1">
        <v>944422</v>
      </c>
      <c r="B2951" s="6" t="s">
        <v>3089</v>
      </c>
      <c r="F2951" s="6" t="s">
        <v>9</v>
      </c>
      <c r="G2951" s="6" t="s">
        <v>34</v>
      </c>
      <c r="H2951" s="9" t="s">
        <v>35</v>
      </c>
      <c r="I2951" s="7" t="str">
        <f t="shared" si="184"/>
        <v>61001002000</v>
      </c>
      <c r="J2951" s="7" t="str">
        <f t="shared" si="185"/>
        <v>Материал по ЕГРН</v>
      </c>
      <c r="K2951" s="7">
        <f>VLOOKUP(J2951,Лист2!A$2:B$4,2,FALSE)</f>
        <v>792</v>
      </c>
      <c r="L2951" s="7" t="str">
        <f t="shared" si="186"/>
        <v>ГОТОВ_ИЗМЕНЕН</v>
      </c>
      <c r="M2951" s="7">
        <f t="shared" si="187"/>
        <v>0</v>
      </c>
    </row>
    <row r="2952" spans="1:13" x14ac:dyDescent="0.25">
      <c r="A2952" s="1">
        <v>944434</v>
      </c>
      <c r="B2952" s="6" t="s">
        <v>3090</v>
      </c>
      <c r="F2952" s="6" t="s">
        <v>9</v>
      </c>
      <c r="G2952" s="6" t="s">
        <v>62</v>
      </c>
      <c r="H2952" s="9" t="s">
        <v>63</v>
      </c>
      <c r="I2952" s="7" t="str">
        <f t="shared" si="184"/>
        <v>61001006002</v>
      </c>
      <c r="J2952" s="7" t="str">
        <f t="shared" si="185"/>
        <v>Материал по ЕГРН</v>
      </c>
      <c r="K2952" s="7">
        <f>VLOOKUP(J2952,Лист2!A$2:B$4,2,FALSE)</f>
        <v>792</v>
      </c>
      <c r="L2952" s="7" t="str">
        <f t="shared" si="186"/>
        <v>ГОТОВ_ИЗМЕНЕН</v>
      </c>
      <c r="M2952" s="7">
        <f t="shared" si="187"/>
        <v>0</v>
      </c>
    </row>
    <row r="2953" spans="1:13" x14ac:dyDescent="0.25">
      <c r="A2953" s="1">
        <v>944446</v>
      </c>
      <c r="B2953" s="6" t="s">
        <v>3091</v>
      </c>
      <c r="F2953" s="6" t="s">
        <v>9</v>
      </c>
      <c r="G2953" s="6" t="s">
        <v>10</v>
      </c>
      <c r="H2953" s="9" t="s">
        <v>11</v>
      </c>
      <c r="I2953" s="7" t="str">
        <f t="shared" si="184"/>
        <v>61001003000</v>
      </c>
      <c r="J2953" s="7" t="str">
        <f t="shared" si="185"/>
        <v>Материал по ЕГРН</v>
      </c>
      <c r="K2953" s="7">
        <f>VLOOKUP(J2953,Лист2!A$2:B$4,2,FALSE)</f>
        <v>792</v>
      </c>
      <c r="L2953" s="7" t="str">
        <f t="shared" si="186"/>
        <v>ГОТОВ_ИЗМЕНЕН</v>
      </c>
      <c r="M2953" s="7">
        <f t="shared" si="187"/>
        <v>0</v>
      </c>
    </row>
    <row r="2954" spans="1:13" x14ac:dyDescent="0.25">
      <c r="A2954" s="1">
        <v>944458</v>
      </c>
      <c r="B2954" s="6" t="s">
        <v>3092</v>
      </c>
      <c r="F2954" s="6" t="s">
        <v>9</v>
      </c>
      <c r="G2954" s="6" t="s">
        <v>65</v>
      </c>
      <c r="H2954" s="9" t="s">
        <v>66</v>
      </c>
      <c r="I2954" s="7" t="str">
        <f t="shared" si="184"/>
        <v>61001002003</v>
      </c>
      <c r="J2954" s="7" t="str">
        <f t="shared" si="185"/>
        <v>Материал по ЕГРН</v>
      </c>
      <c r="K2954" s="7">
        <f>VLOOKUP(J2954,Лист2!A$2:B$4,2,FALSE)</f>
        <v>792</v>
      </c>
      <c r="L2954" s="7" t="str">
        <f t="shared" si="186"/>
        <v>ГОТОВ_ИЗМЕНЕН</v>
      </c>
      <c r="M2954" s="7">
        <f t="shared" si="187"/>
        <v>0</v>
      </c>
    </row>
    <row r="2955" spans="1:13" x14ac:dyDescent="0.25">
      <c r="A2955" s="1">
        <v>944470</v>
      </c>
      <c r="B2955" s="6" t="s">
        <v>3093</v>
      </c>
      <c r="F2955" s="6" t="s">
        <v>9</v>
      </c>
      <c r="G2955" s="6" t="s">
        <v>34</v>
      </c>
      <c r="H2955" s="9" t="s">
        <v>35</v>
      </c>
      <c r="I2955" s="7" t="str">
        <f t="shared" si="184"/>
        <v>61001002000</v>
      </c>
      <c r="J2955" s="7" t="str">
        <f t="shared" si="185"/>
        <v>Материал по ЕГРН</v>
      </c>
      <c r="K2955" s="7">
        <f>VLOOKUP(J2955,Лист2!A$2:B$4,2,FALSE)</f>
        <v>792</v>
      </c>
      <c r="L2955" s="7" t="str">
        <f t="shared" si="186"/>
        <v>ГОТОВ_ИЗМЕНЕН</v>
      </c>
      <c r="M2955" s="7">
        <f t="shared" si="187"/>
        <v>0</v>
      </c>
    </row>
    <row r="2956" spans="1:13" x14ac:dyDescent="0.25">
      <c r="A2956" s="1">
        <v>944482</v>
      </c>
      <c r="B2956" s="6" t="s">
        <v>3094</v>
      </c>
      <c r="F2956" s="6" t="s">
        <v>9</v>
      </c>
      <c r="G2956" s="6" t="s">
        <v>43</v>
      </c>
      <c r="H2956" s="9" t="s">
        <v>42</v>
      </c>
      <c r="I2956" s="7" t="str">
        <f t="shared" si="184"/>
        <v>61001002001</v>
      </c>
      <c r="J2956" s="7" t="str">
        <f t="shared" si="185"/>
        <v>Материал по ЕГРН</v>
      </c>
      <c r="K2956" s="7">
        <f>VLOOKUP(J2956,Лист2!A$2:B$4,2,FALSE)</f>
        <v>792</v>
      </c>
      <c r="L2956" s="7" t="str">
        <f t="shared" si="186"/>
        <v>ГОТОВ_ИЗМЕНЕН</v>
      </c>
      <c r="M2956" s="7">
        <f t="shared" si="187"/>
        <v>0</v>
      </c>
    </row>
    <row r="2957" spans="1:13" x14ac:dyDescent="0.25">
      <c r="A2957" s="1">
        <v>944494</v>
      </c>
      <c r="B2957" s="6" t="s">
        <v>3095</v>
      </c>
      <c r="F2957" s="6" t="s">
        <v>9</v>
      </c>
      <c r="G2957" s="6" t="s">
        <v>170</v>
      </c>
      <c r="H2957" s="9" t="s">
        <v>171</v>
      </c>
      <c r="I2957" s="7" t="str">
        <f t="shared" si="184"/>
        <v>61001001000</v>
      </c>
      <c r="J2957" s="7" t="str">
        <f t="shared" si="185"/>
        <v>Материал по ЕГРН</v>
      </c>
      <c r="K2957" s="7">
        <f>VLOOKUP(J2957,Лист2!A$2:B$4,2,FALSE)</f>
        <v>792</v>
      </c>
      <c r="L2957" s="7" t="str">
        <f t="shared" si="186"/>
        <v>ГОТОВ_ИЗМЕНЕН</v>
      </c>
      <c r="M2957" s="7">
        <f t="shared" si="187"/>
        <v>0</v>
      </c>
    </row>
    <row r="2958" spans="1:13" x14ac:dyDescent="0.25">
      <c r="A2958" s="1">
        <v>944506</v>
      </c>
      <c r="B2958" s="6" t="s">
        <v>3096</v>
      </c>
      <c r="F2958" s="6" t="s">
        <v>9</v>
      </c>
      <c r="G2958" s="6" t="s">
        <v>10</v>
      </c>
      <c r="H2958" s="9" t="s">
        <v>11</v>
      </c>
      <c r="I2958" s="7" t="str">
        <f t="shared" si="184"/>
        <v>61001003000</v>
      </c>
      <c r="J2958" s="7" t="str">
        <f t="shared" si="185"/>
        <v>Материал по ЕГРН</v>
      </c>
      <c r="K2958" s="7">
        <f>VLOOKUP(J2958,Лист2!A$2:B$4,2,FALSE)</f>
        <v>792</v>
      </c>
      <c r="L2958" s="7" t="str">
        <f t="shared" si="186"/>
        <v>ГОТОВ_ИЗМЕНЕН</v>
      </c>
      <c r="M2958" s="7">
        <f t="shared" si="187"/>
        <v>0</v>
      </c>
    </row>
    <row r="2959" spans="1:13" x14ac:dyDescent="0.25">
      <c r="A2959" s="1">
        <v>944518</v>
      </c>
      <c r="B2959" s="6" t="s">
        <v>3097</v>
      </c>
      <c r="F2959" s="6" t="s">
        <v>9</v>
      </c>
      <c r="G2959" s="6" t="s">
        <v>38</v>
      </c>
      <c r="H2959" s="9" t="s">
        <v>33</v>
      </c>
      <c r="I2959" s="7" t="str">
        <f t="shared" si="184"/>
        <v>61001005000</v>
      </c>
      <c r="J2959" s="7" t="str">
        <f t="shared" si="185"/>
        <v>Материал по ЕГРН</v>
      </c>
      <c r="K2959" s="7">
        <f>VLOOKUP(J2959,Лист2!A$2:B$4,2,FALSE)</f>
        <v>792</v>
      </c>
      <c r="L2959" s="7" t="str">
        <f t="shared" si="186"/>
        <v>ГОТОВ_ИЗМЕНЕН</v>
      </c>
      <c r="M2959" s="7">
        <f t="shared" si="187"/>
        <v>0</v>
      </c>
    </row>
    <row r="2960" spans="1:13" x14ac:dyDescent="0.25">
      <c r="A2960" s="1">
        <v>944530</v>
      </c>
      <c r="B2960" s="6" t="s">
        <v>3098</v>
      </c>
      <c r="F2960" s="6" t="s">
        <v>9</v>
      </c>
      <c r="G2960" s="6" t="s">
        <v>38</v>
      </c>
      <c r="H2960" s="9" t="s">
        <v>33</v>
      </c>
      <c r="I2960" s="7" t="str">
        <f t="shared" si="184"/>
        <v>61001005000</v>
      </c>
      <c r="J2960" s="7" t="str">
        <f t="shared" si="185"/>
        <v>Материал по ЕГРН</v>
      </c>
      <c r="K2960" s="7">
        <f>VLOOKUP(J2960,Лист2!A$2:B$4,2,FALSE)</f>
        <v>792</v>
      </c>
      <c r="L2960" s="7" t="str">
        <f t="shared" si="186"/>
        <v>ГОТОВ_ИЗМЕНЕН</v>
      </c>
      <c r="M2960" s="7">
        <f t="shared" si="187"/>
        <v>0</v>
      </c>
    </row>
    <row r="2961" spans="1:13" x14ac:dyDescent="0.25">
      <c r="A2961" s="1">
        <v>944542</v>
      </c>
      <c r="B2961" s="6" t="s">
        <v>3099</v>
      </c>
      <c r="F2961" s="6" t="s">
        <v>9</v>
      </c>
      <c r="G2961" s="6" t="s">
        <v>34</v>
      </c>
      <c r="H2961" s="9" t="s">
        <v>35</v>
      </c>
      <c r="I2961" s="7" t="str">
        <f t="shared" si="184"/>
        <v>61001002000</v>
      </c>
      <c r="J2961" s="7" t="str">
        <f t="shared" si="185"/>
        <v>Материал по ЕГРН</v>
      </c>
      <c r="K2961" s="7">
        <f>VLOOKUP(J2961,Лист2!A$2:B$4,2,FALSE)</f>
        <v>792</v>
      </c>
      <c r="L2961" s="7" t="str">
        <f t="shared" si="186"/>
        <v>ГОТОВ_ИЗМЕНЕН</v>
      </c>
      <c r="M2961" s="7">
        <f t="shared" si="187"/>
        <v>0</v>
      </c>
    </row>
    <row r="2962" spans="1:13" x14ac:dyDescent="0.25">
      <c r="A2962" s="1">
        <v>944554</v>
      </c>
      <c r="B2962" s="6" t="s">
        <v>3100</v>
      </c>
      <c r="F2962" s="6" t="s">
        <v>9</v>
      </c>
      <c r="G2962" s="6" t="s">
        <v>34</v>
      </c>
      <c r="H2962" s="9" t="s">
        <v>35</v>
      </c>
      <c r="I2962" s="7" t="str">
        <f t="shared" si="184"/>
        <v>61001002000</v>
      </c>
      <c r="J2962" s="7" t="str">
        <f t="shared" si="185"/>
        <v>Материал по ЕГРН</v>
      </c>
      <c r="K2962" s="7">
        <f>VLOOKUP(J2962,Лист2!A$2:B$4,2,FALSE)</f>
        <v>792</v>
      </c>
      <c r="L2962" s="7" t="str">
        <f t="shared" si="186"/>
        <v>ГОТОВ_ИЗМЕНЕН</v>
      </c>
      <c r="M2962" s="7">
        <f t="shared" si="187"/>
        <v>0</v>
      </c>
    </row>
    <row r="2963" spans="1:13" x14ac:dyDescent="0.25">
      <c r="A2963" s="1">
        <v>944566</v>
      </c>
      <c r="B2963" s="6" t="s">
        <v>3101</v>
      </c>
      <c r="F2963" s="6" t="s">
        <v>9</v>
      </c>
      <c r="G2963" s="6" t="s">
        <v>34</v>
      </c>
      <c r="H2963" s="9" t="s">
        <v>35</v>
      </c>
      <c r="I2963" s="7" t="str">
        <f t="shared" si="184"/>
        <v>61001002000</v>
      </c>
      <c r="J2963" s="7" t="str">
        <f t="shared" si="185"/>
        <v>Материал по ЕГРН</v>
      </c>
      <c r="K2963" s="7">
        <f>VLOOKUP(J2963,Лист2!A$2:B$4,2,FALSE)</f>
        <v>792</v>
      </c>
      <c r="L2963" s="7" t="str">
        <f t="shared" si="186"/>
        <v>ГОТОВ_ИЗМЕНЕН</v>
      </c>
      <c r="M2963" s="7">
        <f t="shared" si="187"/>
        <v>0</v>
      </c>
    </row>
    <row r="2964" spans="1:13" x14ac:dyDescent="0.25">
      <c r="A2964" s="1">
        <v>944578</v>
      </c>
      <c r="B2964" s="6" t="s">
        <v>3102</v>
      </c>
      <c r="F2964" s="6" t="s">
        <v>9</v>
      </c>
      <c r="G2964" s="6" t="s">
        <v>38</v>
      </c>
      <c r="H2964" s="9" t="s">
        <v>33</v>
      </c>
      <c r="I2964" s="7" t="str">
        <f t="shared" si="184"/>
        <v>61001005000</v>
      </c>
      <c r="J2964" s="7" t="str">
        <f t="shared" si="185"/>
        <v>Материал по ЕГРН</v>
      </c>
      <c r="K2964" s="7">
        <f>VLOOKUP(J2964,Лист2!A$2:B$4,2,FALSE)</f>
        <v>792</v>
      </c>
      <c r="L2964" s="7" t="str">
        <f t="shared" si="186"/>
        <v>ГОТОВ_ИЗМЕНЕН</v>
      </c>
      <c r="M2964" s="7">
        <f t="shared" si="187"/>
        <v>0</v>
      </c>
    </row>
    <row r="2965" spans="1:13" x14ac:dyDescent="0.25">
      <c r="A2965" s="1">
        <v>944590</v>
      </c>
      <c r="B2965" s="6" t="s">
        <v>3103</v>
      </c>
      <c r="F2965" s="6" t="s">
        <v>9</v>
      </c>
      <c r="G2965" s="6" t="s">
        <v>38</v>
      </c>
      <c r="H2965" s="9" t="s">
        <v>33</v>
      </c>
      <c r="I2965" s="7" t="str">
        <f t="shared" si="184"/>
        <v>61001005000</v>
      </c>
      <c r="J2965" s="7" t="str">
        <f t="shared" si="185"/>
        <v>Материал по ЕГРН</v>
      </c>
      <c r="K2965" s="7">
        <f>VLOOKUP(J2965,Лист2!A$2:B$4,2,FALSE)</f>
        <v>792</v>
      </c>
      <c r="L2965" s="7" t="str">
        <f t="shared" si="186"/>
        <v>ГОТОВ_ИЗМЕНЕН</v>
      </c>
      <c r="M2965" s="7">
        <f t="shared" si="187"/>
        <v>0</v>
      </c>
    </row>
    <row r="2966" spans="1:13" x14ac:dyDescent="0.25">
      <c r="A2966" s="1">
        <v>944602</v>
      </c>
      <c r="B2966" s="6" t="s">
        <v>3104</v>
      </c>
      <c r="F2966" s="6" t="s">
        <v>9</v>
      </c>
      <c r="G2966" s="6" t="s">
        <v>34</v>
      </c>
      <c r="H2966" s="9" t="s">
        <v>35</v>
      </c>
      <c r="I2966" s="7" t="str">
        <f t="shared" si="184"/>
        <v>61001002000</v>
      </c>
      <c r="J2966" s="7" t="str">
        <f t="shared" si="185"/>
        <v>Материал по ЕГРН</v>
      </c>
      <c r="K2966" s="7">
        <f>VLOOKUP(J2966,Лист2!A$2:B$4,2,FALSE)</f>
        <v>792</v>
      </c>
      <c r="L2966" s="7" t="str">
        <f t="shared" si="186"/>
        <v>ГОТОВ_ИЗМЕНЕН</v>
      </c>
      <c r="M2966" s="7">
        <f t="shared" si="187"/>
        <v>0</v>
      </c>
    </row>
    <row r="2967" spans="1:13" x14ac:dyDescent="0.25">
      <c r="A2967" s="1">
        <v>944614</v>
      </c>
      <c r="B2967" s="6" t="s">
        <v>3105</v>
      </c>
      <c r="F2967" s="6" t="s">
        <v>9</v>
      </c>
      <c r="G2967" s="6" t="s">
        <v>34</v>
      </c>
      <c r="H2967" s="9" t="s">
        <v>35</v>
      </c>
      <c r="I2967" s="7" t="str">
        <f t="shared" si="184"/>
        <v>61001002000</v>
      </c>
      <c r="J2967" s="7" t="str">
        <f t="shared" si="185"/>
        <v>Материал по ЕГРН</v>
      </c>
      <c r="K2967" s="7">
        <f>VLOOKUP(J2967,Лист2!A$2:B$4,2,FALSE)</f>
        <v>792</v>
      </c>
      <c r="L2967" s="7" t="str">
        <f t="shared" si="186"/>
        <v>ГОТОВ_ИЗМЕНЕН</v>
      </c>
      <c r="M2967" s="7">
        <f t="shared" si="187"/>
        <v>0</v>
      </c>
    </row>
    <row r="2968" spans="1:13" x14ac:dyDescent="0.25">
      <c r="A2968" s="1">
        <v>944626</v>
      </c>
      <c r="B2968" s="6" t="s">
        <v>3106</v>
      </c>
      <c r="F2968" s="6" t="s">
        <v>9</v>
      </c>
      <c r="G2968" s="6" t="s">
        <v>38</v>
      </c>
      <c r="H2968" s="9" t="s">
        <v>33</v>
      </c>
      <c r="I2968" s="7" t="str">
        <f t="shared" si="184"/>
        <v>61001005000</v>
      </c>
      <c r="J2968" s="7" t="str">
        <f t="shared" si="185"/>
        <v>Материал по ЕГРН</v>
      </c>
      <c r="K2968" s="7">
        <f>VLOOKUP(J2968,Лист2!A$2:B$4,2,FALSE)</f>
        <v>792</v>
      </c>
      <c r="L2968" s="7" t="str">
        <f t="shared" si="186"/>
        <v>ГОТОВ_ИЗМЕНЕН</v>
      </c>
      <c r="M2968" s="7">
        <f t="shared" si="187"/>
        <v>0</v>
      </c>
    </row>
    <row r="2969" spans="1:13" x14ac:dyDescent="0.25">
      <c r="A2969" s="1">
        <v>945801</v>
      </c>
      <c r="B2969" s="6" t="s">
        <v>3107</v>
      </c>
      <c r="F2969" s="6" t="s">
        <v>9</v>
      </c>
      <c r="G2969" s="6" t="s">
        <v>38</v>
      </c>
      <c r="H2969" s="9" t="s">
        <v>33</v>
      </c>
      <c r="I2969" s="7" t="str">
        <f t="shared" si="184"/>
        <v>61001005000</v>
      </c>
      <c r="J2969" s="7" t="str">
        <f t="shared" si="185"/>
        <v>Материал по ЕГРН</v>
      </c>
      <c r="K2969" s="7">
        <f>VLOOKUP(J2969,Лист2!A$2:B$4,2,FALSE)</f>
        <v>792</v>
      </c>
      <c r="L2969" s="7" t="str">
        <f t="shared" si="186"/>
        <v>ГОТОВ_ИЗМЕНЕН</v>
      </c>
      <c r="M2969" s="7">
        <f t="shared" si="187"/>
        <v>0</v>
      </c>
    </row>
    <row r="2970" spans="1:13" x14ac:dyDescent="0.25">
      <c r="A2970" s="1">
        <v>945813</v>
      </c>
      <c r="B2970" s="6" t="s">
        <v>3108</v>
      </c>
      <c r="F2970" s="6" t="s">
        <v>9</v>
      </c>
      <c r="G2970" s="6" t="s">
        <v>3109</v>
      </c>
      <c r="H2970" s="9" t="s">
        <v>3110</v>
      </c>
      <c r="I2970" s="7" t="str">
        <f t="shared" si="184"/>
        <v>61001003000</v>
      </c>
      <c r="J2970" s="7" t="str">
        <f t="shared" si="185"/>
        <v>Смешанные по допущению</v>
      </c>
      <c r="K2970" s="7">
        <f>VLOOKUP(J2970,Лист2!A$2:B$4,2,FALSE)</f>
        <v>793</v>
      </c>
      <c r="L2970" s="7" t="str">
        <f t="shared" si="186"/>
        <v>ГОТОВ_ИЗМЕНЕН</v>
      </c>
      <c r="M2970" s="7">
        <f t="shared" si="187"/>
        <v>0</v>
      </c>
    </row>
    <row r="2971" spans="1:13" x14ac:dyDescent="0.25">
      <c r="A2971" s="1">
        <v>945825</v>
      </c>
      <c r="B2971" s="6" t="s">
        <v>3111</v>
      </c>
      <c r="F2971" s="6" t="s">
        <v>9</v>
      </c>
      <c r="G2971" s="6" t="s">
        <v>34</v>
      </c>
      <c r="H2971" s="9" t="s">
        <v>35</v>
      </c>
      <c r="I2971" s="7" t="str">
        <f t="shared" si="184"/>
        <v>61001002000</v>
      </c>
      <c r="J2971" s="7" t="str">
        <f t="shared" si="185"/>
        <v>Материал по ЕГРН</v>
      </c>
      <c r="K2971" s="7">
        <f>VLOOKUP(J2971,Лист2!A$2:B$4,2,FALSE)</f>
        <v>792</v>
      </c>
      <c r="L2971" s="7" t="str">
        <f t="shared" si="186"/>
        <v>ГОТОВ_ИЗМЕНЕН</v>
      </c>
      <c r="M2971" s="7">
        <f t="shared" si="187"/>
        <v>0</v>
      </c>
    </row>
    <row r="2972" spans="1:13" x14ac:dyDescent="0.25">
      <c r="A2972" s="1">
        <v>945837</v>
      </c>
      <c r="B2972" s="6" t="s">
        <v>3112</v>
      </c>
      <c r="F2972" s="6" t="s">
        <v>9</v>
      </c>
      <c r="G2972" s="6" t="s">
        <v>73</v>
      </c>
      <c r="H2972" s="9" t="s">
        <v>74</v>
      </c>
      <c r="I2972" s="7" t="str">
        <f t="shared" si="184"/>
        <v>61001006000</v>
      </c>
      <c r="J2972" s="7" t="str">
        <f t="shared" si="185"/>
        <v>Материал по ЕГРН</v>
      </c>
      <c r="K2972" s="7">
        <f>VLOOKUP(J2972,Лист2!A$2:B$4,2,FALSE)</f>
        <v>792</v>
      </c>
      <c r="L2972" s="7" t="str">
        <f t="shared" si="186"/>
        <v>ГОТОВ_ИЗМЕНЕН</v>
      </c>
      <c r="M2972" s="7">
        <f t="shared" si="187"/>
        <v>0</v>
      </c>
    </row>
    <row r="2973" spans="1:13" x14ac:dyDescent="0.25">
      <c r="A2973" s="1">
        <v>945849</v>
      </c>
      <c r="B2973" s="6" t="s">
        <v>3113</v>
      </c>
      <c r="F2973" s="6" t="s">
        <v>9</v>
      </c>
      <c r="G2973" s="6" t="s">
        <v>59</v>
      </c>
      <c r="H2973" s="9" t="s">
        <v>60</v>
      </c>
      <c r="I2973" s="7" t="str">
        <f t="shared" si="184"/>
        <v>61001001001</v>
      </c>
      <c r="J2973" s="7" t="str">
        <f t="shared" si="185"/>
        <v>Материал по ЕГРН</v>
      </c>
      <c r="K2973" s="7">
        <f>VLOOKUP(J2973,Лист2!A$2:B$4,2,FALSE)</f>
        <v>792</v>
      </c>
      <c r="L2973" s="7" t="str">
        <f t="shared" si="186"/>
        <v>ГОТОВ_ИЗМЕНЕН</v>
      </c>
      <c r="M2973" s="7">
        <f t="shared" si="187"/>
        <v>0</v>
      </c>
    </row>
    <row r="2974" spans="1:13" x14ac:dyDescent="0.25">
      <c r="A2974" s="1">
        <v>945861</v>
      </c>
      <c r="B2974" s="6" t="s">
        <v>3114</v>
      </c>
      <c r="F2974" s="6" t="s">
        <v>9</v>
      </c>
      <c r="G2974" s="6" t="s">
        <v>10</v>
      </c>
      <c r="H2974" s="9" t="s">
        <v>11</v>
      </c>
      <c r="I2974" s="7" t="str">
        <f t="shared" si="184"/>
        <v>61001003000</v>
      </c>
      <c r="J2974" s="7" t="str">
        <f t="shared" si="185"/>
        <v>Материал по ЕГРН</v>
      </c>
      <c r="K2974" s="7">
        <f>VLOOKUP(J2974,Лист2!A$2:B$4,2,FALSE)</f>
        <v>792</v>
      </c>
      <c r="L2974" s="7" t="str">
        <f t="shared" si="186"/>
        <v>ГОТОВ_ИЗМЕНЕН</v>
      </c>
      <c r="M2974" s="7">
        <f t="shared" si="187"/>
        <v>0</v>
      </c>
    </row>
    <row r="2975" spans="1:13" x14ac:dyDescent="0.25">
      <c r="A2975" s="1">
        <v>945873</v>
      </c>
      <c r="B2975" s="6" t="s">
        <v>3115</v>
      </c>
      <c r="F2975" s="6" t="s">
        <v>9</v>
      </c>
      <c r="G2975" s="6" t="s">
        <v>10</v>
      </c>
      <c r="H2975" s="9" t="s">
        <v>11</v>
      </c>
      <c r="I2975" s="7" t="str">
        <f t="shared" si="184"/>
        <v>61001003000</v>
      </c>
      <c r="J2975" s="7" t="str">
        <f t="shared" si="185"/>
        <v>Материал по ЕГРН</v>
      </c>
      <c r="K2975" s="7">
        <f>VLOOKUP(J2975,Лист2!A$2:B$4,2,FALSE)</f>
        <v>792</v>
      </c>
      <c r="L2975" s="7" t="str">
        <f t="shared" si="186"/>
        <v>ГОТОВ_ИЗМЕНЕН</v>
      </c>
      <c r="M2975" s="7">
        <f t="shared" si="187"/>
        <v>0</v>
      </c>
    </row>
    <row r="2976" spans="1:13" x14ac:dyDescent="0.25">
      <c r="A2976" s="1">
        <v>945885</v>
      </c>
      <c r="B2976" s="6" t="s">
        <v>3116</v>
      </c>
      <c r="F2976" s="6" t="s">
        <v>9</v>
      </c>
      <c r="G2976" s="6" t="s">
        <v>10</v>
      </c>
      <c r="H2976" s="9" t="s">
        <v>11</v>
      </c>
      <c r="I2976" s="7" t="str">
        <f t="shared" si="184"/>
        <v>61001003000</v>
      </c>
      <c r="J2976" s="7" t="str">
        <f t="shared" si="185"/>
        <v>Материал по ЕГРН</v>
      </c>
      <c r="K2976" s="7">
        <f>VLOOKUP(J2976,Лист2!A$2:B$4,2,FALSE)</f>
        <v>792</v>
      </c>
      <c r="L2976" s="7" t="str">
        <f t="shared" si="186"/>
        <v>ГОТОВ_ИЗМЕНЕН</v>
      </c>
      <c r="M2976" s="7">
        <f t="shared" si="187"/>
        <v>0</v>
      </c>
    </row>
    <row r="2977" spans="1:13" x14ac:dyDescent="0.25">
      <c r="A2977" s="1">
        <v>945897</v>
      </c>
      <c r="B2977" s="6" t="s">
        <v>3117</v>
      </c>
      <c r="F2977" s="6" t="s">
        <v>9</v>
      </c>
      <c r="G2977" s="6" t="s">
        <v>38</v>
      </c>
      <c r="H2977" s="9" t="s">
        <v>33</v>
      </c>
      <c r="I2977" s="7" t="str">
        <f t="shared" si="184"/>
        <v>61001005000</v>
      </c>
      <c r="J2977" s="7" t="str">
        <f t="shared" si="185"/>
        <v>Материал по ЕГРН</v>
      </c>
      <c r="K2977" s="7">
        <f>VLOOKUP(J2977,Лист2!A$2:B$4,2,FALSE)</f>
        <v>792</v>
      </c>
      <c r="L2977" s="7" t="str">
        <f t="shared" si="186"/>
        <v>ГОТОВ_ИЗМЕНЕН</v>
      </c>
      <c r="M2977" s="7">
        <f t="shared" si="187"/>
        <v>0</v>
      </c>
    </row>
    <row r="2978" spans="1:13" x14ac:dyDescent="0.25">
      <c r="A2978" s="1">
        <v>945909</v>
      </c>
      <c r="B2978" s="6" t="s">
        <v>3118</v>
      </c>
      <c r="F2978" s="6" t="s">
        <v>9</v>
      </c>
      <c r="G2978" s="6" t="s">
        <v>34</v>
      </c>
      <c r="H2978" s="9" t="s">
        <v>35</v>
      </c>
      <c r="I2978" s="7" t="str">
        <f t="shared" si="184"/>
        <v>61001002000</v>
      </c>
      <c r="J2978" s="7" t="str">
        <f t="shared" si="185"/>
        <v>Материал по ЕГРН</v>
      </c>
      <c r="K2978" s="7">
        <f>VLOOKUP(J2978,Лист2!A$2:B$4,2,FALSE)</f>
        <v>792</v>
      </c>
      <c r="L2978" s="7" t="str">
        <f t="shared" si="186"/>
        <v>ГОТОВ_ИЗМЕНЕН</v>
      </c>
      <c r="M2978" s="7">
        <f t="shared" si="187"/>
        <v>0</v>
      </c>
    </row>
    <row r="2979" spans="1:13" x14ac:dyDescent="0.25">
      <c r="A2979" s="1">
        <v>945921</v>
      </c>
      <c r="B2979" s="6" t="s">
        <v>3119</v>
      </c>
      <c r="F2979" s="6" t="s">
        <v>9</v>
      </c>
      <c r="G2979" s="6" t="s">
        <v>34</v>
      </c>
      <c r="H2979" s="9" t="s">
        <v>35</v>
      </c>
      <c r="I2979" s="7" t="str">
        <f t="shared" si="184"/>
        <v>61001002000</v>
      </c>
      <c r="J2979" s="7" t="str">
        <f t="shared" si="185"/>
        <v>Материал по ЕГРН</v>
      </c>
      <c r="K2979" s="7">
        <f>VLOOKUP(J2979,Лист2!A$2:B$4,2,FALSE)</f>
        <v>792</v>
      </c>
      <c r="L2979" s="7" t="str">
        <f t="shared" si="186"/>
        <v>ГОТОВ_ИЗМЕНЕН</v>
      </c>
      <c r="M2979" s="7">
        <f t="shared" si="187"/>
        <v>0</v>
      </c>
    </row>
    <row r="2980" spans="1:13" x14ac:dyDescent="0.25">
      <c r="A2980" s="1">
        <v>945933</v>
      </c>
      <c r="B2980" s="6" t="s">
        <v>3120</v>
      </c>
      <c r="F2980" s="6" t="s">
        <v>9</v>
      </c>
      <c r="G2980" s="6" t="s">
        <v>34</v>
      </c>
      <c r="H2980" s="9" t="s">
        <v>35</v>
      </c>
      <c r="I2980" s="7" t="str">
        <f t="shared" si="184"/>
        <v>61001002000</v>
      </c>
      <c r="J2980" s="7" t="str">
        <f t="shared" si="185"/>
        <v>Материал по ЕГРН</v>
      </c>
      <c r="K2980" s="7">
        <f>VLOOKUP(J2980,Лист2!A$2:B$4,2,FALSE)</f>
        <v>792</v>
      </c>
      <c r="L2980" s="7" t="str">
        <f t="shared" si="186"/>
        <v>ГОТОВ_ИЗМЕНЕН</v>
      </c>
      <c r="M2980" s="7">
        <f t="shared" si="187"/>
        <v>0</v>
      </c>
    </row>
    <row r="2981" spans="1:13" x14ac:dyDescent="0.25">
      <c r="A2981" s="1">
        <v>945945</v>
      </c>
      <c r="B2981" s="6" t="s">
        <v>3121</v>
      </c>
      <c r="F2981" s="6" t="s">
        <v>9</v>
      </c>
      <c r="G2981" s="6" t="s">
        <v>38</v>
      </c>
      <c r="H2981" s="9" t="s">
        <v>33</v>
      </c>
      <c r="I2981" s="7" t="str">
        <f t="shared" si="184"/>
        <v>61001005000</v>
      </c>
      <c r="J2981" s="7" t="str">
        <f t="shared" si="185"/>
        <v>Материал по ЕГРН</v>
      </c>
      <c r="K2981" s="7">
        <f>VLOOKUP(J2981,Лист2!A$2:B$4,2,FALSE)</f>
        <v>792</v>
      </c>
      <c r="L2981" s="7" t="str">
        <f t="shared" si="186"/>
        <v>ГОТОВ_ИЗМЕНЕН</v>
      </c>
      <c r="M2981" s="7">
        <f t="shared" si="187"/>
        <v>0</v>
      </c>
    </row>
    <row r="2982" spans="1:13" x14ac:dyDescent="0.25">
      <c r="A2982" s="1">
        <v>945957</v>
      </c>
      <c r="B2982" s="6" t="s">
        <v>3122</v>
      </c>
      <c r="F2982" s="6" t="s">
        <v>9</v>
      </c>
      <c r="G2982" s="6" t="s">
        <v>34</v>
      </c>
      <c r="H2982" s="9" t="s">
        <v>35</v>
      </c>
      <c r="I2982" s="7" t="str">
        <f t="shared" si="184"/>
        <v>61001002000</v>
      </c>
      <c r="J2982" s="7" t="str">
        <f t="shared" si="185"/>
        <v>Материал по ЕГРН</v>
      </c>
      <c r="K2982" s="7">
        <f>VLOOKUP(J2982,Лист2!A$2:B$4,2,FALSE)</f>
        <v>792</v>
      </c>
      <c r="L2982" s="7" t="str">
        <f t="shared" si="186"/>
        <v>ГОТОВ_ИЗМЕНЕН</v>
      </c>
      <c r="M2982" s="7">
        <f t="shared" si="187"/>
        <v>0</v>
      </c>
    </row>
    <row r="2983" spans="1:13" x14ac:dyDescent="0.25">
      <c r="A2983" s="1">
        <v>945969</v>
      </c>
      <c r="B2983" s="6" t="s">
        <v>3123</v>
      </c>
      <c r="F2983" s="6" t="s">
        <v>9</v>
      </c>
      <c r="G2983" s="6" t="s">
        <v>34</v>
      </c>
      <c r="H2983" s="9" t="s">
        <v>35</v>
      </c>
      <c r="I2983" s="7" t="str">
        <f t="shared" si="184"/>
        <v>61001002000</v>
      </c>
      <c r="J2983" s="7" t="str">
        <f t="shared" si="185"/>
        <v>Материал по ЕГРН</v>
      </c>
      <c r="K2983" s="7">
        <f>VLOOKUP(J2983,Лист2!A$2:B$4,2,FALSE)</f>
        <v>792</v>
      </c>
      <c r="L2983" s="7" t="str">
        <f t="shared" si="186"/>
        <v>ГОТОВ_ИЗМЕНЕН</v>
      </c>
      <c r="M2983" s="7">
        <f t="shared" si="187"/>
        <v>0</v>
      </c>
    </row>
    <row r="2984" spans="1:13" x14ac:dyDescent="0.25">
      <c r="A2984" s="1">
        <v>945981</v>
      </c>
      <c r="B2984" s="6" t="s">
        <v>3124</v>
      </c>
      <c r="F2984" s="6" t="s">
        <v>9</v>
      </c>
      <c r="G2984" s="6" t="s">
        <v>38</v>
      </c>
      <c r="H2984" s="9" t="s">
        <v>33</v>
      </c>
      <c r="I2984" s="7" t="str">
        <f t="shared" si="184"/>
        <v>61001005000</v>
      </c>
      <c r="J2984" s="7" t="str">
        <f t="shared" si="185"/>
        <v>Материал по ЕГРН</v>
      </c>
      <c r="K2984" s="7">
        <f>VLOOKUP(J2984,Лист2!A$2:B$4,2,FALSE)</f>
        <v>792</v>
      </c>
      <c r="L2984" s="7" t="str">
        <f t="shared" si="186"/>
        <v>ГОТОВ_ИЗМЕНЕН</v>
      </c>
      <c r="M2984" s="7">
        <f t="shared" si="187"/>
        <v>0</v>
      </c>
    </row>
    <row r="2985" spans="1:13" x14ac:dyDescent="0.25">
      <c r="A2985" s="1">
        <v>945993</v>
      </c>
      <c r="B2985" s="6" t="s">
        <v>3125</v>
      </c>
      <c r="F2985" s="6" t="s">
        <v>9</v>
      </c>
      <c r="G2985" s="6" t="s">
        <v>149</v>
      </c>
      <c r="H2985" s="9" t="s">
        <v>150</v>
      </c>
      <c r="I2985" s="7" t="str">
        <f t="shared" si="184"/>
        <v>61001007000</v>
      </c>
      <c r="J2985" s="7" t="str">
        <f t="shared" si="185"/>
        <v>Материал по ЕГРН</v>
      </c>
      <c r="K2985" s="7">
        <f>VLOOKUP(J2985,Лист2!A$2:B$4,2,FALSE)</f>
        <v>792</v>
      </c>
      <c r="L2985" s="7" t="str">
        <f t="shared" si="186"/>
        <v>ГОТОВ_ИЗМЕНЕН</v>
      </c>
      <c r="M2985" s="7">
        <f t="shared" si="187"/>
        <v>0</v>
      </c>
    </row>
    <row r="2986" spans="1:13" x14ac:dyDescent="0.25">
      <c r="A2986" s="1">
        <v>946005</v>
      </c>
      <c r="B2986" s="6" t="s">
        <v>3126</v>
      </c>
      <c r="F2986" s="6" t="s">
        <v>9</v>
      </c>
      <c r="G2986" s="6" t="s">
        <v>139</v>
      </c>
      <c r="H2986" s="9" t="s">
        <v>140</v>
      </c>
      <c r="I2986" s="7" t="str">
        <f t="shared" si="184"/>
        <v>61001999000</v>
      </c>
      <c r="J2986" s="7" t="str">
        <f t="shared" si="185"/>
        <v>Материал по ЕГРН</v>
      </c>
      <c r="K2986" s="7">
        <f>VLOOKUP(J2986,Лист2!A$2:B$4,2,FALSE)</f>
        <v>792</v>
      </c>
      <c r="L2986" s="7" t="str">
        <f t="shared" si="186"/>
        <v>ГОТОВ_ИЗМЕНЕН</v>
      </c>
      <c r="M2986" s="7">
        <f t="shared" si="187"/>
        <v>0</v>
      </c>
    </row>
    <row r="2987" spans="1:13" x14ac:dyDescent="0.25">
      <c r="A2987" s="1">
        <v>946017</v>
      </c>
      <c r="B2987" s="6" t="s">
        <v>3127</v>
      </c>
      <c r="F2987" s="6" t="s">
        <v>9</v>
      </c>
      <c r="G2987" s="6" t="s">
        <v>34</v>
      </c>
      <c r="H2987" s="9" t="s">
        <v>35</v>
      </c>
      <c r="I2987" s="7" t="str">
        <f t="shared" si="184"/>
        <v>61001002000</v>
      </c>
      <c r="J2987" s="7" t="str">
        <f t="shared" si="185"/>
        <v>Материал по ЕГРН</v>
      </c>
      <c r="K2987" s="7">
        <f>VLOOKUP(J2987,Лист2!A$2:B$4,2,FALSE)</f>
        <v>792</v>
      </c>
      <c r="L2987" s="7" t="str">
        <f t="shared" si="186"/>
        <v>ГОТОВ_ИЗМЕНЕН</v>
      </c>
      <c r="M2987" s="7">
        <f t="shared" si="187"/>
        <v>0</v>
      </c>
    </row>
    <row r="2988" spans="1:13" x14ac:dyDescent="0.25">
      <c r="A2988" s="1">
        <v>946029</v>
      </c>
      <c r="B2988" s="6" t="s">
        <v>3128</v>
      </c>
      <c r="F2988" s="6" t="s">
        <v>9</v>
      </c>
      <c r="G2988" s="6" t="s">
        <v>38</v>
      </c>
      <c r="H2988" s="9" t="s">
        <v>33</v>
      </c>
      <c r="I2988" s="7" t="str">
        <f t="shared" si="184"/>
        <v>61001005000</v>
      </c>
      <c r="J2988" s="7" t="str">
        <f t="shared" si="185"/>
        <v>Материал по ЕГРН</v>
      </c>
      <c r="K2988" s="7">
        <f>VLOOKUP(J2988,Лист2!A$2:B$4,2,FALSE)</f>
        <v>792</v>
      </c>
      <c r="L2988" s="7" t="str">
        <f t="shared" si="186"/>
        <v>ГОТОВ_ИЗМЕНЕН</v>
      </c>
      <c r="M2988" s="7">
        <f t="shared" si="187"/>
        <v>0</v>
      </c>
    </row>
    <row r="2989" spans="1:13" x14ac:dyDescent="0.25">
      <c r="A2989" s="1">
        <v>946041</v>
      </c>
      <c r="B2989" s="6" t="s">
        <v>3129</v>
      </c>
      <c r="F2989" s="6" t="s">
        <v>9</v>
      </c>
      <c r="G2989" s="6" t="s">
        <v>34</v>
      </c>
      <c r="H2989" s="9" t="s">
        <v>35</v>
      </c>
      <c r="I2989" s="7" t="str">
        <f t="shared" si="184"/>
        <v>61001002000</v>
      </c>
      <c r="J2989" s="7" t="str">
        <f t="shared" si="185"/>
        <v>Материал по ЕГРН</v>
      </c>
      <c r="K2989" s="7">
        <f>VLOOKUP(J2989,Лист2!A$2:B$4,2,FALSE)</f>
        <v>792</v>
      </c>
      <c r="L2989" s="7" t="str">
        <f t="shared" si="186"/>
        <v>ГОТОВ_ИЗМЕНЕН</v>
      </c>
      <c r="M2989" s="7">
        <f t="shared" si="187"/>
        <v>0</v>
      </c>
    </row>
    <row r="2990" spans="1:13" x14ac:dyDescent="0.25">
      <c r="A2990" s="1">
        <v>946053</v>
      </c>
      <c r="B2990" s="6" t="s">
        <v>3130</v>
      </c>
      <c r="F2990" s="6" t="s">
        <v>9</v>
      </c>
      <c r="G2990" s="6" t="s">
        <v>10</v>
      </c>
      <c r="H2990" s="9" t="s">
        <v>11</v>
      </c>
      <c r="I2990" s="7" t="str">
        <f t="shared" si="184"/>
        <v>61001003000</v>
      </c>
      <c r="J2990" s="7" t="str">
        <f t="shared" si="185"/>
        <v>Материал по ЕГРН</v>
      </c>
      <c r="K2990" s="7">
        <f>VLOOKUP(J2990,Лист2!A$2:B$4,2,FALSE)</f>
        <v>792</v>
      </c>
      <c r="L2990" s="7" t="str">
        <f t="shared" si="186"/>
        <v>ГОТОВ_ИЗМЕНЕН</v>
      </c>
      <c r="M2990" s="7">
        <f t="shared" si="187"/>
        <v>0</v>
      </c>
    </row>
    <row r="2991" spans="1:13" x14ac:dyDescent="0.25">
      <c r="A2991" s="1">
        <v>946065</v>
      </c>
      <c r="B2991" s="6" t="s">
        <v>3131</v>
      </c>
      <c r="F2991" s="6" t="s">
        <v>9</v>
      </c>
      <c r="G2991" s="6" t="s">
        <v>73</v>
      </c>
      <c r="H2991" s="9" t="s">
        <v>74</v>
      </c>
      <c r="I2991" s="7" t="str">
        <f t="shared" si="184"/>
        <v>61001006000</v>
      </c>
      <c r="J2991" s="7" t="str">
        <f t="shared" si="185"/>
        <v>Материал по ЕГРН</v>
      </c>
      <c r="K2991" s="7">
        <f>VLOOKUP(J2991,Лист2!A$2:B$4,2,FALSE)</f>
        <v>792</v>
      </c>
      <c r="L2991" s="7" t="str">
        <f t="shared" si="186"/>
        <v>ГОТОВ_ИЗМЕНЕН</v>
      </c>
      <c r="M2991" s="7">
        <f t="shared" si="187"/>
        <v>0</v>
      </c>
    </row>
    <row r="2992" spans="1:13" x14ac:dyDescent="0.25">
      <c r="A2992" s="1">
        <v>946077</v>
      </c>
      <c r="B2992" s="6" t="s">
        <v>3132</v>
      </c>
      <c r="F2992" s="6" t="s">
        <v>9</v>
      </c>
      <c r="G2992" s="6" t="s">
        <v>38</v>
      </c>
      <c r="H2992" s="9" t="s">
        <v>33</v>
      </c>
      <c r="I2992" s="7" t="str">
        <f t="shared" si="184"/>
        <v>61001005000</v>
      </c>
      <c r="J2992" s="7" t="str">
        <f t="shared" si="185"/>
        <v>Материал по ЕГРН</v>
      </c>
      <c r="K2992" s="7">
        <f>VLOOKUP(J2992,Лист2!A$2:B$4,2,FALSE)</f>
        <v>792</v>
      </c>
      <c r="L2992" s="7" t="str">
        <f t="shared" si="186"/>
        <v>ГОТОВ_ИЗМЕНЕН</v>
      </c>
      <c r="M2992" s="7">
        <f t="shared" si="187"/>
        <v>0</v>
      </c>
    </row>
    <row r="2993" spans="1:13" x14ac:dyDescent="0.25">
      <c r="A2993" s="1">
        <v>946089</v>
      </c>
      <c r="B2993" s="6" t="s">
        <v>3133</v>
      </c>
      <c r="F2993" s="6" t="s">
        <v>9</v>
      </c>
      <c r="G2993" s="6" t="s">
        <v>62</v>
      </c>
      <c r="H2993" s="9" t="s">
        <v>63</v>
      </c>
      <c r="I2993" s="7" t="str">
        <f t="shared" si="184"/>
        <v>61001006002</v>
      </c>
      <c r="J2993" s="7" t="str">
        <f t="shared" si="185"/>
        <v>Материал по ЕГРН</v>
      </c>
      <c r="K2993" s="7">
        <f>VLOOKUP(J2993,Лист2!A$2:B$4,2,FALSE)</f>
        <v>792</v>
      </c>
      <c r="L2993" s="7" t="str">
        <f t="shared" si="186"/>
        <v>ГОТОВ_ИЗМЕНЕН</v>
      </c>
      <c r="M2993" s="7">
        <f t="shared" si="187"/>
        <v>0</v>
      </c>
    </row>
    <row r="2994" spans="1:13" x14ac:dyDescent="0.25">
      <c r="A2994" s="1">
        <v>946101</v>
      </c>
      <c r="B2994" s="6" t="s">
        <v>3134</v>
      </c>
      <c r="F2994" s="6" t="s">
        <v>9</v>
      </c>
      <c r="G2994" s="6" t="s">
        <v>43</v>
      </c>
      <c r="H2994" s="9" t="s">
        <v>42</v>
      </c>
      <c r="I2994" s="7" t="str">
        <f t="shared" si="184"/>
        <v>61001002001</v>
      </c>
      <c r="J2994" s="7" t="str">
        <f t="shared" si="185"/>
        <v>Материал по ЕГРН</v>
      </c>
      <c r="K2994" s="7">
        <f>VLOOKUP(J2994,Лист2!A$2:B$4,2,FALSE)</f>
        <v>792</v>
      </c>
      <c r="L2994" s="7" t="str">
        <f t="shared" si="186"/>
        <v>ГОТОВ_ИЗМЕНЕН</v>
      </c>
      <c r="M2994" s="7">
        <f t="shared" si="187"/>
        <v>0</v>
      </c>
    </row>
    <row r="2995" spans="1:13" x14ac:dyDescent="0.25">
      <c r="A2995" s="1">
        <v>946113</v>
      </c>
      <c r="B2995" s="6" t="s">
        <v>3135</v>
      </c>
      <c r="F2995" s="6" t="s">
        <v>9</v>
      </c>
      <c r="G2995" s="6" t="s">
        <v>62</v>
      </c>
      <c r="H2995" s="9" t="s">
        <v>63</v>
      </c>
      <c r="I2995" s="7" t="str">
        <f t="shared" si="184"/>
        <v>61001006002</v>
      </c>
      <c r="J2995" s="7" t="str">
        <f t="shared" si="185"/>
        <v>Материал по ЕГРН</v>
      </c>
      <c r="K2995" s="7">
        <f>VLOOKUP(J2995,Лист2!A$2:B$4,2,FALSE)</f>
        <v>792</v>
      </c>
      <c r="L2995" s="7" t="str">
        <f t="shared" si="186"/>
        <v>ГОТОВ_ИЗМЕНЕН</v>
      </c>
      <c r="M2995" s="7">
        <f t="shared" si="187"/>
        <v>0</v>
      </c>
    </row>
    <row r="2996" spans="1:13" x14ac:dyDescent="0.25">
      <c r="A2996" s="1">
        <v>946125</v>
      </c>
      <c r="B2996" s="6" t="s">
        <v>3136</v>
      </c>
      <c r="F2996" s="6" t="s">
        <v>9</v>
      </c>
      <c r="G2996" s="6" t="s">
        <v>38</v>
      </c>
      <c r="H2996" s="9" t="s">
        <v>33</v>
      </c>
      <c r="I2996" s="7" t="str">
        <f t="shared" si="184"/>
        <v>61001005000</v>
      </c>
      <c r="J2996" s="7" t="str">
        <f t="shared" si="185"/>
        <v>Материал по ЕГРН</v>
      </c>
      <c r="K2996" s="7">
        <f>VLOOKUP(J2996,Лист2!A$2:B$4,2,FALSE)</f>
        <v>792</v>
      </c>
      <c r="L2996" s="7" t="str">
        <f t="shared" si="186"/>
        <v>ГОТОВ_ИЗМЕНЕН</v>
      </c>
      <c r="M2996" s="7">
        <f t="shared" si="187"/>
        <v>0</v>
      </c>
    </row>
    <row r="2997" spans="1:13" x14ac:dyDescent="0.25">
      <c r="A2997" s="1">
        <v>946137</v>
      </c>
      <c r="B2997" s="6" t="s">
        <v>3137</v>
      </c>
      <c r="F2997" s="6" t="s">
        <v>9</v>
      </c>
      <c r="G2997" s="6" t="s">
        <v>10</v>
      </c>
      <c r="H2997" s="9" t="s">
        <v>11</v>
      </c>
      <c r="I2997" s="7" t="str">
        <f t="shared" si="184"/>
        <v>61001003000</v>
      </c>
      <c r="J2997" s="7" t="str">
        <f t="shared" si="185"/>
        <v>Материал по ЕГРН</v>
      </c>
      <c r="K2997" s="7">
        <f>VLOOKUP(J2997,Лист2!A$2:B$4,2,FALSE)</f>
        <v>792</v>
      </c>
      <c r="L2997" s="7" t="str">
        <f t="shared" si="186"/>
        <v>ГОТОВ_ИЗМЕНЕН</v>
      </c>
      <c r="M2997" s="7">
        <f t="shared" si="187"/>
        <v>0</v>
      </c>
    </row>
    <row r="2998" spans="1:13" x14ac:dyDescent="0.25">
      <c r="A2998" s="1">
        <v>946149</v>
      </c>
      <c r="B2998" s="6" t="s">
        <v>3138</v>
      </c>
      <c r="F2998" s="6" t="s">
        <v>9</v>
      </c>
      <c r="G2998" s="6" t="s">
        <v>34</v>
      </c>
      <c r="H2998" s="9" t="s">
        <v>35</v>
      </c>
      <c r="I2998" s="7" t="str">
        <f t="shared" si="184"/>
        <v>61001002000</v>
      </c>
      <c r="J2998" s="7" t="str">
        <f t="shared" si="185"/>
        <v>Материал по ЕГРН</v>
      </c>
      <c r="K2998" s="7">
        <f>VLOOKUP(J2998,Лист2!A$2:B$4,2,FALSE)</f>
        <v>792</v>
      </c>
      <c r="L2998" s="7" t="str">
        <f t="shared" si="186"/>
        <v>ГОТОВ_ИЗМЕНЕН</v>
      </c>
      <c r="M2998" s="7">
        <f t="shared" si="187"/>
        <v>0</v>
      </c>
    </row>
    <row r="2999" spans="1:13" x14ac:dyDescent="0.25">
      <c r="A2999" s="1">
        <v>946161</v>
      </c>
      <c r="B2999" s="6" t="s">
        <v>3139</v>
      </c>
      <c r="F2999" s="6" t="s">
        <v>9</v>
      </c>
      <c r="G2999" s="6" t="s">
        <v>62</v>
      </c>
      <c r="H2999" s="9" t="s">
        <v>63</v>
      </c>
      <c r="I2999" s="7" t="str">
        <f t="shared" si="184"/>
        <v>61001006002</v>
      </c>
      <c r="J2999" s="7" t="str">
        <f t="shared" si="185"/>
        <v>Материал по ЕГРН</v>
      </c>
      <c r="K2999" s="7">
        <f>VLOOKUP(J2999,Лист2!A$2:B$4,2,FALSE)</f>
        <v>792</v>
      </c>
      <c r="L2999" s="7" t="str">
        <f t="shared" si="186"/>
        <v>ГОТОВ_ИЗМЕНЕН</v>
      </c>
      <c r="M2999" s="7">
        <f t="shared" si="187"/>
        <v>0</v>
      </c>
    </row>
    <row r="3000" spans="1:13" x14ac:dyDescent="0.25">
      <c r="A3000" s="1">
        <v>171544</v>
      </c>
      <c r="B3000" s="6" t="s">
        <v>3140</v>
      </c>
      <c r="C3000" s="9" t="s">
        <v>33</v>
      </c>
      <c r="D3000" s="6" t="s">
        <v>20</v>
      </c>
      <c r="E3000" s="6" t="s">
        <v>37</v>
      </c>
      <c r="F3000" s="6" t="s">
        <v>9</v>
      </c>
      <c r="G3000" s="6" t="s">
        <v>38</v>
      </c>
      <c r="H3000" s="9" t="s">
        <v>33</v>
      </c>
      <c r="I3000" s="7" t="str">
        <f t="shared" si="184"/>
        <v>61001005000</v>
      </c>
      <c r="J3000" s="7" t="str">
        <f t="shared" si="185"/>
        <v>Материал по ЕГРН</v>
      </c>
      <c r="K3000" s="7">
        <f>VLOOKUP(J3000,Лист2!A$2:B$4,2,FALSE)</f>
        <v>792</v>
      </c>
      <c r="L3000" s="7" t="str">
        <f t="shared" si="186"/>
        <v>ГОТОВ</v>
      </c>
      <c r="M3000" s="7" t="str">
        <f t="shared" si="187"/>
        <v>61001005000</v>
      </c>
    </row>
    <row r="3001" spans="1:13" x14ac:dyDescent="0.25">
      <c r="A3001" s="1">
        <v>320416</v>
      </c>
      <c r="B3001" s="6" t="s">
        <v>3141</v>
      </c>
      <c r="C3001" s="9" t="s">
        <v>33</v>
      </c>
      <c r="D3001" s="6" t="s">
        <v>20</v>
      </c>
      <c r="E3001" s="6" t="s">
        <v>37</v>
      </c>
      <c r="F3001" s="6" t="s">
        <v>9</v>
      </c>
      <c r="G3001" s="6" t="s">
        <v>38</v>
      </c>
      <c r="H3001" s="9" t="s">
        <v>33</v>
      </c>
      <c r="I3001" s="7" t="str">
        <f t="shared" si="184"/>
        <v>61001005000</v>
      </c>
      <c r="J3001" s="7" t="str">
        <f t="shared" si="185"/>
        <v>Материал по ЕГРН</v>
      </c>
      <c r="K3001" s="7">
        <f>VLOOKUP(J3001,Лист2!A$2:B$4,2,FALSE)</f>
        <v>792</v>
      </c>
      <c r="L3001" s="7" t="str">
        <f t="shared" si="186"/>
        <v>ГОТОВ</v>
      </c>
      <c r="M3001" s="7" t="str">
        <f t="shared" si="187"/>
        <v>61001005000</v>
      </c>
    </row>
    <row r="3002" spans="1:13" x14ac:dyDescent="0.25">
      <c r="A3002" s="1">
        <v>813236</v>
      </c>
      <c r="B3002" s="6" t="s">
        <v>3142</v>
      </c>
      <c r="C3002" s="9" t="s">
        <v>74</v>
      </c>
      <c r="D3002" s="6" t="s">
        <v>20</v>
      </c>
      <c r="E3002" s="6" t="s">
        <v>37</v>
      </c>
      <c r="F3002" s="6" t="s">
        <v>9</v>
      </c>
      <c r="G3002" s="6" t="s">
        <v>73</v>
      </c>
      <c r="H3002" s="9" t="s">
        <v>74</v>
      </c>
      <c r="I3002" s="7" t="str">
        <f t="shared" si="184"/>
        <v>61001006000</v>
      </c>
      <c r="J3002" s="7" t="str">
        <f t="shared" si="185"/>
        <v>Материал по ЕГРН</v>
      </c>
      <c r="K3002" s="7">
        <f>VLOOKUP(J3002,Лист2!A$2:B$4,2,FALSE)</f>
        <v>792</v>
      </c>
      <c r="L3002" s="7" t="str">
        <f t="shared" si="186"/>
        <v>ГОТОВ</v>
      </c>
      <c r="M3002" s="7" t="str">
        <f t="shared" si="187"/>
        <v>61001006000</v>
      </c>
    </row>
    <row r="3003" spans="1:13" x14ac:dyDescent="0.25">
      <c r="A3003" s="1">
        <v>945501</v>
      </c>
      <c r="B3003" s="6" t="s">
        <v>3143</v>
      </c>
      <c r="F3003" s="6" t="s">
        <v>9</v>
      </c>
      <c r="G3003" s="6" t="s">
        <v>38</v>
      </c>
      <c r="H3003" s="9" t="s">
        <v>33</v>
      </c>
      <c r="I3003" s="7" t="str">
        <f t="shared" si="184"/>
        <v>61001005000</v>
      </c>
      <c r="J3003" s="7" t="str">
        <f t="shared" si="185"/>
        <v>Материал по ЕГРН</v>
      </c>
      <c r="K3003" s="7">
        <f>VLOOKUP(J3003,Лист2!A$2:B$4,2,FALSE)</f>
        <v>792</v>
      </c>
      <c r="L3003" s="7" t="str">
        <f t="shared" si="186"/>
        <v>ГОТОВ_ИЗМЕНЕН</v>
      </c>
      <c r="M3003" s="7">
        <f t="shared" si="187"/>
        <v>0</v>
      </c>
    </row>
    <row r="3004" spans="1:13" x14ac:dyDescent="0.25">
      <c r="A3004" s="1">
        <v>945513</v>
      </c>
      <c r="B3004" s="6" t="s">
        <v>3144</v>
      </c>
      <c r="F3004" s="6" t="s">
        <v>9</v>
      </c>
      <c r="G3004" s="6" t="s">
        <v>38</v>
      </c>
      <c r="H3004" s="9" t="s">
        <v>33</v>
      </c>
      <c r="I3004" s="7" t="str">
        <f t="shared" si="184"/>
        <v>61001005000</v>
      </c>
      <c r="J3004" s="7" t="str">
        <f t="shared" si="185"/>
        <v>Материал по ЕГРН</v>
      </c>
      <c r="K3004" s="7">
        <f>VLOOKUP(J3004,Лист2!A$2:B$4,2,FALSE)</f>
        <v>792</v>
      </c>
      <c r="L3004" s="7" t="str">
        <f t="shared" si="186"/>
        <v>ГОТОВ_ИЗМЕНЕН</v>
      </c>
      <c r="M3004" s="7">
        <f t="shared" si="187"/>
        <v>0</v>
      </c>
    </row>
    <row r="3005" spans="1:13" x14ac:dyDescent="0.25">
      <c r="A3005" s="1">
        <v>945525</v>
      </c>
      <c r="B3005" s="6" t="s">
        <v>3145</v>
      </c>
      <c r="F3005" s="6" t="s">
        <v>9</v>
      </c>
      <c r="G3005" s="6" t="s">
        <v>38</v>
      </c>
      <c r="H3005" s="9" t="s">
        <v>33</v>
      </c>
      <c r="I3005" s="7" t="str">
        <f t="shared" si="184"/>
        <v>61001005000</v>
      </c>
      <c r="J3005" s="7" t="str">
        <f t="shared" si="185"/>
        <v>Материал по ЕГРН</v>
      </c>
      <c r="K3005" s="7">
        <f>VLOOKUP(J3005,Лист2!A$2:B$4,2,FALSE)</f>
        <v>792</v>
      </c>
      <c r="L3005" s="7" t="str">
        <f t="shared" si="186"/>
        <v>ГОТОВ_ИЗМЕНЕН</v>
      </c>
      <c r="M3005" s="7">
        <f t="shared" si="187"/>
        <v>0</v>
      </c>
    </row>
    <row r="3006" spans="1:13" x14ac:dyDescent="0.25">
      <c r="A3006" s="1">
        <v>945537</v>
      </c>
      <c r="B3006" s="6" t="s">
        <v>3146</v>
      </c>
      <c r="F3006" s="6" t="s">
        <v>9</v>
      </c>
      <c r="G3006" s="6" t="s">
        <v>38</v>
      </c>
      <c r="H3006" s="9" t="s">
        <v>33</v>
      </c>
      <c r="I3006" s="7" t="str">
        <f t="shared" si="184"/>
        <v>61001005000</v>
      </c>
      <c r="J3006" s="7" t="str">
        <f t="shared" si="185"/>
        <v>Материал по ЕГРН</v>
      </c>
      <c r="K3006" s="7">
        <f>VLOOKUP(J3006,Лист2!A$2:B$4,2,FALSE)</f>
        <v>792</v>
      </c>
      <c r="L3006" s="7" t="str">
        <f t="shared" si="186"/>
        <v>ГОТОВ_ИЗМЕНЕН</v>
      </c>
      <c r="M3006" s="7">
        <f t="shared" si="187"/>
        <v>0</v>
      </c>
    </row>
    <row r="3007" spans="1:13" x14ac:dyDescent="0.25">
      <c r="A3007" s="1">
        <v>945549</v>
      </c>
      <c r="B3007" s="6" t="s">
        <v>3147</v>
      </c>
      <c r="F3007" s="6" t="s">
        <v>9</v>
      </c>
      <c r="G3007" s="6" t="s">
        <v>38</v>
      </c>
      <c r="H3007" s="9" t="s">
        <v>33</v>
      </c>
      <c r="I3007" s="7" t="str">
        <f t="shared" si="184"/>
        <v>61001005000</v>
      </c>
      <c r="J3007" s="7" t="str">
        <f t="shared" si="185"/>
        <v>Материал по ЕГРН</v>
      </c>
      <c r="K3007" s="7">
        <f>VLOOKUP(J3007,Лист2!A$2:B$4,2,FALSE)</f>
        <v>792</v>
      </c>
      <c r="L3007" s="7" t="str">
        <f t="shared" si="186"/>
        <v>ГОТОВ_ИЗМЕНЕН</v>
      </c>
      <c r="M3007" s="7">
        <f t="shared" si="187"/>
        <v>0</v>
      </c>
    </row>
    <row r="3008" spans="1:13" x14ac:dyDescent="0.25">
      <c r="A3008" s="1">
        <v>945561</v>
      </c>
      <c r="B3008" s="6" t="s">
        <v>3148</v>
      </c>
      <c r="F3008" s="6" t="s">
        <v>9</v>
      </c>
      <c r="G3008" s="6" t="s">
        <v>38</v>
      </c>
      <c r="H3008" s="9" t="s">
        <v>33</v>
      </c>
      <c r="I3008" s="7" t="str">
        <f t="shared" si="184"/>
        <v>61001005000</v>
      </c>
      <c r="J3008" s="7" t="str">
        <f t="shared" si="185"/>
        <v>Материал по ЕГРН</v>
      </c>
      <c r="K3008" s="7">
        <f>VLOOKUP(J3008,Лист2!A$2:B$4,2,FALSE)</f>
        <v>792</v>
      </c>
      <c r="L3008" s="7" t="str">
        <f t="shared" si="186"/>
        <v>ГОТОВ_ИЗМЕНЕН</v>
      </c>
      <c r="M3008" s="7">
        <f t="shared" si="187"/>
        <v>0</v>
      </c>
    </row>
    <row r="3009" spans="1:13" x14ac:dyDescent="0.25">
      <c r="A3009" s="1">
        <v>945573</v>
      </c>
      <c r="B3009" s="6" t="s">
        <v>3149</v>
      </c>
      <c r="F3009" s="6" t="s">
        <v>9</v>
      </c>
      <c r="G3009" s="6" t="s">
        <v>10</v>
      </c>
      <c r="H3009" s="9" t="s">
        <v>11</v>
      </c>
      <c r="I3009" s="7" t="str">
        <f t="shared" si="184"/>
        <v>61001003000</v>
      </c>
      <c r="J3009" s="7" t="str">
        <f t="shared" si="185"/>
        <v>Материал по ЕГРН</v>
      </c>
      <c r="K3009" s="7">
        <f>VLOOKUP(J3009,Лист2!A$2:B$4,2,FALSE)</f>
        <v>792</v>
      </c>
      <c r="L3009" s="7" t="str">
        <f t="shared" si="186"/>
        <v>ГОТОВ_ИЗМЕНЕН</v>
      </c>
      <c r="M3009" s="7">
        <f t="shared" si="187"/>
        <v>0</v>
      </c>
    </row>
    <row r="3010" spans="1:13" x14ac:dyDescent="0.25">
      <c r="A3010" s="1">
        <v>945585</v>
      </c>
      <c r="B3010" s="6" t="s">
        <v>3150</v>
      </c>
      <c r="F3010" s="6" t="s">
        <v>9</v>
      </c>
      <c r="G3010" s="6" t="s">
        <v>34</v>
      </c>
      <c r="H3010" s="9" t="s">
        <v>35</v>
      </c>
      <c r="I3010" s="7" t="str">
        <f t="shared" si="184"/>
        <v>61001002000</v>
      </c>
      <c r="J3010" s="7" t="str">
        <f t="shared" si="185"/>
        <v>Материал по ЕГРН</v>
      </c>
      <c r="K3010" s="7">
        <f>VLOOKUP(J3010,Лист2!A$2:B$4,2,FALSE)</f>
        <v>792</v>
      </c>
      <c r="L3010" s="7" t="str">
        <f t="shared" si="186"/>
        <v>ГОТОВ_ИЗМЕНЕН</v>
      </c>
      <c r="M3010" s="7">
        <f t="shared" si="187"/>
        <v>0</v>
      </c>
    </row>
    <row r="3011" spans="1:13" x14ac:dyDescent="0.25">
      <c r="A3011" s="1">
        <v>945597</v>
      </c>
      <c r="B3011" s="6" t="s">
        <v>3151</v>
      </c>
      <c r="F3011" s="6" t="s">
        <v>9</v>
      </c>
      <c r="G3011" s="6" t="s">
        <v>10</v>
      </c>
      <c r="H3011" s="9" t="s">
        <v>11</v>
      </c>
      <c r="I3011" s="7" t="str">
        <f t="shared" si="184"/>
        <v>61001003000</v>
      </c>
      <c r="J3011" s="7" t="str">
        <f t="shared" si="185"/>
        <v>Материал по ЕГРН</v>
      </c>
      <c r="K3011" s="7">
        <f>VLOOKUP(J3011,Лист2!A$2:B$4,2,FALSE)</f>
        <v>792</v>
      </c>
      <c r="L3011" s="7" t="str">
        <f t="shared" si="186"/>
        <v>ГОТОВ_ИЗМЕНЕН</v>
      </c>
      <c r="M3011" s="7">
        <f t="shared" si="187"/>
        <v>0</v>
      </c>
    </row>
    <row r="3012" spans="1:13" x14ac:dyDescent="0.25">
      <c r="A3012" s="1">
        <v>945609</v>
      </c>
      <c r="B3012" s="6" t="s">
        <v>3152</v>
      </c>
      <c r="F3012" s="6" t="s">
        <v>9</v>
      </c>
      <c r="G3012" s="6" t="s">
        <v>34</v>
      </c>
      <c r="H3012" s="9" t="s">
        <v>35</v>
      </c>
      <c r="I3012" s="7" t="str">
        <f t="shared" si="184"/>
        <v>61001002000</v>
      </c>
      <c r="J3012" s="7" t="str">
        <f t="shared" si="185"/>
        <v>Материал по ЕГРН</v>
      </c>
      <c r="K3012" s="7">
        <f>VLOOKUP(J3012,Лист2!A$2:B$4,2,FALSE)</f>
        <v>792</v>
      </c>
      <c r="L3012" s="7" t="str">
        <f t="shared" si="186"/>
        <v>ГОТОВ_ИЗМЕНЕН</v>
      </c>
      <c r="M3012" s="7">
        <f t="shared" si="187"/>
        <v>0</v>
      </c>
    </row>
    <row r="3013" spans="1:13" x14ac:dyDescent="0.25">
      <c r="A3013" s="1">
        <v>945621</v>
      </c>
      <c r="B3013" s="6" t="s">
        <v>3153</v>
      </c>
      <c r="F3013" s="6" t="s">
        <v>9</v>
      </c>
      <c r="G3013" s="6" t="s">
        <v>59</v>
      </c>
      <c r="H3013" s="9" t="s">
        <v>60</v>
      </c>
      <c r="I3013" s="7" t="str">
        <f t="shared" ref="I3013:I3076" si="188">IF(LEN(H3013)=11,H3013,IF(LEN(H3013)=0,"61001005000","61001003000"))</f>
        <v>61001001001</v>
      </c>
      <c r="J3013" s="7" t="str">
        <f t="shared" ref="J3013:J3076" si="189">IF(LEN(H3013)=11,"Материал по ЕГРН",IF(LEN(H3013)=0,"Прочие по допущению","Смешанные по допущению"))</f>
        <v>Материал по ЕГРН</v>
      </c>
      <c r="K3013" s="7">
        <f>VLOOKUP(J3013,Лист2!A$2:B$4,2,FALSE)</f>
        <v>792</v>
      </c>
      <c r="L3013" s="7" t="str">
        <f t="shared" ref="L3013:L3076" si="190">IF(I3013=C3013,"ГОТОВ","ГОТОВ_ИЗМЕНЕН")</f>
        <v>ГОТОВ_ИЗМЕНЕН</v>
      </c>
      <c r="M3013" s="7">
        <f t="shared" ref="M3013:M3076" si="191">C3013</f>
        <v>0</v>
      </c>
    </row>
    <row r="3014" spans="1:13" x14ac:dyDescent="0.25">
      <c r="A3014" s="1">
        <v>945633</v>
      </c>
      <c r="B3014" s="6" t="s">
        <v>3154</v>
      </c>
      <c r="F3014" s="6" t="s">
        <v>9</v>
      </c>
      <c r="G3014" s="6" t="s">
        <v>73</v>
      </c>
      <c r="H3014" s="9" t="s">
        <v>74</v>
      </c>
      <c r="I3014" s="7" t="str">
        <f t="shared" si="188"/>
        <v>61001006000</v>
      </c>
      <c r="J3014" s="7" t="str">
        <f t="shared" si="189"/>
        <v>Материал по ЕГРН</v>
      </c>
      <c r="K3014" s="7">
        <f>VLOOKUP(J3014,Лист2!A$2:B$4,2,FALSE)</f>
        <v>792</v>
      </c>
      <c r="L3014" s="7" t="str">
        <f t="shared" si="190"/>
        <v>ГОТОВ_ИЗМЕНЕН</v>
      </c>
      <c r="M3014" s="7">
        <f t="shared" si="191"/>
        <v>0</v>
      </c>
    </row>
    <row r="3015" spans="1:13" x14ac:dyDescent="0.25">
      <c r="A3015" s="1">
        <v>945645</v>
      </c>
      <c r="B3015" s="6" t="s">
        <v>3155</v>
      </c>
      <c r="F3015" s="6" t="s">
        <v>9</v>
      </c>
      <c r="G3015" s="6" t="s">
        <v>34</v>
      </c>
      <c r="H3015" s="9" t="s">
        <v>35</v>
      </c>
      <c r="I3015" s="7" t="str">
        <f t="shared" si="188"/>
        <v>61001002000</v>
      </c>
      <c r="J3015" s="7" t="str">
        <f t="shared" si="189"/>
        <v>Материал по ЕГРН</v>
      </c>
      <c r="K3015" s="7">
        <f>VLOOKUP(J3015,Лист2!A$2:B$4,2,FALSE)</f>
        <v>792</v>
      </c>
      <c r="L3015" s="7" t="str">
        <f t="shared" si="190"/>
        <v>ГОТОВ_ИЗМЕНЕН</v>
      </c>
      <c r="M3015" s="7">
        <f t="shared" si="191"/>
        <v>0</v>
      </c>
    </row>
    <row r="3016" spans="1:13" x14ac:dyDescent="0.25">
      <c r="A3016" s="1">
        <v>945657</v>
      </c>
      <c r="B3016" s="6" t="s">
        <v>3156</v>
      </c>
      <c r="F3016" s="6" t="s">
        <v>9</v>
      </c>
      <c r="G3016" s="6" t="s">
        <v>38</v>
      </c>
      <c r="H3016" s="9" t="s">
        <v>33</v>
      </c>
      <c r="I3016" s="7" t="str">
        <f t="shared" si="188"/>
        <v>61001005000</v>
      </c>
      <c r="J3016" s="7" t="str">
        <f t="shared" si="189"/>
        <v>Материал по ЕГРН</v>
      </c>
      <c r="K3016" s="7">
        <f>VLOOKUP(J3016,Лист2!A$2:B$4,2,FALSE)</f>
        <v>792</v>
      </c>
      <c r="L3016" s="7" t="str">
        <f t="shared" si="190"/>
        <v>ГОТОВ_ИЗМЕНЕН</v>
      </c>
      <c r="M3016" s="7">
        <f t="shared" si="191"/>
        <v>0</v>
      </c>
    </row>
    <row r="3017" spans="1:13" x14ac:dyDescent="0.25">
      <c r="A3017" s="1">
        <v>945669</v>
      </c>
      <c r="B3017" s="6" t="s">
        <v>3157</v>
      </c>
      <c r="F3017" s="6" t="s">
        <v>9</v>
      </c>
      <c r="G3017" s="6" t="s">
        <v>34</v>
      </c>
      <c r="H3017" s="9" t="s">
        <v>35</v>
      </c>
      <c r="I3017" s="7" t="str">
        <f t="shared" si="188"/>
        <v>61001002000</v>
      </c>
      <c r="J3017" s="7" t="str">
        <f t="shared" si="189"/>
        <v>Материал по ЕГРН</v>
      </c>
      <c r="K3017" s="7">
        <f>VLOOKUP(J3017,Лист2!A$2:B$4,2,FALSE)</f>
        <v>792</v>
      </c>
      <c r="L3017" s="7" t="str">
        <f t="shared" si="190"/>
        <v>ГОТОВ_ИЗМЕНЕН</v>
      </c>
      <c r="M3017" s="7">
        <f t="shared" si="191"/>
        <v>0</v>
      </c>
    </row>
    <row r="3018" spans="1:13" x14ac:dyDescent="0.25">
      <c r="A3018" s="1">
        <v>945681</v>
      </c>
      <c r="B3018" s="6" t="s">
        <v>3158</v>
      </c>
      <c r="F3018" s="6" t="s">
        <v>9</v>
      </c>
      <c r="G3018" s="6" t="s">
        <v>38</v>
      </c>
      <c r="H3018" s="9" t="s">
        <v>33</v>
      </c>
      <c r="I3018" s="7" t="str">
        <f t="shared" si="188"/>
        <v>61001005000</v>
      </c>
      <c r="J3018" s="7" t="str">
        <f t="shared" si="189"/>
        <v>Материал по ЕГРН</v>
      </c>
      <c r="K3018" s="7">
        <f>VLOOKUP(J3018,Лист2!A$2:B$4,2,FALSE)</f>
        <v>792</v>
      </c>
      <c r="L3018" s="7" t="str">
        <f t="shared" si="190"/>
        <v>ГОТОВ_ИЗМЕНЕН</v>
      </c>
      <c r="M3018" s="7">
        <f t="shared" si="191"/>
        <v>0</v>
      </c>
    </row>
    <row r="3019" spans="1:13" x14ac:dyDescent="0.25">
      <c r="A3019" s="1">
        <v>945693</v>
      </c>
      <c r="B3019" s="6" t="s">
        <v>3159</v>
      </c>
      <c r="F3019" s="6" t="s">
        <v>9</v>
      </c>
      <c r="G3019" s="6" t="s">
        <v>73</v>
      </c>
      <c r="H3019" s="9" t="s">
        <v>74</v>
      </c>
      <c r="I3019" s="7" t="str">
        <f t="shared" si="188"/>
        <v>61001006000</v>
      </c>
      <c r="J3019" s="7" t="str">
        <f t="shared" si="189"/>
        <v>Материал по ЕГРН</v>
      </c>
      <c r="K3019" s="7">
        <f>VLOOKUP(J3019,Лист2!A$2:B$4,2,FALSE)</f>
        <v>792</v>
      </c>
      <c r="L3019" s="7" t="str">
        <f t="shared" si="190"/>
        <v>ГОТОВ_ИЗМЕНЕН</v>
      </c>
      <c r="M3019" s="7">
        <f t="shared" si="191"/>
        <v>0</v>
      </c>
    </row>
    <row r="3020" spans="1:13" x14ac:dyDescent="0.25">
      <c r="A3020" s="1">
        <v>945705</v>
      </c>
      <c r="B3020" s="6" t="s">
        <v>3160</v>
      </c>
      <c r="F3020" s="6" t="s">
        <v>9</v>
      </c>
      <c r="G3020" s="6" t="s">
        <v>125</v>
      </c>
      <c r="H3020" s="9" t="s">
        <v>126</v>
      </c>
      <c r="I3020" s="7" t="str">
        <f t="shared" si="188"/>
        <v>61001007004</v>
      </c>
      <c r="J3020" s="7" t="str">
        <f t="shared" si="189"/>
        <v>Материал по ЕГРН</v>
      </c>
      <c r="K3020" s="7">
        <f>VLOOKUP(J3020,Лист2!A$2:B$4,2,FALSE)</f>
        <v>792</v>
      </c>
      <c r="L3020" s="7" t="str">
        <f t="shared" si="190"/>
        <v>ГОТОВ_ИЗМЕНЕН</v>
      </c>
      <c r="M3020" s="7">
        <f t="shared" si="191"/>
        <v>0</v>
      </c>
    </row>
    <row r="3021" spans="1:13" x14ac:dyDescent="0.25">
      <c r="A3021" s="1">
        <v>945717</v>
      </c>
      <c r="B3021" s="6" t="s">
        <v>3161</v>
      </c>
      <c r="F3021" s="6" t="s">
        <v>9</v>
      </c>
      <c r="G3021" s="6" t="s">
        <v>73</v>
      </c>
      <c r="H3021" s="9" t="s">
        <v>74</v>
      </c>
      <c r="I3021" s="7" t="str">
        <f t="shared" si="188"/>
        <v>61001006000</v>
      </c>
      <c r="J3021" s="7" t="str">
        <f t="shared" si="189"/>
        <v>Материал по ЕГРН</v>
      </c>
      <c r="K3021" s="7">
        <f>VLOOKUP(J3021,Лист2!A$2:B$4,2,FALSE)</f>
        <v>792</v>
      </c>
      <c r="L3021" s="7" t="str">
        <f t="shared" si="190"/>
        <v>ГОТОВ_ИЗМЕНЕН</v>
      </c>
      <c r="M3021" s="7">
        <f t="shared" si="191"/>
        <v>0</v>
      </c>
    </row>
    <row r="3022" spans="1:13" x14ac:dyDescent="0.25">
      <c r="A3022" s="1">
        <v>945729</v>
      </c>
      <c r="B3022" s="6" t="s">
        <v>3162</v>
      </c>
      <c r="F3022" s="6" t="s">
        <v>9</v>
      </c>
      <c r="G3022" s="6" t="s">
        <v>10</v>
      </c>
      <c r="H3022" s="9" t="s">
        <v>11</v>
      </c>
      <c r="I3022" s="7" t="str">
        <f t="shared" si="188"/>
        <v>61001003000</v>
      </c>
      <c r="J3022" s="7" t="str">
        <f t="shared" si="189"/>
        <v>Материал по ЕГРН</v>
      </c>
      <c r="K3022" s="7">
        <f>VLOOKUP(J3022,Лист2!A$2:B$4,2,FALSE)</f>
        <v>792</v>
      </c>
      <c r="L3022" s="7" t="str">
        <f t="shared" si="190"/>
        <v>ГОТОВ_ИЗМЕНЕН</v>
      </c>
      <c r="M3022" s="7">
        <f t="shared" si="191"/>
        <v>0</v>
      </c>
    </row>
    <row r="3023" spans="1:13" x14ac:dyDescent="0.25">
      <c r="A3023" s="1">
        <v>945741</v>
      </c>
      <c r="B3023" s="6" t="s">
        <v>3163</v>
      </c>
      <c r="F3023" s="6" t="s">
        <v>9</v>
      </c>
      <c r="G3023" s="6" t="s">
        <v>65</v>
      </c>
      <c r="H3023" s="9" t="s">
        <v>66</v>
      </c>
      <c r="I3023" s="7" t="str">
        <f t="shared" si="188"/>
        <v>61001002003</v>
      </c>
      <c r="J3023" s="7" t="str">
        <f t="shared" si="189"/>
        <v>Материал по ЕГРН</v>
      </c>
      <c r="K3023" s="7">
        <f>VLOOKUP(J3023,Лист2!A$2:B$4,2,FALSE)</f>
        <v>792</v>
      </c>
      <c r="L3023" s="7" t="str">
        <f t="shared" si="190"/>
        <v>ГОТОВ_ИЗМЕНЕН</v>
      </c>
      <c r="M3023" s="7">
        <f t="shared" si="191"/>
        <v>0</v>
      </c>
    </row>
    <row r="3024" spans="1:13" x14ac:dyDescent="0.25">
      <c r="A3024" s="1">
        <v>945753</v>
      </c>
      <c r="B3024" s="6" t="s">
        <v>3164</v>
      </c>
      <c r="F3024" s="6" t="s">
        <v>9</v>
      </c>
      <c r="G3024" s="6" t="s">
        <v>38</v>
      </c>
      <c r="H3024" s="9" t="s">
        <v>33</v>
      </c>
      <c r="I3024" s="7" t="str">
        <f t="shared" si="188"/>
        <v>61001005000</v>
      </c>
      <c r="J3024" s="7" t="str">
        <f t="shared" si="189"/>
        <v>Материал по ЕГРН</v>
      </c>
      <c r="K3024" s="7">
        <f>VLOOKUP(J3024,Лист2!A$2:B$4,2,FALSE)</f>
        <v>792</v>
      </c>
      <c r="L3024" s="7" t="str">
        <f t="shared" si="190"/>
        <v>ГОТОВ_ИЗМЕНЕН</v>
      </c>
      <c r="M3024" s="7">
        <f t="shared" si="191"/>
        <v>0</v>
      </c>
    </row>
    <row r="3025" spans="1:13" x14ac:dyDescent="0.25">
      <c r="A3025" s="1">
        <v>945765</v>
      </c>
      <c r="B3025" s="6" t="s">
        <v>3165</v>
      </c>
      <c r="F3025" s="6" t="s">
        <v>9</v>
      </c>
      <c r="G3025" s="6" t="s">
        <v>43</v>
      </c>
      <c r="H3025" s="9" t="s">
        <v>42</v>
      </c>
      <c r="I3025" s="7" t="str">
        <f t="shared" si="188"/>
        <v>61001002001</v>
      </c>
      <c r="J3025" s="7" t="str">
        <f t="shared" si="189"/>
        <v>Материал по ЕГРН</v>
      </c>
      <c r="K3025" s="7">
        <f>VLOOKUP(J3025,Лист2!A$2:B$4,2,FALSE)</f>
        <v>792</v>
      </c>
      <c r="L3025" s="7" t="str">
        <f t="shared" si="190"/>
        <v>ГОТОВ_ИЗМЕНЕН</v>
      </c>
      <c r="M3025" s="7">
        <f t="shared" si="191"/>
        <v>0</v>
      </c>
    </row>
    <row r="3026" spans="1:13" x14ac:dyDescent="0.25">
      <c r="A3026" s="1">
        <v>945777</v>
      </c>
      <c r="B3026" s="6" t="s">
        <v>3166</v>
      </c>
      <c r="F3026" s="6" t="s">
        <v>9</v>
      </c>
      <c r="G3026" s="6" t="s">
        <v>59</v>
      </c>
      <c r="H3026" s="9" t="s">
        <v>60</v>
      </c>
      <c r="I3026" s="7" t="str">
        <f t="shared" si="188"/>
        <v>61001001001</v>
      </c>
      <c r="J3026" s="7" t="str">
        <f t="shared" si="189"/>
        <v>Материал по ЕГРН</v>
      </c>
      <c r="K3026" s="7">
        <f>VLOOKUP(J3026,Лист2!A$2:B$4,2,FALSE)</f>
        <v>792</v>
      </c>
      <c r="L3026" s="7" t="str">
        <f t="shared" si="190"/>
        <v>ГОТОВ_ИЗМЕНЕН</v>
      </c>
      <c r="M3026" s="7">
        <f t="shared" si="191"/>
        <v>0</v>
      </c>
    </row>
    <row r="3027" spans="1:13" x14ac:dyDescent="0.25">
      <c r="A3027" s="1">
        <v>285537</v>
      </c>
      <c r="B3027" s="6" t="s">
        <v>3167</v>
      </c>
      <c r="C3027" s="9" t="s">
        <v>33</v>
      </c>
      <c r="D3027" s="6" t="s">
        <v>20</v>
      </c>
      <c r="E3027" s="6" t="s">
        <v>37</v>
      </c>
      <c r="F3027" s="6" t="s">
        <v>9</v>
      </c>
      <c r="G3027" s="6" t="s">
        <v>38</v>
      </c>
      <c r="H3027" s="9" t="s">
        <v>33</v>
      </c>
      <c r="I3027" s="7" t="str">
        <f t="shared" si="188"/>
        <v>61001005000</v>
      </c>
      <c r="J3027" s="7" t="str">
        <f t="shared" si="189"/>
        <v>Материал по ЕГРН</v>
      </c>
      <c r="K3027" s="7">
        <f>VLOOKUP(J3027,Лист2!A$2:B$4,2,FALSE)</f>
        <v>792</v>
      </c>
      <c r="L3027" s="7" t="str">
        <f t="shared" si="190"/>
        <v>ГОТОВ</v>
      </c>
      <c r="M3027" s="7" t="str">
        <f t="shared" si="191"/>
        <v>61001005000</v>
      </c>
    </row>
    <row r="3028" spans="1:13" x14ac:dyDescent="0.25">
      <c r="A3028" s="1">
        <v>817934</v>
      </c>
      <c r="B3028" s="6" t="s">
        <v>3168</v>
      </c>
      <c r="C3028" s="9" t="s">
        <v>42</v>
      </c>
      <c r="D3028" s="6" t="s">
        <v>20</v>
      </c>
      <c r="E3028" s="6" t="s">
        <v>8</v>
      </c>
      <c r="F3028" s="6" t="s">
        <v>9</v>
      </c>
      <c r="G3028" s="6" t="s">
        <v>454</v>
      </c>
      <c r="H3028" s="9" t="s">
        <v>455</v>
      </c>
      <c r="I3028" s="7" t="str">
        <f t="shared" si="188"/>
        <v>61001003000</v>
      </c>
      <c r="J3028" s="7" t="str">
        <f t="shared" si="189"/>
        <v>Смешанные по допущению</v>
      </c>
      <c r="K3028" s="7">
        <f>VLOOKUP(J3028,Лист2!A$2:B$4,2,FALSE)</f>
        <v>793</v>
      </c>
      <c r="L3028" s="7" t="str">
        <f t="shared" si="190"/>
        <v>ГОТОВ_ИЗМЕНЕН</v>
      </c>
      <c r="M3028" s="7" t="str">
        <f t="shared" si="191"/>
        <v>61001002001</v>
      </c>
    </row>
    <row r="3029" spans="1:13" x14ac:dyDescent="0.25">
      <c r="A3029" s="1">
        <v>944288</v>
      </c>
      <c r="B3029" s="6" t="s">
        <v>3169</v>
      </c>
      <c r="F3029" s="6" t="s">
        <v>9</v>
      </c>
      <c r="G3029" s="6" t="s">
        <v>38</v>
      </c>
      <c r="H3029" s="9" t="s">
        <v>33</v>
      </c>
      <c r="I3029" s="7" t="str">
        <f t="shared" si="188"/>
        <v>61001005000</v>
      </c>
      <c r="J3029" s="7" t="str">
        <f t="shared" si="189"/>
        <v>Материал по ЕГРН</v>
      </c>
      <c r="K3029" s="7">
        <f>VLOOKUP(J3029,Лист2!A$2:B$4,2,FALSE)</f>
        <v>792</v>
      </c>
      <c r="L3029" s="7" t="str">
        <f t="shared" si="190"/>
        <v>ГОТОВ_ИЗМЕНЕН</v>
      </c>
      <c r="M3029" s="7">
        <f t="shared" si="191"/>
        <v>0</v>
      </c>
    </row>
    <row r="3030" spans="1:13" x14ac:dyDescent="0.25">
      <c r="A3030" s="1">
        <v>944300</v>
      </c>
      <c r="B3030" s="6" t="s">
        <v>3170</v>
      </c>
      <c r="F3030" s="6" t="s">
        <v>9</v>
      </c>
      <c r="G3030" s="6" t="s">
        <v>38</v>
      </c>
      <c r="H3030" s="9" t="s">
        <v>33</v>
      </c>
      <c r="I3030" s="7" t="str">
        <f t="shared" si="188"/>
        <v>61001005000</v>
      </c>
      <c r="J3030" s="7" t="str">
        <f t="shared" si="189"/>
        <v>Материал по ЕГРН</v>
      </c>
      <c r="K3030" s="7">
        <f>VLOOKUP(J3030,Лист2!A$2:B$4,2,FALSE)</f>
        <v>792</v>
      </c>
      <c r="L3030" s="7" t="str">
        <f t="shared" si="190"/>
        <v>ГОТОВ_ИЗМЕНЕН</v>
      </c>
      <c r="M3030" s="7">
        <f t="shared" si="191"/>
        <v>0</v>
      </c>
    </row>
    <row r="3031" spans="1:13" x14ac:dyDescent="0.25">
      <c r="A3031" s="1">
        <v>944312</v>
      </c>
      <c r="B3031" s="6" t="s">
        <v>3171</v>
      </c>
      <c r="F3031" s="6" t="s">
        <v>9</v>
      </c>
      <c r="G3031" s="6" t="s">
        <v>62</v>
      </c>
      <c r="H3031" s="9" t="s">
        <v>63</v>
      </c>
      <c r="I3031" s="7" t="str">
        <f t="shared" si="188"/>
        <v>61001006002</v>
      </c>
      <c r="J3031" s="7" t="str">
        <f t="shared" si="189"/>
        <v>Материал по ЕГРН</v>
      </c>
      <c r="K3031" s="7">
        <f>VLOOKUP(J3031,Лист2!A$2:B$4,2,FALSE)</f>
        <v>792</v>
      </c>
      <c r="L3031" s="7" t="str">
        <f t="shared" si="190"/>
        <v>ГОТОВ_ИЗМЕНЕН</v>
      </c>
      <c r="M3031" s="7">
        <f t="shared" si="191"/>
        <v>0</v>
      </c>
    </row>
    <row r="3032" spans="1:13" x14ac:dyDescent="0.25">
      <c r="A3032" s="1">
        <v>944324</v>
      </c>
      <c r="B3032" s="6" t="s">
        <v>3172</v>
      </c>
      <c r="F3032" s="6" t="s">
        <v>9</v>
      </c>
      <c r="G3032" s="6" t="s">
        <v>43</v>
      </c>
      <c r="H3032" s="9" t="s">
        <v>42</v>
      </c>
      <c r="I3032" s="7" t="str">
        <f t="shared" si="188"/>
        <v>61001002001</v>
      </c>
      <c r="J3032" s="7" t="str">
        <f t="shared" si="189"/>
        <v>Материал по ЕГРН</v>
      </c>
      <c r="K3032" s="7">
        <f>VLOOKUP(J3032,Лист2!A$2:B$4,2,FALSE)</f>
        <v>792</v>
      </c>
      <c r="L3032" s="7" t="str">
        <f t="shared" si="190"/>
        <v>ГОТОВ_ИЗМЕНЕН</v>
      </c>
      <c r="M3032" s="7">
        <f t="shared" si="191"/>
        <v>0</v>
      </c>
    </row>
    <row r="3033" spans="1:13" x14ac:dyDescent="0.25">
      <c r="A3033" s="1">
        <v>944336</v>
      </c>
      <c r="B3033" s="6" t="s">
        <v>3173</v>
      </c>
      <c r="F3033" s="6" t="s">
        <v>9</v>
      </c>
      <c r="G3033" s="6" t="s">
        <v>38</v>
      </c>
      <c r="H3033" s="9" t="s">
        <v>33</v>
      </c>
      <c r="I3033" s="7" t="str">
        <f t="shared" si="188"/>
        <v>61001005000</v>
      </c>
      <c r="J3033" s="7" t="str">
        <f t="shared" si="189"/>
        <v>Материал по ЕГРН</v>
      </c>
      <c r="K3033" s="7">
        <f>VLOOKUP(J3033,Лист2!A$2:B$4,2,FALSE)</f>
        <v>792</v>
      </c>
      <c r="L3033" s="7" t="str">
        <f t="shared" si="190"/>
        <v>ГОТОВ_ИЗМЕНЕН</v>
      </c>
      <c r="M3033" s="7">
        <f t="shared" si="191"/>
        <v>0</v>
      </c>
    </row>
    <row r="3034" spans="1:13" x14ac:dyDescent="0.25">
      <c r="A3034" s="1">
        <v>944348</v>
      </c>
      <c r="B3034" s="6" t="s">
        <v>3174</v>
      </c>
      <c r="F3034" s="6" t="s">
        <v>9</v>
      </c>
      <c r="G3034" s="6" t="s">
        <v>38</v>
      </c>
      <c r="H3034" s="9" t="s">
        <v>33</v>
      </c>
      <c r="I3034" s="7" t="str">
        <f t="shared" si="188"/>
        <v>61001005000</v>
      </c>
      <c r="J3034" s="7" t="str">
        <f t="shared" si="189"/>
        <v>Материал по ЕГРН</v>
      </c>
      <c r="K3034" s="7">
        <f>VLOOKUP(J3034,Лист2!A$2:B$4,2,FALSE)</f>
        <v>792</v>
      </c>
      <c r="L3034" s="7" t="str">
        <f t="shared" si="190"/>
        <v>ГОТОВ_ИЗМЕНЕН</v>
      </c>
      <c r="M3034" s="7">
        <f t="shared" si="191"/>
        <v>0</v>
      </c>
    </row>
    <row r="3035" spans="1:13" x14ac:dyDescent="0.25">
      <c r="A3035" s="1">
        <v>944360</v>
      </c>
      <c r="B3035" s="6" t="s">
        <v>3175</v>
      </c>
      <c r="F3035" s="6" t="s">
        <v>9</v>
      </c>
      <c r="G3035" s="6" t="s">
        <v>38</v>
      </c>
      <c r="H3035" s="9" t="s">
        <v>33</v>
      </c>
      <c r="I3035" s="7" t="str">
        <f t="shared" si="188"/>
        <v>61001005000</v>
      </c>
      <c r="J3035" s="7" t="str">
        <f t="shared" si="189"/>
        <v>Материал по ЕГРН</v>
      </c>
      <c r="K3035" s="7">
        <f>VLOOKUP(J3035,Лист2!A$2:B$4,2,FALSE)</f>
        <v>792</v>
      </c>
      <c r="L3035" s="7" t="str">
        <f t="shared" si="190"/>
        <v>ГОТОВ_ИЗМЕНЕН</v>
      </c>
      <c r="M3035" s="7">
        <f t="shared" si="191"/>
        <v>0</v>
      </c>
    </row>
    <row r="3036" spans="1:13" x14ac:dyDescent="0.25">
      <c r="A3036" s="1">
        <v>944372</v>
      </c>
      <c r="B3036" s="6" t="s">
        <v>3176</v>
      </c>
      <c r="F3036" s="6" t="s">
        <v>9</v>
      </c>
      <c r="G3036" s="6" t="s">
        <v>10</v>
      </c>
      <c r="H3036" s="9" t="s">
        <v>11</v>
      </c>
      <c r="I3036" s="7" t="str">
        <f t="shared" si="188"/>
        <v>61001003000</v>
      </c>
      <c r="J3036" s="7" t="str">
        <f t="shared" si="189"/>
        <v>Материал по ЕГРН</v>
      </c>
      <c r="K3036" s="7">
        <f>VLOOKUP(J3036,Лист2!A$2:B$4,2,FALSE)</f>
        <v>792</v>
      </c>
      <c r="L3036" s="7" t="str">
        <f t="shared" si="190"/>
        <v>ГОТОВ_ИЗМЕНЕН</v>
      </c>
      <c r="M3036" s="7">
        <f t="shared" si="191"/>
        <v>0</v>
      </c>
    </row>
    <row r="3037" spans="1:13" x14ac:dyDescent="0.25">
      <c r="A3037" s="1">
        <v>944384</v>
      </c>
      <c r="B3037" s="6" t="s">
        <v>3177</v>
      </c>
      <c r="F3037" s="6" t="s">
        <v>9</v>
      </c>
      <c r="G3037" s="6" t="s">
        <v>34</v>
      </c>
      <c r="H3037" s="9" t="s">
        <v>35</v>
      </c>
      <c r="I3037" s="7" t="str">
        <f t="shared" si="188"/>
        <v>61001002000</v>
      </c>
      <c r="J3037" s="7" t="str">
        <f t="shared" si="189"/>
        <v>Материал по ЕГРН</v>
      </c>
      <c r="K3037" s="7">
        <f>VLOOKUP(J3037,Лист2!A$2:B$4,2,FALSE)</f>
        <v>792</v>
      </c>
      <c r="L3037" s="7" t="str">
        <f t="shared" si="190"/>
        <v>ГОТОВ_ИЗМЕНЕН</v>
      </c>
      <c r="M3037" s="7">
        <f t="shared" si="191"/>
        <v>0</v>
      </c>
    </row>
    <row r="3038" spans="1:13" x14ac:dyDescent="0.25">
      <c r="A3038" s="1">
        <v>944396</v>
      </c>
      <c r="B3038" s="6" t="s">
        <v>3178</v>
      </c>
      <c r="F3038" s="6" t="s">
        <v>9</v>
      </c>
      <c r="G3038" s="6" t="s">
        <v>10</v>
      </c>
      <c r="H3038" s="9" t="s">
        <v>11</v>
      </c>
      <c r="I3038" s="7" t="str">
        <f t="shared" si="188"/>
        <v>61001003000</v>
      </c>
      <c r="J3038" s="7" t="str">
        <f t="shared" si="189"/>
        <v>Материал по ЕГРН</v>
      </c>
      <c r="K3038" s="7">
        <f>VLOOKUP(J3038,Лист2!A$2:B$4,2,FALSE)</f>
        <v>792</v>
      </c>
      <c r="L3038" s="7" t="str">
        <f t="shared" si="190"/>
        <v>ГОТОВ_ИЗМЕНЕН</v>
      </c>
      <c r="M3038" s="7">
        <f t="shared" si="191"/>
        <v>0</v>
      </c>
    </row>
    <row r="3039" spans="1:13" x14ac:dyDescent="0.25">
      <c r="A3039" s="1">
        <v>944408</v>
      </c>
      <c r="B3039" s="6" t="s">
        <v>3179</v>
      </c>
      <c r="F3039" s="6" t="s">
        <v>9</v>
      </c>
      <c r="G3039" s="6" t="s">
        <v>90</v>
      </c>
      <c r="H3039" s="9" t="s">
        <v>12</v>
      </c>
      <c r="I3039" s="7" t="str">
        <f t="shared" si="188"/>
        <v>61001008000</v>
      </c>
      <c r="J3039" s="7" t="str">
        <f t="shared" si="189"/>
        <v>Материал по ЕГРН</v>
      </c>
      <c r="K3039" s="7">
        <f>VLOOKUP(J3039,Лист2!A$2:B$4,2,FALSE)</f>
        <v>792</v>
      </c>
      <c r="L3039" s="7" t="str">
        <f t="shared" si="190"/>
        <v>ГОТОВ_ИЗМЕНЕН</v>
      </c>
      <c r="M3039" s="7">
        <f t="shared" si="191"/>
        <v>0</v>
      </c>
    </row>
    <row r="3040" spans="1:13" x14ac:dyDescent="0.25">
      <c r="A3040" s="1">
        <v>944420</v>
      </c>
      <c r="B3040" s="6" t="s">
        <v>3180</v>
      </c>
      <c r="F3040" s="6" t="s">
        <v>9</v>
      </c>
      <c r="G3040" s="6" t="s">
        <v>38</v>
      </c>
      <c r="H3040" s="9" t="s">
        <v>33</v>
      </c>
      <c r="I3040" s="7" t="str">
        <f t="shared" si="188"/>
        <v>61001005000</v>
      </c>
      <c r="J3040" s="7" t="str">
        <f t="shared" si="189"/>
        <v>Материал по ЕГРН</v>
      </c>
      <c r="K3040" s="7">
        <f>VLOOKUP(J3040,Лист2!A$2:B$4,2,FALSE)</f>
        <v>792</v>
      </c>
      <c r="L3040" s="7" t="str">
        <f t="shared" si="190"/>
        <v>ГОТОВ_ИЗМЕНЕН</v>
      </c>
      <c r="M3040" s="7">
        <f t="shared" si="191"/>
        <v>0</v>
      </c>
    </row>
    <row r="3041" spans="1:13" x14ac:dyDescent="0.25">
      <c r="A3041" s="1">
        <v>944432</v>
      </c>
      <c r="B3041" s="6" t="s">
        <v>3181</v>
      </c>
      <c r="F3041" s="6" t="s">
        <v>9</v>
      </c>
      <c r="G3041" s="6" t="s">
        <v>38</v>
      </c>
      <c r="H3041" s="9" t="s">
        <v>33</v>
      </c>
      <c r="I3041" s="7" t="str">
        <f t="shared" si="188"/>
        <v>61001005000</v>
      </c>
      <c r="J3041" s="7" t="str">
        <f t="shared" si="189"/>
        <v>Материал по ЕГРН</v>
      </c>
      <c r="K3041" s="7">
        <f>VLOOKUP(J3041,Лист2!A$2:B$4,2,FALSE)</f>
        <v>792</v>
      </c>
      <c r="L3041" s="7" t="str">
        <f t="shared" si="190"/>
        <v>ГОТОВ_ИЗМЕНЕН</v>
      </c>
      <c r="M3041" s="7">
        <f t="shared" si="191"/>
        <v>0</v>
      </c>
    </row>
    <row r="3042" spans="1:13" x14ac:dyDescent="0.25">
      <c r="A3042" s="1">
        <v>944444</v>
      </c>
      <c r="B3042" s="6" t="s">
        <v>3182</v>
      </c>
      <c r="F3042" s="6" t="s">
        <v>9</v>
      </c>
      <c r="G3042" s="6" t="s">
        <v>59</v>
      </c>
      <c r="H3042" s="9" t="s">
        <v>60</v>
      </c>
      <c r="I3042" s="7" t="str">
        <f t="shared" si="188"/>
        <v>61001001001</v>
      </c>
      <c r="J3042" s="7" t="str">
        <f t="shared" si="189"/>
        <v>Материал по ЕГРН</v>
      </c>
      <c r="K3042" s="7">
        <f>VLOOKUP(J3042,Лист2!A$2:B$4,2,FALSE)</f>
        <v>792</v>
      </c>
      <c r="L3042" s="7" t="str">
        <f t="shared" si="190"/>
        <v>ГОТОВ_ИЗМЕНЕН</v>
      </c>
      <c r="M3042" s="7">
        <f t="shared" si="191"/>
        <v>0</v>
      </c>
    </row>
    <row r="3043" spans="1:13" x14ac:dyDescent="0.25">
      <c r="A3043" s="1">
        <v>944456</v>
      </c>
      <c r="B3043" s="6" t="s">
        <v>3183</v>
      </c>
      <c r="F3043" s="6" t="s">
        <v>9</v>
      </c>
      <c r="G3043" s="6" t="s">
        <v>146</v>
      </c>
      <c r="H3043" s="9" t="s">
        <v>147</v>
      </c>
      <c r="I3043" s="7" t="str">
        <f t="shared" si="188"/>
        <v>61001000000</v>
      </c>
      <c r="J3043" s="7" t="str">
        <f t="shared" si="189"/>
        <v>Материал по ЕГРН</v>
      </c>
      <c r="K3043" s="7">
        <f>VLOOKUP(J3043,Лист2!A$2:B$4,2,FALSE)</f>
        <v>792</v>
      </c>
      <c r="L3043" s="7" t="str">
        <f t="shared" si="190"/>
        <v>ГОТОВ_ИЗМЕНЕН</v>
      </c>
      <c r="M3043" s="7">
        <f t="shared" si="191"/>
        <v>0</v>
      </c>
    </row>
    <row r="3044" spans="1:13" x14ac:dyDescent="0.25">
      <c r="A3044" s="1">
        <v>944468</v>
      </c>
      <c r="B3044" s="6" t="s">
        <v>3184</v>
      </c>
      <c r="F3044" s="6" t="s">
        <v>9</v>
      </c>
      <c r="G3044" s="6" t="s">
        <v>34</v>
      </c>
      <c r="H3044" s="9" t="s">
        <v>35</v>
      </c>
      <c r="I3044" s="7" t="str">
        <f t="shared" si="188"/>
        <v>61001002000</v>
      </c>
      <c r="J3044" s="7" t="str">
        <f t="shared" si="189"/>
        <v>Материал по ЕГРН</v>
      </c>
      <c r="K3044" s="7">
        <f>VLOOKUP(J3044,Лист2!A$2:B$4,2,FALSE)</f>
        <v>792</v>
      </c>
      <c r="L3044" s="7" t="str">
        <f t="shared" si="190"/>
        <v>ГОТОВ_ИЗМЕНЕН</v>
      </c>
      <c r="M3044" s="7">
        <f t="shared" si="191"/>
        <v>0</v>
      </c>
    </row>
    <row r="3045" spans="1:13" x14ac:dyDescent="0.25">
      <c r="A3045" s="1">
        <v>944480</v>
      </c>
      <c r="B3045" s="6" t="s">
        <v>3185</v>
      </c>
      <c r="F3045" s="6" t="s">
        <v>9</v>
      </c>
      <c r="G3045" s="6" t="s">
        <v>62</v>
      </c>
      <c r="H3045" s="9" t="s">
        <v>63</v>
      </c>
      <c r="I3045" s="7" t="str">
        <f t="shared" si="188"/>
        <v>61001006002</v>
      </c>
      <c r="J3045" s="7" t="str">
        <f t="shared" si="189"/>
        <v>Материал по ЕГРН</v>
      </c>
      <c r="K3045" s="7">
        <f>VLOOKUP(J3045,Лист2!A$2:B$4,2,FALSE)</f>
        <v>792</v>
      </c>
      <c r="L3045" s="7" t="str">
        <f t="shared" si="190"/>
        <v>ГОТОВ_ИЗМЕНЕН</v>
      </c>
      <c r="M3045" s="7">
        <f t="shared" si="191"/>
        <v>0</v>
      </c>
    </row>
    <row r="3046" spans="1:13" x14ac:dyDescent="0.25">
      <c r="A3046" s="1">
        <v>944492</v>
      </c>
      <c r="B3046" s="6" t="s">
        <v>3186</v>
      </c>
      <c r="F3046" s="6" t="s">
        <v>9</v>
      </c>
      <c r="G3046" s="6" t="s">
        <v>38</v>
      </c>
      <c r="H3046" s="9" t="s">
        <v>33</v>
      </c>
      <c r="I3046" s="7" t="str">
        <f t="shared" si="188"/>
        <v>61001005000</v>
      </c>
      <c r="J3046" s="7" t="str">
        <f t="shared" si="189"/>
        <v>Материал по ЕГРН</v>
      </c>
      <c r="K3046" s="7">
        <f>VLOOKUP(J3046,Лист2!A$2:B$4,2,FALSE)</f>
        <v>792</v>
      </c>
      <c r="L3046" s="7" t="str">
        <f t="shared" si="190"/>
        <v>ГОТОВ_ИЗМЕНЕН</v>
      </c>
      <c r="M3046" s="7">
        <f t="shared" si="191"/>
        <v>0</v>
      </c>
    </row>
    <row r="3047" spans="1:13" x14ac:dyDescent="0.25">
      <c r="A3047" s="1">
        <v>944504</v>
      </c>
      <c r="B3047" s="6" t="s">
        <v>3187</v>
      </c>
      <c r="F3047" s="6" t="s">
        <v>9</v>
      </c>
      <c r="G3047" s="6" t="s">
        <v>90</v>
      </c>
      <c r="H3047" s="9" t="s">
        <v>12</v>
      </c>
      <c r="I3047" s="7" t="str">
        <f t="shared" si="188"/>
        <v>61001008000</v>
      </c>
      <c r="J3047" s="7" t="str">
        <f t="shared" si="189"/>
        <v>Материал по ЕГРН</v>
      </c>
      <c r="K3047" s="7">
        <f>VLOOKUP(J3047,Лист2!A$2:B$4,2,FALSE)</f>
        <v>792</v>
      </c>
      <c r="L3047" s="7" t="str">
        <f t="shared" si="190"/>
        <v>ГОТОВ_ИЗМЕНЕН</v>
      </c>
      <c r="M3047" s="7">
        <f t="shared" si="191"/>
        <v>0</v>
      </c>
    </row>
    <row r="3048" spans="1:13" x14ac:dyDescent="0.25">
      <c r="A3048" s="1">
        <v>944516</v>
      </c>
      <c r="B3048" s="6" t="s">
        <v>3188</v>
      </c>
      <c r="F3048" s="6" t="s">
        <v>9</v>
      </c>
      <c r="G3048" s="6" t="s">
        <v>38</v>
      </c>
      <c r="H3048" s="9" t="s">
        <v>33</v>
      </c>
      <c r="I3048" s="7" t="str">
        <f t="shared" si="188"/>
        <v>61001005000</v>
      </c>
      <c r="J3048" s="7" t="str">
        <f t="shared" si="189"/>
        <v>Материал по ЕГРН</v>
      </c>
      <c r="K3048" s="7">
        <f>VLOOKUP(J3048,Лист2!A$2:B$4,2,FALSE)</f>
        <v>792</v>
      </c>
      <c r="L3048" s="7" t="str">
        <f t="shared" si="190"/>
        <v>ГОТОВ_ИЗМЕНЕН</v>
      </c>
      <c r="M3048" s="7">
        <f t="shared" si="191"/>
        <v>0</v>
      </c>
    </row>
    <row r="3049" spans="1:13" x14ac:dyDescent="0.25">
      <c r="A3049" s="1">
        <v>944528</v>
      </c>
      <c r="B3049" s="6" t="s">
        <v>3189</v>
      </c>
      <c r="F3049" s="6" t="s">
        <v>9</v>
      </c>
      <c r="G3049" s="6" t="s">
        <v>139</v>
      </c>
      <c r="H3049" s="9" t="s">
        <v>140</v>
      </c>
      <c r="I3049" s="7" t="str">
        <f t="shared" si="188"/>
        <v>61001999000</v>
      </c>
      <c r="J3049" s="7" t="str">
        <f t="shared" si="189"/>
        <v>Материал по ЕГРН</v>
      </c>
      <c r="K3049" s="7">
        <f>VLOOKUP(J3049,Лист2!A$2:B$4,2,FALSE)</f>
        <v>792</v>
      </c>
      <c r="L3049" s="7" t="str">
        <f t="shared" si="190"/>
        <v>ГОТОВ_ИЗМЕНЕН</v>
      </c>
      <c r="M3049" s="7">
        <f t="shared" si="191"/>
        <v>0</v>
      </c>
    </row>
    <row r="3050" spans="1:13" x14ac:dyDescent="0.25">
      <c r="A3050" s="1">
        <v>944540</v>
      </c>
      <c r="B3050" s="6" t="s">
        <v>3190</v>
      </c>
      <c r="F3050" s="6" t="s">
        <v>9</v>
      </c>
      <c r="G3050" s="6" t="s">
        <v>38</v>
      </c>
      <c r="H3050" s="9" t="s">
        <v>33</v>
      </c>
      <c r="I3050" s="7" t="str">
        <f t="shared" si="188"/>
        <v>61001005000</v>
      </c>
      <c r="J3050" s="7" t="str">
        <f t="shared" si="189"/>
        <v>Материал по ЕГРН</v>
      </c>
      <c r="K3050" s="7">
        <f>VLOOKUP(J3050,Лист2!A$2:B$4,2,FALSE)</f>
        <v>792</v>
      </c>
      <c r="L3050" s="7" t="str">
        <f t="shared" si="190"/>
        <v>ГОТОВ_ИЗМЕНЕН</v>
      </c>
      <c r="M3050" s="7">
        <f t="shared" si="191"/>
        <v>0</v>
      </c>
    </row>
    <row r="3051" spans="1:13" x14ac:dyDescent="0.25">
      <c r="A3051" s="1">
        <v>944552</v>
      </c>
      <c r="B3051" s="6" t="s">
        <v>3191</v>
      </c>
      <c r="F3051" s="6" t="s">
        <v>9</v>
      </c>
      <c r="G3051" s="6" t="s">
        <v>38</v>
      </c>
      <c r="H3051" s="9" t="s">
        <v>33</v>
      </c>
      <c r="I3051" s="7" t="str">
        <f t="shared" si="188"/>
        <v>61001005000</v>
      </c>
      <c r="J3051" s="7" t="str">
        <f t="shared" si="189"/>
        <v>Материал по ЕГРН</v>
      </c>
      <c r="K3051" s="7">
        <f>VLOOKUP(J3051,Лист2!A$2:B$4,2,FALSE)</f>
        <v>792</v>
      </c>
      <c r="L3051" s="7" t="str">
        <f t="shared" si="190"/>
        <v>ГОТОВ_ИЗМЕНЕН</v>
      </c>
      <c r="M3051" s="7">
        <f t="shared" si="191"/>
        <v>0</v>
      </c>
    </row>
    <row r="3052" spans="1:13" x14ac:dyDescent="0.25">
      <c r="A3052" s="1">
        <v>944564</v>
      </c>
      <c r="B3052" s="6" t="s">
        <v>3192</v>
      </c>
      <c r="F3052" s="6" t="s">
        <v>9</v>
      </c>
      <c r="G3052" s="6" t="s">
        <v>34</v>
      </c>
      <c r="H3052" s="9" t="s">
        <v>35</v>
      </c>
      <c r="I3052" s="7" t="str">
        <f t="shared" si="188"/>
        <v>61001002000</v>
      </c>
      <c r="J3052" s="7" t="str">
        <f t="shared" si="189"/>
        <v>Материал по ЕГРН</v>
      </c>
      <c r="K3052" s="7">
        <f>VLOOKUP(J3052,Лист2!A$2:B$4,2,FALSE)</f>
        <v>792</v>
      </c>
      <c r="L3052" s="7" t="str">
        <f t="shared" si="190"/>
        <v>ГОТОВ_ИЗМЕНЕН</v>
      </c>
      <c r="M3052" s="7">
        <f t="shared" si="191"/>
        <v>0</v>
      </c>
    </row>
    <row r="3053" spans="1:13" x14ac:dyDescent="0.25">
      <c r="A3053" s="1">
        <v>944576</v>
      </c>
      <c r="B3053" s="6" t="s">
        <v>3193</v>
      </c>
      <c r="F3053" s="6" t="s">
        <v>9</v>
      </c>
      <c r="G3053" s="6" t="s">
        <v>62</v>
      </c>
      <c r="H3053" s="9" t="s">
        <v>63</v>
      </c>
      <c r="I3053" s="7" t="str">
        <f t="shared" si="188"/>
        <v>61001006002</v>
      </c>
      <c r="J3053" s="7" t="str">
        <f t="shared" si="189"/>
        <v>Материал по ЕГРН</v>
      </c>
      <c r="K3053" s="7">
        <f>VLOOKUP(J3053,Лист2!A$2:B$4,2,FALSE)</f>
        <v>792</v>
      </c>
      <c r="L3053" s="7" t="str">
        <f t="shared" si="190"/>
        <v>ГОТОВ_ИЗМЕНЕН</v>
      </c>
      <c r="M3053" s="7">
        <f t="shared" si="191"/>
        <v>0</v>
      </c>
    </row>
    <row r="3054" spans="1:13" x14ac:dyDescent="0.25">
      <c r="A3054" s="1">
        <v>944588</v>
      </c>
      <c r="B3054" s="6" t="s">
        <v>3194</v>
      </c>
      <c r="F3054" s="6" t="s">
        <v>9</v>
      </c>
      <c r="G3054" s="6" t="s">
        <v>34</v>
      </c>
      <c r="H3054" s="9" t="s">
        <v>35</v>
      </c>
      <c r="I3054" s="7" t="str">
        <f t="shared" si="188"/>
        <v>61001002000</v>
      </c>
      <c r="J3054" s="7" t="str">
        <f t="shared" si="189"/>
        <v>Материал по ЕГРН</v>
      </c>
      <c r="K3054" s="7">
        <f>VLOOKUP(J3054,Лист2!A$2:B$4,2,FALSE)</f>
        <v>792</v>
      </c>
      <c r="L3054" s="7" t="str">
        <f t="shared" si="190"/>
        <v>ГОТОВ_ИЗМЕНЕН</v>
      </c>
      <c r="M3054" s="7">
        <f t="shared" si="191"/>
        <v>0</v>
      </c>
    </row>
    <row r="3055" spans="1:13" x14ac:dyDescent="0.25">
      <c r="A3055" s="1">
        <v>944600</v>
      </c>
      <c r="B3055" s="6" t="s">
        <v>3195</v>
      </c>
      <c r="F3055" s="6" t="s">
        <v>9</v>
      </c>
      <c r="G3055" s="6" t="s">
        <v>34</v>
      </c>
      <c r="H3055" s="9" t="s">
        <v>35</v>
      </c>
      <c r="I3055" s="7" t="str">
        <f t="shared" si="188"/>
        <v>61001002000</v>
      </c>
      <c r="J3055" s="7" t="str">
        <f t="shared" si="189"/>
        <v>Материал по ЕГРН</v>
      </c>
      <c r="K3055" s="7">
        <f>VLOOKUP(J3055,Лист2!A$2:B$4,2,FALSE)</f>
        <v>792</v>
      </c>
      <c r="L3055" s="7" t="str">
        <f t="shared" si="190"/>
        <v>ГОТОВ_ИЗМЕНЕН</v>
      </c>
      <c r="M3055" s="7">
        <f t="shared" si="191"/>
        <v>0</v>
      </c>
    </row>
    <row r="3056" spans="1:13" x14ac:dyDescent="0.25">
      <c r="A3056" s="1">
        <v>944612</v>
      </c>
      <c r="B3056" s="6" t="s">
        <v>3196</v>
      </c>
      <c r="F3056" s="6" t="s">
        <v>9</v>
      </c>
      <c r="G3056" s="6" t="s">
        <v>34</v>
      </c>
      <c r="H3056" s="9" t="s">
        <v>35</v>
      </c>
      <c r="I3056" s="7" t="str">
        <f t="shared" si="188"/>
        <v>61001002000</v>
      </c>
      <c r="J3056" s="7" t="str">
        <f t="shared" si="189"/>
        <v>Материал по ЕГРН</v>
      </c>
      <c r="K3056" s="7">
        <f>VLOOKUP(J3056,Лист2!A$2:B$4,2,FALSE)</f>
        <v>792</v>
      </c>
      <c r="L3056" s="7" t="str">
        <f t="shared" si="190"/>
        <v>ГОТОВ_ИЗМЕНЕН</v>
      </c>
      <c r="M3056" s="7">
        <f t="shared" si="191"/>
        <v>0</v>
      </c>
    </row>
    <row r="3057" spans="1:13" x14ac:dyDescent="0.25">
      <c r="A3057" s="1">
        <v>944624</v>
      </c>
      <c r="B3057" s="6" t="s">
        <v>3197</v>
      </c>
      <c r="F3057" s="6" t="s">
        <v>9</v>
      </c>
      <c r="G3057" s="6" t="s">
        <v>34</v>
      </c>
      <c r="H3057" s="9" t="s">
        <v>35</v>
      </c>
      <c r="I3057" s="7" t="str">
        <f t="shared" si="188"/>
        <v>61001002000</v>
      </c>
      <c r="J3057" s="7" t="str">
        <f t="shared" si="189"/>
        <v>Материал по ЕГРН</v>
      </c>
      <c r="K3057" s="7">
        <f>VLOOKUP(J3057,Лист2!A$2:B$4,2,FALSE)</f>
        <v>792</v>
      </c>
      <c r="L3057" s="7" t="str">
        <f t="shared" si="190"/>
        <v>ГОТОВ_ИЗМЕНЕН</v>
      </c>
      <c r="M3057" s="7">
        <f t="shared" si="191"/>
        <v>0</v>
      </c>
    </row>
    <row r="3058" spans="1:13" x14ac:dyDescent="0.25">
      <c r="A3058" s="1">
        <v>944636</v>
      </c>
      <c r="B3058" s="6" t="s">
        <v>3198</v>
      </c>
      <c r="F3058" s="6" t="s">
        <v>9</v>
      </c>
      <c r="G3058" s="6" t="s">
        <v>43</v>
      </c>
      <c r="H3058" s="9" t="s">
        <v>42</v>
      </c>
      <c r="I3058" s="7" t="str">
        <f t="shared" si="188"/>
        <v>61001002001</v>
      </c>
      <c r="J3058" s="7" t="str">
        <f t="shared" si="189"/>
        <v>Материал по ЕГРН</v>
      </c>
      <c r="K3058" s="7">
        <f>VLOOKUP(J3058,Лист2!A$2:B$4,2,FALSE)</f>
        <v>792</v>
      </c>
      <c r="L3058" s="7" t="str">
        <f t="shared" si="190"/>
        <v>ГОТОВ_ИЗМЕНЕН</v>
      </c>
      <c r="M3058" s="7">
        <f t="shared" si="191"/>
        <v>0</v>
      </c>
    </row>
    <row r="3059" spans="1:13" x14ac:dyDescent="0.25">
      <c r="A3059" s="1">
        <v>945820</v>
      </c>
      <c r="B3059" s="6" t="s">
        <v>3199</v>
      </c>
      <c r="F3059" s="6" t="s">
        <v>9</v>
      </c>
      <c r="G3059" s="6" t="s">
        <v>62</v>
      </c>
      <c r="H3059" s="9" t="s">
        <v>63</v>
      </c>
      <c r="I3059" s="7" t="str">
        <f t="shared" si="188"/>
        <v>61001006002</v>
      </c>
      <c r="J3059" s="7" t="str">
        <f t="shared" si="189"/>
        <v>Материал по ЕГРН</v>
      </c>
      <c r="K3059" s="7">
        <f>VLOOKUP(J3059,Лист2!A$2:B$4,2,FALSE)</f>
        <v>792</v>
      </c>
      <c r="L3059" s="7" t="str">
        <f t="shared" si="190"/>
        <v>ГОТОВ_ИЗМЕНЕН</v>
      </c>
      <c r="M3059" s="7">
        <f t="shared" si="191"/>
        <v>0</v>
      </c>
    </row>
    <row r="3060" spans="1:13" x14ac:dyDescent="0.25">
      <c r="A3060" s="1">
        <v>945832</v>
      </c>
      <c r="B3060" s="6" t="s">
        <v>3200</v>
      </c>
      <c r="F3060" s="6" t="s">
        <v>9</v>
      </c>
      <c r="G3060" s="6" t="s">
        <v>10</v>
      </c>
      <c r="H3060" s="9" t="s">
        <v>11</v>
      </c>
      <c r="I3060" s="7" t="str">
        <f t="shared" si="188"/>
        <v>61001003000</v>
      </c>
      <c r="J3060" s="7" t="str">
        <f t="shared" si="189"/>
        <v>Материал по ЕГРН</v>
      </c>
      <c r="K3060" s="7">
        <f>VLOOKUP(J3060,Лист2!A$2:B$4,2,FALSE)</f>
        <v>792</v>
      </c>
      <c r="L3060" s="7" t="str">
        <f t="shared" si="190"/>
        <v>ГОТОВ_ИЗМЕНЕН</v>
      </c>
      <c r="M3060" s="7">
        <f t="shared" si="191"/>
        <v>0</v>
      </c>
    </row>
    <row r="3061" spans="1:13" x14ac:dyDescent="0.25">
      <c r="A3061" s="1">
        <v>945844</v>
      </c>
      <c r="B3061" s="6" t="s">
        <v>3201</v>
      </c>
      <c r="F3061" s="6" t="s">
        <v>9</v>
      </c>
      <c r="G3061" s="6" t="s">
        <v>10</v>
      </c>
      <c r="H3061" s="9" t="s">
        <v>11</v>
      </c>
      <c r="I3061" s="7" t="str">
        <f t="shared" si="188"/>
        <v>61001003000</v>
      </c>
      <c r="J3061" s="7" t="str">
        <f t="shared" si="189"/>
        <v>Материал по ЕГРН</v>
      </c>
      <c r="K3061" s="7">
        <f>VLOOKUP(J3061,Лист2!A$2:B$4,2,FALSE)</f>
        <v>792</v>
      </c>
      <c r="L3061" s="7" t="str">
        <f t="shared" si="190"/>
        <v>ГОТОВ_ИЗМЕНЕН</v>
      </c>
      <c r="M3061" s="7">
        <f t="shared" si="191"/>
        <v>0</v>
      </c>
    </row>
    <row r="3062" spans="1:13" x14ac:dyDescent="0.25">
      <c r="A3062" s="1">
        <v>945856</v>
      </c>
      <c r="B3062" s="6" t="s">
        <v>3202</v>
      </c>
      <c r="F3062" s="6" t="s">
        <v>9</v>
      </c>
      <c r="G3062" s="6" t="s">
        <v>34</v>
      </c>
      <c r="H3062" s="9" t="s">
        <v>35</v>
      </c>
      <c r="I3062" s="7" t="str">
        <f t="shared" si="188"/>
        <v>61001002000</v>
      </c>
      <c r="J3062" s="7" t="str">
        <f t="shared" si="189"/>
        <v>Материал по ЕГРН</v>
      </c>
      <c r="K3062" s="7">
        <f>VLOOKUP(J3062,Лист2!A$2:B$4,2,FALSE)</f>
        <v>792</v>
      </c>
      <c r="L3062" s="7" t="str">
        <f t="shared" si="190"/>
        <v>ГОТОВ_ИЗМЕНЕН</v>
      </c>
      <c r="M3062" s="7">
        <f t="shared" si="191"/>
        <v>0</v>
      </c>
    </row>
    <row r="3063" spans="1:13" x14ac:dyDescent="0.25">
      <c r="A3063" s="1">
        <v>945868</v>
      </c>
      <c r="B3063" s="6" t="s">
        <v>3203</v>
      </c>
      <c r="F3063" s="6" t="s">
        <v>9</v>
      </c>
      <c r="G3063" s="6" t="s">
        <v>34</v>
      </c>
      <c r="H3063" s="9" t="s">
        <v>35</v>
      </c>
      <c r="I3063" s="7" t="str">
        <f t="shared" si="188"/>
        <v>61001002000</v>
      </c>
      <c r="J3063" s="7" t="str">
        <f t="shared" si="189"/>
        <v>Материал по ЕГРН</v>
      </c>
      <c r="K3063" s="7">
        <f>VLOOKUP(J3063,Лист2!A$2:B$4,2,FALSE)</f>
        <v>792</v>
      </c>
      <c r="L3063" s="7" t="str">
        <f t="shared" si="190"/>
        <v>ГОТОВ_ИЗМЕНЕН</v>
      </c>
      <c r="M3063" s="7">
        <f t="shared" si="191"/>
        <v>0</v>
      </c>
    </row>
    <row r="3064" spans="1:13" x14ac:dyDescent="0.25">
      <c r="A3064" s="1">
        <v>945880</v>
      </c>
      <c r="B3064" s="6" t="s">
        <v>3204</v>
      </c>
      <c r="F3064" s="6" t="s">
        <v>9</v>
      </c>
      <c r="G3064" s="6" t="s">
        <v>10</v>
      </c>
      <c r="H3064" s="9" t="s">
        <v>11</v>
      </c>
      <c r="I3064" s="7" t="str">
        <f t="shared" si="188"/>
        <v>61001003000</v>
      </c>
      <c r="J3064" s="7" t="str">
        <f t="shared" si="189"/>
        <v>Материал по ЕГРН</v>
      </c>
      <c r="K3064" s="7">
        <f>VLOOKUP(J3064,Лист2!A$2:B$4,2,FALSE)</f>
        <v>792</v>
      </c>
      <c r="L3064" s="7" t="str">
        <f t="shared" si="190"/>
        <v>ГОТОВ_ИЗМЕНЕН</v>
      </c>
      <c r="M3064" s="7">
        <f t="shared" si="191"/>
        <v>0</v>
      </c>
    </row>
    <row r="3065" spans="1:13" x14ac:dyDescent="0.25">
      <c r="A3065" s="1">
        <v>945892</v>
      </c>
      <c r="B3065" s="6" t="s">
        <v>3205</v>
      </c>
      <c r="F3065" s="6" t="s">
        <v>9</v>
      </c>
      <c r="G3065" s="6" t="s">
        <v>62</v>
      </c>
      <c r="H3065" s="9" t="s">
        <v>63</v>
      </c>
      <c r="I3065" s="7" t="str">
        <f t="shared" si="188"/>
        <v>61001006002</v>
      </c>
      <c r="J3065" s="7" t="str">
        <f t="shared" si="189"/>
        <v>Материал по ЕГРН</v>
      </c>
      <c r="K3065" s="7">
        <f>VLOOKUP(J3065,Лист2!A$2:B$4,2,FALSE)</f>
        <v>792</v>
      </c>
      <c r="L3065" s="7" t="str">
        <f t="shared" si="190"/>
        <v>ГОТОВ_ИЗМЕНЕН</v>
      </c>
      <c r="M3065" s="7">
        <f t="shared" si="191"/>
        <v>0</v>
      </c>
    </row>
    <row r="3066" spans="1:13" x14ac:dyDescent="0.25">
      <c r="A3066" s="1">
        <v>945904</v>
      </c>
      <c r="B3066" s="6" t="s">
        <v>3206</v>
      </c>
      <c r="F3066" s="6" t="s">
        <v>9</v>
      </c>
      <c r="G3066" s="6" t="s">
        <v>59</v>
      </c>
      <c r="H3066" s="9" t="s">
        <v>60</v>
      </c>
      <c r="I3066" s="7" t="str">
        <f t="shared" si="188"/>
        <v>61001001001</v>
      </c>
      <c r="J3066" s="7" t="str">
        <f t="shared" si="189"/>
        <v>Материал по ЕГРН</v>
      </c>
      <c r="K3066" s="7">
        <f>VLOOKUP(J3066,Лист2!A$2:B$4,2,FALSE)</f>
        <v>792</v>
      </c>
      <c r="L3066" s="7" t="str">
        <f t="shared" si="190"/>
        <v>ГОТОВ_ИЗМЕНЕН</v>
      </c>
      <c r="M3066" s="7">
        <f t="shared" si="191"/>
        <v>0</v>
      </c>
    </row>
    <row r="3067" spans="1:13" x14ac:dyDescent="0.25">
      <c r="A3067" s="1">
        <v>945916</v>
      </c>
      <c r="B3067" s="6" t="s">
        <v>3207</v>
      </c>
      <c r="F3067" s="6" t="s">
        <v>9</v>
      </c>
      <c r="G3067" s="6" t="s">
        <v>38</v>
      </c>
      <c r="H3067" s="9" t="s">
        <v>33</v>
      </c>
      <c r="I3067" s="7" t="str">
        <f t="shared" si="188"/>
        <v>61001005000</v>
      </c>
      <c r="J3067" s="7" t="str">
        <f t="shared" si="189"/>
        <v>Материал по ЕГРН</v>
      </c>
      <c r="K3067" s="7">
        <f>VLOOKUP(J3067,Лист2!A$2:B$4,2,FALSE)</f>
        <v>792</v>
      </c>
      <c r="L3067" s="7" t="str">
        <f t="shared" si="190"/>
        <v>ГОТОВ_ИЗМЕНЕН</v>
      </c>
      <c r="M3067" s="7">
        <f t="shared" si="191"/>
        <v>0</v>
      </c>
    </row>
    <row r="3068" spans="1:13" x14ac:dyDescent="0.25">
      <c r="A3068" s="1">
        <v>945928</v>
      </c>
      <c r="B3068" s="6" t="s">
        <v>3208</v>
      </c>
      <c r="F3068" s="6" t="s">
        <v>9</v>
      </c>
      <c r="G3068" s="6" t="s">
        <v>38</v>
      </c>
      <c r="H3068" s="9" t="s">
        <v>33</v>
      </c>
      <c r="I3068" s="7" t="str">
        <f t="shared" si="188"/>
        <v>61001005000</v>
      </c>
      <c r="J3068" s="7" t="str">
        <f t="shared" si="189"/>
        <v>Материал по ЕГРН</v>
      </c>
      <c r="K3068" s="7">
        <f>VLOOKUP(J3068,Лист2!A$2:B$4,2,FALSE)</f>
        <v>792</v>
      </c>
      <c r="L3068" s="7" t="str">
        <f t="shared" si="190"/>
        <v>ГОТОВ_ИЗМЕНЕН</v>
      </c>
      <c r="M3068" s="7">
        <f t="shared" si="191"/>
        <v>0</v>
      </c>
    </row>
    <row r="3069" spans="1:13" x14ac:dyDescent="0.25">
      <c r="A3069" s="1">
        <v>945940</v>
      </c>
      <c r="B3069" s="6" t="s">
        <v>3209</v>
      </c>
      <c r="F3069" s="6" t="s">
        <v>9</v>
      </c>
      <c r="G3069" s="6" t="s">
        <v>59</v>
      </c>
      <c r="H3069" s="9" t="s">
        <v>60</v>
      </c>
      <c r="I3069" s="7" t="str">
        <f t="shared" si="188"/>
        <v>61001001001</v>
      </c>
      <c r="J3069" s="7" t="str">
        <f t="shared" si="189"/>
        <v>Материал по ЕГРН</v>
      </c>
      <c r="K3069" s="7">
        <f>VLOOKUP(J3069,Лист2!A$2:B$4,2,FALSE)</f>
        <v>792</v>
      </c>
      <c r="L3069" s="7" t="str">
        <f t="shared" si="190"/>
        <v>ГОТОВ_ИЗМЕНЕН</v>
      </c>
      <c r="M3069" s="7">
        <f t="shared" si="191"/>
        <v>0</v>
      </c>
    </row>
    <row r="3070" spans="1:13" x14ac:dyDescent="0.25">
      <c r="A3070" s="1">
        <v>945952</v>
      </c>
      <c r="B3070" s="6" t="s">
        <v>3210</v>
      </c>
      <c r="F3070" s="6" t="s">
        <v>9</v>
      </c>
      <c r="G3070" s="6" t="s">
        <v>62</v>
      </c>
      <c r="H3070" s="9" t="s">
        <v>63</v>
      </c>
      <c r="I3070" s="7" t="str">
        <f t="shared" si="188"/>
        <v>61001006002</v>
      </c>
      <c r="J3070" s="7" t="str">
        <f t="shared" si="189"/>
        <v>Материал по ЕГРН</v>
      </c>
      <c r="K3070" s="7">
        <f>VLOOKUP(J3070,Лист2!A$2:B$4,2,FALSE)</f>
        <v>792</v>
      </c>
      <c r="L3070" s="7" t="str">
        <f t="shared" si="190"/>
        <v>ГОТОВ_ИЗМЕНЕН</v>
      </c>
      <c r="M3070" s="7">
        <f t="shared" si="191"/>
        <v>0</v>
      </c>
    </row>
    <row r="3071" spans="1:13" x14ac:dyDescent="0.25">
      <c r="A3071" s="1">
        <v>945964</v>
      </c>
      <c r="B3071" s="6" t="s">
        <v>3211</v>
      </c>
      <c r="F3071" s="6" t="s">
        <v>9</v>
      </c>
      <c r="G3071" s="6" t="s">
        <v>38</v>
      </c>
      <c r="H3071" s="9" t="s">
        <v>33</v>
      </c>
      <c r="I3071" s="7" t="str">
        <f t="shared" si="188"/>
        <v>61001005000</v>
      </c>
      <c r="J3071" s="7" t="str">
        <f t="shared" si="189"/>
        <v>Материал по ЕГРН</v>
      </c>
      <c r="K3071" s="7">
        <f>VLOOKUP(J3071,Лист2!A$2:B$4,2,FALSE)</f>
        <v>792</v>
      </c>
      <c r="L3071" s="7" t="str">
        <f t="shared" si="190"/>
        <v>ГОТОВ_ИЗМЕНЕН</v>
      </c>
      <c r="M3071" s="7">
        <f t="shared" si="191"/>
        <v>0</v>
      </c>
    </row>
    <row r="3072" spans="1:13" x14ac:dyDescent="0.25">
      <c r="A3072" s="1">
        <v>945976</v>
      </c>
      <c r="B3072" s="6" t="s">
        <v>3212</v>
      </c>
      <c r="F3072" s="6" t="s">
        <v>9</v>
      </c>
      <c r="G3072" s="6" t="s">
        <v>62</v>
      </c>
      <c r="H3072" s="9" t="s">
        <v>63</v>
      </c>
      <c r="I3072" s="7" t="str">
        <f t="shared" si="188"/>
        <v>61001006002</v>
      </c>
      <c r="J3072" s="7" t="str">
        <f t="shared" si="189"/>
        <v>Материал по ЕГРН</v>
      </c>
      <c r="K3072" s="7">
        <f>VLOOKUP(J3072,Лист2!A$2:B$4,2,FALSE)</f>
        <v>792</v>
      </c>
      <c r="L3072" s="7" t="str">
        <f t="shared" si="190"/>
        <v>ГОТОВ_ИЗМЕНЕН</v>
      </c>
      <c r="M3072" s="7">
        <f t="shared" si="191"/>
        <v>0</v>
      </c>
    </row>
    <row r="3073" spans="1:13" x14ac:dyDescent="0.25">
      <c r="A3073" s="1">
        <v>945988</v>
      </c>
      <c r="B3073" s="6" t="s">
        <v>3213</v>
      </c>
      <c r="F3073" s="6" t="s">
        <v>9</v>
      </c>
      <c r="G3073" s="6" t="s">
        <v>38</v>
      </c>
      <c r="H3073" s="9" t="s">
        <v>33</v>
      </c>
      <c r="I3073" s="7" t="str">
        <f t="shared" si="188"/>
        <v>61001005000</v>
      </c>
      <c r="J3073" s="7" t="str">
        <f t="shared" si="189"/>
        <v>Материал по ЕГРН</v>
      </c>
      <c r="K3073" s="7">
        <f>VLOOKUP(J3073,Лист2!A$2:B$4,2,FALSE)</f>
        <v>792</v>
      </c>
      <c r="L3073" s="7" t="str">
        <f t="shared" si="190"/>
        <v>ГОТОВ_ИЗМЕНЕН</v>
      </c>
      <c r="M3073" s="7">
        <f t="shared" si="191"/>
        <v>0</v>
      </c>
    </row>
    <row r="3074" spans="1:13" x14ac:dyDescent="0.25">
      <c r="A3074" s="1">
        <v>946000</v>
      </c>
      <c r="B3074" s="6" t="s">
        <v>3214</v>
      </c>
      <c r="F3074" s="6" t="s">
        <v>9</v>
      </c>
      <c r="G3074" s="6" t="s">
        <v>34</v>
      </c>
      <c r="H3074" s="9" t="s">
        <v>35</v>
      </c>
      <c r="I3074" s="7" t="str">
        <f t="shared" si="188"/>
        <v>61001002000</v>
      </c>
      <c r="J3074" s="7" t="str">
        <f t="shared" si="189"/>
        <v>Материал по ЕГРН</v>
      </c>
      <c r="K3074" s="7">
        <f>VLOOKUP(J3074,Лист2!A$2:B$4,2,FALSE)</f>
        <v>792</v>
      </c>
      <c r="L3074" s="7" t="str">
        <f t="shared" si="190"/>
        <v>ГОТОВ_ИЗМЕНЕН</v>
      </c>
      <c r="M3074" s="7">
        <f t="shared" si="191"/>
        <v>0</v>
      </c>
    </row>
    <row r="3075" spans="1:13" x14ac:dyDescent="0.25">
      <c r="A3075" s="1">
        <v>946012</v>
      </c>
      <c r="B3075" s="6" t="s">
        <v>3215</v>
      </c>
      <c r="F3075" s="6" t="s">
        <v>9</v>
      </c>
      <c r="G3075" s="6" t="s">
        <v>38</v>
      </c>
      <c r="H3075" s="9" t="s">
        <v>33</v>
      </c>
      <c r="I3075" s="7" t="str">
        <f t="shared" si="188"/>
        <v>61001005000</v>
      </c>
      <c r="J3075" s="7" t="str">
        <f t="shared" si="189"/>
        <v>Материал по ЕГРН</v>
      </c>
      <c r="K3075" s="7">
        <f>VLOOKUP(J3075,Лист2!A$2:B$4,2,FALSE)</f>
        <v>792</v>
      </c>
      <c r="L3075" s="7" t="str">
        <f t="shared" si="190"/>
        <v>ГОТОВ_ИЗМЕНЕН</v>
      </c>
      <c r="M3075" s="7">
        <f t="shared" si="191"/>
        <v>0</v>
      </c>
    </row>
    <row r="3076" spans="1:13" x14ac:dyDescent="0.25">
      <c r="A3076" s="1">
        <v>946024</v>
      </c>
      <c r="B3076" s="6" t="s">
        <v>3216</v>
      </c>
      <c r="F3076" s="6" t="s">
        <v>9</v>
      </c>
      <c r="G3076" s="6" t="s">
        <v>34</v>
      </c>
      <c r="H3076" s="9" t="s">
        <v>35</v>
      </c>
      <c r="I3076" s="7" t="str">
        <f t="shared" si="188"/>
        <v>61001002000</v>
      </c>
      <c r="J3076" s="7" t="str">
        <f t="shared" si="189"/>
        <v>Материал по ЕГРН</v>
      </c>
      <c r="K3076" s="7">
        <f>VLOOKUP(J3076,Лист2!A$2:B$4,2,FALSE)</f>
        <v>792</v>
      </c>
      <c r="L3076" s="7" t="str">
        <f t="shared" si="190"/>
        <v>ГОТОВ_ИЗМЕНЕН</v>
      </c>
      <c r="M3076" s="7">
        <f t="shared" si="191"/>
        <v>0</v>
      </c>
    </row>
    <row r="3077" spans="1:13" x14ac:dyDescent="0.25">
      <c r="A3077" s="1">
        <v>946036</v>
      </c>
      <c r="B3077" s="6" t="s">
        <v>3217</v>
      </c>
      <c r="F3077" s="6" t="s">
        <v>9</v>
      </c>
      <c r="G3077" s="6" t="s">
        <v>38</v>
      </c>
      <c r="H3077" s="9" t="s">
        <v>33</v>
      </c>
      <c r="I3077" s="7" t="str">
        <f t="shared" ref="I3077:I3140" si="192">IF(LEN(H3077)=11,H3077,IF(LEN(H3077)=0,"61001005000","61001003000"))</f>
        <v>61001005000</v>
      </c>
      <c r="J3077" s="7" t="str">
        <f t="shared" ref="J3077:J3140" si="193">IF(LEN(H3077)=11,"Материал по ЕГРН",IF(LEN(H3077)=0,"Прочие по допущению","Смешанные по допущению"))</f>
        <v>Материал по ЕГРН</v>
      </c>
      <c r="K3077" s="7">
        <f>VLOOKUP(J3077,Лист2!A$2:B$4,2,FALSE)</f>
        <v>792</v>
      </c>
      <c r="L3077" s="7" t="str">
        <f t="shared" ref="L3077:L3140" si="194">IF(I3077=C3077,"ГОТОВ","ГОТОВ_ИЗМЕНЕН")</f>
        <v>ГОТОВ_ИЗМЕНЕН</v>
      </c>
      <c r="M3077" s="7">
        <f t="shared" ref="M3077:M3140" si="195">C3077</f>
        <v>0</v>
      </c>
    </row>
    <row r="3078" spans="1:13" x14ac:dyDescent="0.25">
      <c r="A3078" s="1">
        <v>946048</v>
      </c>
      <c r="B3078" s="6" t="s">
        <v>3218</v>
      </c>
      <c r="F3078" s="6" t="s">
        <v>9</v>
      </c>
      <c r="G3078" s="6" t="s">
        <v>34</v>
      </c>
      <c r="H3078" s="9" t="s">
        <v>35</v>
      </c>
      <c r="I3078" s="7" t="str">
        <f t="shared" si="192"/>
        <v>61001002000</v>
      </c>
      <c r="J3078" s="7" t="str">
        <f t="shared" si="193"/>
        <v>Материал по ЕГРН</v>
      </c>
      <c r="K3078" s="7">
        <f>VLOOKUP(J3078,Лист2!A$2:B$4,2,FALSE)</f>
        <v>792</v>
      </c>
      <c r="L3078" s="7" t="str">
        <f t="shared" si="194"/>
        <v>ГОТОВ_ИЗМЕНЕН</v>
      </c>
      <c r="M3078" s="7">
        <f t="shared" si="195"/>
        <v>0</v>
      </c>
    </row>
    <row r="3079" spans="1:13" x14ac:dyDescent="0.25">
      <c r="A3079" s="1">
        <v>946060</v>
      </c>
      <c r="B3079" s="6" t="s">
        <v>3219</v>
      </c>
      <c r="F3079" s="6" t="s">
        <v>9</v>
      </c>
      <c r="G3079" s="6" t="s">
        <v>38</v>
      </c>
      <c r="H3079" s="9" t="s">
        <v>33</v>
      </c>
      <c r="I3079" s="7" t="str">
        <f t="shared" si="192"/>
        <v>61001005000</v>
      </c>
      <c r="J3079" s="7" t="str">
        <f t="shared" si="193"/>
        <v>Материал по ЕГРН</v>
      </c>
      <c r="K3079" s="7">
        <f>VLOOKUP(J3079,Лист2!A$2:B$4,2,FALSE)</f>
        <v>792</v>
      </c>
      <c r="L3079" s="7" t="str">
        <f t="shared" si="194"/>
        <v>ГОТОВ_ИЗМЕНЕН</v>
      </c>
      <c r="M3079" s="7">
        <f t="shared" si="195"/>
        <v>0</v>
      </c>
    </row>
    <row r="3080" spans="1:13" x14ac:dyDescent="0.25">
      <c r="A3080" s="1">
        <v>946072</v>
      </c>
      <c r="B3080" s="6" t="s">
        <v>3220</v>
      </c>
      <c r="F3080" s="6" t="s">
        <v>9</v>
      </c>
      <c r="G3080" s="6" t="s">
        <v>90</v>
      </c>
      <c r="H3080" s="9" t="s">
        <v>12</v>
      </c>
      <c r="I3080" s="7" t="str">
        <f t="shared" si="192"/>
        <v>61001008000</v>
      </c>
      <c r="J3080" s="7" t="str">
        <f t="shared" si="193"/>
        <v>Материал по ЕГРН</v>
      </c>
      <c r="K3080" s="7">
        <f>VLOOKUP(J3080,Лист2!A$2:B$4,2,FALSE)</f>
        <v>792</v>
      </c>
      <c r="L3080" s="7" t="str">
        <f t="shared" si="194"/>
        <v>ГОТОВ_ИЗМЕНЕН</v>
      </c>
      <c r="M3080" s="7">
        <f t="shared" si="195"/>
        <v>0</v>
      </c>
    </row>
    <row r="3081" spans="1:13" x14ac:dyDescent="0.25">
      <c r="A3081" s="1">
        <v>946084</v>
      </c>
      <c r="B3081" s="6" t="s">
        <v>3221</v>
      </c>
      <c r="F3081" s="6" t="s">
        <v>9</v>
      </c>
      <c r="G3081" s="6" t="s">
        <v>38</v>
      </c>
      <c r="H3081" s="9" t="s">
        <v>33</v>
      </c>
      <c r="I3081" s="7" t="str">
        <f t="shared" si="192"/>
        <v>61001005000</v>
      </c>
      <c r="J3081" s="7" t="str">
        <f t="shared" si="193"/>
        <v>Материал по ЕГРН</v>
      </c>
      <c r="K3081" s="7">
        <f>VLOOKUP(J3081,Лист2!A$2:B$4,2,FALSE)</f>
        <v>792</v>
      </c>
      <c r="L3081" s="7" t="str">
        <f t="shared" si="194"/>
        <v>ГОТОВ_ИЗМЕНЕН</v>
      </c>
      <c r="M3081" s="7">
        <f t="shared" si="195"/>
        <v>0</v>
      </c>
    </row>
    <row r="3082" spans="1:13" x14ac:dyDescent="0.25">
      <c r="A3082" s="1">
        <v>946096</v>
      </c>
      <c r="B3082" s="6" t="s">
        <v>3222</v>
      </c>
      <c r="F3082" s="6" t="s">
        <v>9</v>
      </c>
      <c r="G3082" s="6" t="s">
        <v>38</v>
      </c>
      <c r="H3082" s="9" t="s">
        <v>33</v>
      </c>
      <c r="I3082" s="7" t="str">
        <f t="shared" si="192"/>
        <v>61001005000</v>
      </c>
      <c r="J3082" s="7" t="str">
        <f t="shared" si="193"/>
        <v>Материал по ЕГРН</v>
      </c>
      <c r="K3082" s="7">
        <f>VLOOKUP(J3082,Лист2!A$2:B$4,2,FALSE)</f>
        <v>792</v>
      </c>
      <c r="L3082" s="7" t="str">
        <f t="shared" si="194"/>
        <v>ГОТОВ_ИЗМЕНЕН</v>
      </c>
      <c r="M3082" s="7">
        <f t="shared" si="195"/>
        <v>0</v>
      </c>
    </row>
    <row r="3083" spans="1:13" x14ac:dyDescent="0.25">
      <c r="A3083" s="1">
        <v>946108</v>
      </c>
      <c r="B3083" s="6" t="s">
        <v>3223</v>
      </c>
      <c r="F3083" s="6" t="s">
        <v>9</v>
      </c>
      <c r="G3083" s="6" t="s">
        <v>73</v>
      </c>
      <c r="H3083" s="9" t="s">
        <v>74</v>
      </c>
      <c r="I3083" s="7" t="str">
        <f t="shared" si="192"/>
        <v>61001006000</v>
      </c>
      <c r="J3083" s="7" t="str">
        <f t="shared" si="193"/>
        <v>Материал по ЕГРН</v>
      </c>
      <c r="K3083" s="7">
        <f>VLOOKUP(J3083,Лист2!A$2:B$4,2,FALSE)</f>
        <v>792</v>
      </c>
      <c r="L3083" s="7" t="str">
        <f t="shared" si="194"/>
        <v>ГОТОВ_ИЗМЕНЕН</v>
      </c>
      <c r="M3083" s="7">
        <f t="shared" si="195"/>
        <v>0</v>
      </c>
    </row>
    <row r="3084" spans="1:13" x14ac:dyDescent="0.25">
      <c r="A3084" s="1">
        <v>946120</v>
      </c>
      <c r="B3084" s="6" t="s">
        <v>3224</v>
      </c>
      <c r="F3084" s="6" t="s">
        <v>9</v>
      </c>
      <c r="G3084" s="6" t="s">
        <v>34</v>
      </c>
      <c r="H3084" s="9" t="s">
        <v>35</v>
      </c>
      <c r="I3084" s="7" t="str">
        <f t="shared" si="192"/>
        <v>61001002000</v>
      </c>
      <c r="J3084" s="7" t="str">
        <f t="shared" si="193"/>
        <v>Материал по ЕГРН</v>
      </c>
      <c r="K3084" s="7">
        <f>VLOOKUP(J3084,Лист2!A$2:B$4,2,FALSE)</f>
        <v>792</v>
      </c>
      <c r="L3084" s="7" t="str">
        <f t="shared" si="194"/>
        <v>ГОТОВ_ИЗМЕНЕН</v>
      </c>
      <c r="M3084" s="7">
        <f t="shared" si="195"/>
        <v>0</v>
      </c>
    </row>
    <row r="3085" spans="1:13" x14ac:dyDescent="0.25">
      <c r="A3085" s="1">
        <v>946132</v>
      </c>
      <c r="B3085" s="6" t="s">
        <v>3225</v>
      </c>
      <c r="F3085" s="6" t="s">
        <v>9</v>
      </c>
      <c r="G3085" s="6" t="s">
        <v>10</v>
      </c>
      <c r="H3085" s="9" t="s">
        <v>11</v>
      </c>
      <c r="I3085" s="7" t="str">
        <f t="shared" si="192"/>
        <v>61001003000</v>
      </c>
      <c r="J3085" s="7" t="str">
        <f t="shared" si="193"/>
        <v>Материал по ЕГРН</v>
      </c>
      <c r="K3085" s="7">
        <f>VLOOKUP(J3085,Лист2!A$2:B$4,2,FALSE)</f>
        <v>792</v>
      </c>
      <c r="L3085" s="7" t="str">
        <f t="shared" si="194"/>
        <v>ГОТОВ_ИЗМЕНЕН</v>
      </c>
      <c r="M3085" s="7">
        <f t="shared" si="195"/>
        <v>0</v>
      </c>
    </row>
    <row r="3086" spans="1:13" x14ac:dyDescent="0.25">
      <c r="A3086" s="1">
        <v>946144</v>
      </c>
      <c r="B3086" s="6" t="s">
        <v>3226</v>
      </c>
      <c r="F3086" s="6" t="s">
        <v>9</v>
      </c>
      <c r="G3086" s="6" t="s">
        <v>34</v>
      </c>
      <c r="H3086" s="9" t="s">
        <v>35</v>
      </c>
      <c r="I3086" s="7" t="str">
        <f t="shared" si="192"/>
        <v>61001002000</v>
      </c>
      <c r="J3086" s="7" t="str">
        <f t="shared" si="193"/>
        <v>Материал по ЕГРН</v>
      </c>
      <c r="K3086" s="7">
        <f>VLOOKUP(J3086,Лист2!A$2:B$4,2,FALSE)</f>
        <v>792</v>
      </c>
      <c r="L3086" s="7" t="str">
        <f t="shared" si="194"/>
        <v>ГОТОВ_ИЗМЕНЕН</v>
      </c>
      <c r="M3086" s="7">
        <f t="shared" si="195"/>
        <v>0</v>
      </c>
    </row>
    <row r="3087" spans="1:13" x14ac:dyDescent="0.25">
      <c r="A3087" s="1">
        <v>946156</v>
      </c>
      <c r="B3087" s="6" t="s">
        <v>3227</v>
      </c>
      <c r="F3087" s="6" t="s">
        <v>9</v>
      </c>
      <c r="G3087" s="6" t="s">
        <v>90</v>
      </c>
      <c r="H3087" s="9" t="s">
        <v>12</v>
      </c>
      <c r="I3087" s="7" t="str">
        <f t="shared" si="192"/>
        <v>61001008000</v>
      </c>
      <c r="J3087" s="7" t="str">
        <f t="shared" si="193"/>
        <v>Материал по ЕГРН</v>
      </c>
      <c r="K3087" s="7">
        <f>VLOOKUP(J3087,Лист2!A$2:B$4,2,FALSE)</f>
        <v>792</v>
      </c>
      <c r="L3087" s="7" t="str">
        <f t="shared" si="194"/>
        <v>ГОТОВ_ИЗМЕНЕН</v>
      </c>
      <c r="M3087" s="7">
        <f t="shared" si="195"/>
        <v>0</v>
      </c>
    </row>
    <row r="3088" spans="1:13" x14ac:dyDescent="0.25">
      <c r="A3088" s="1">
        <v>249366</v>
      </c>
      <c r="B3088" s="6" t="s">
        <v>3228</v>
      </c>
      <c r="C3088" s="9" t="s">
        <v>33</v>
      </c>
      <c r="D3088" s="6" t="s">
        <v>20</v>
      </c>
      <c r="E3088" s="6" t="s">
        <v>37</v>
      </c>
      <c r="F3088" s="6" t="s">
        <v>9</v>
      </c>
      <c r="G3088" s="6" t="s">
        <v>38</v>
      </c>
      <c r="H3088" s="9" t="s">
        <v>33</v>
      </c>
      <c r="I3088" s="7" t="str">
        <f t="shared" si="192"/>
        <v>61001005000</v>
      </c>
      <c r="J3088" s="7" t="str">
        <f t="shared" si="193"/>
        <v>Материал по ЕГРН</v>
      </c>
      <c r="K3088" s="7">
        <f>VLOOKUP(J3088,Лист2!A$2:B$4,2,FALSE)</f>
        <v>792</v>
      </c>
      <c r="L3088" s="7" t="str">
        <f t="shared" si="194"/>
        <v>ГОТОВ</v>
      </c>
      <c r="M3088" s="7" t="str">
        <f t="shared" si="195"/>
        <v>61001005000</v>
      </c>
    </row>
    <row r="3089" spans="1:13" x14ac:dyDescent="0.25">
      <c r="A3089" s="1">
        <v>770202</v>
      </c>
      <c r="B3089" s="6" t="s">
        <v>3229</v>
      </c>
      <c r="C3089" s="9" t="s">
        <v>12</v>
      </c>
      <c r="D3089" s="6" t="s">
        <v>20</v>
      </c>
      <c r="E3089" s="6" t="s">
        <v>8</v>
      </c>
      <c r="F3089" s="6" t="s">
        <v>9</v>
      </c>
      <c r="G3089" s="6" t="s">
        <v>38</v>
      </c>
      <c r="H3089" s="9" t="s">
        <v>33</v>
      </c>
      <c r="I3089" s="7" t="str">
        <f t="shared" si="192"/>
        <v>61001005000</v>
      </c>
      <c r="J3089" s="7" t="str">
        <f t="shared" si="193"/>
        <v>Материал по ЕГРН</v>
      </c>
      <c r="K3089" s="7">
        <f>VLOOKUP(J3089,Лист2!A$2:B$4,2,FALSE)</f>
        <v>792</v>
      </c>
      <c r="L3089" s="7" t="str">
        <f t="shared" si="194"/>
        <v>ГОТОВ_ИЗМЕНЕН</v>
      </c>
      <c r="M3089" s="7" t="str">
        <f t="shared" si="195"/>
        <v>61001008000</v>
      </c>
    </row>
    <row r="3090" spans="1:13" x14ac:dyDescent="0.25">
      <c r="A3090" s="1">
        <v>945496</v>
      </c>
      <c r="B3090" s="6" t="s">
        <v>3230</v>
      </c>
      <c r="F3090" s="6" t="s">
        <v>9</v>
      </c>
      <c r="G3090" s="6" t="s">
        <v>34</v>
      </c>
      <c r="H3090" s="9" t="s">
        <v>35</v>
      </c>
      <c r="I3090" s="7" t="str">
        <f t="shared" si="192"/>
        <v>61001002000</v>
      </c>
      <c r="J3090" s="7" t="str">
        <f t="shared" si="193"/>
        <v>Материал по ЕГРН</v>
      </c>
      <c r="K3090" s="7">
        <f>VLOOKUP(J3090,Лист2!A$2:B$4,2,FALSE)</f>
        <v>792</v>
      </c>
      <c r="L3090" s="7" t="str">
        <f t="shared" si="194"/>
        <v>ГОТОВ_ИЗМЕНЕН</v>
      </c>
      <c r="M3090" s="7">
        <f t="shared" si="195"/>
        <v>0</v>
      </c>
    </row>
    <row r="3091" spans="1:13" x14ac:dyDescent="0.25">
      <c r="A3091" s="1">
        <v>945508</v>
      </c>
      <c r="B3091" s="6" t="s">
        <v>3231</v>
      </c>
      <c r="F3091" s="6" t="s">
        <v>9</v>
      </c>
      <c r="G3091" s="6" t="s">
        <v>38</v>
      </c>
      <c r="H3091" s="9" t="s">
        <v>33</v>
      </c>
      <c r="I3091" s="7" t="str">
        <f t="shared" si="192"/>
        <v>61001005000</v>
      </c>
      <c r="J3091" s="7" t="str">
        <f t="shared" si="193"/>
        <v>Материал по ЕГРН</v>
      </c>
      <c r="K3091" s="7">
        <f>VLOOKUP(J3091,Лист2!A$2:B$4,2,FALSE)</f>
        <v>792</v>
      </c>
      <c r="L3091" s="7" t="str">
        <f t="shared" si="194"/>
        <v>ГОТОВ_ИЗМЕНЕН</v>
      </c>
      <c r="M3091" s="7">
        <f t="shared" si="195"/>
        <v>0</v>
      </c>
    </row>
    <row r="3092" spans="1:13" x14ac:dyDescent="0.25">
      <c r="A3092" s="1">
        <v>945520</v>
      </c>
      <c r="B3092" s="6" t="s">
        <v>3232</v>
      </c>
      <c r="F3092" s="6" t="s">
        <v>9</v>
      </c>
      <c r="G3092" s="6" t="s">
        <v>2588</v>
      </c>
      <c r="H3092" s="9" t="s">
        <v>2589</v>
      </c>
      <c r="I3092" s="7" t="str">
        <f t="shared" si="192"/>
        <v>61001003000</v>
      </c>
      <c r="J3092" s="7" t="str">
        <f t="shared" si="193"/>
        <v>Смешанные по допущению</v>
      </c>
      <c r="K3092" s="7">
        <f>VLOOKUP(J3092,Лист2!A$2:B$4,2,FALSE)</f>
        <v>793</v>
      </c>
      <c r="L3092" s="7" t="str">
        <f t="shared" si="194"/>
        <v>ГОТОВ_ИЗМЕНЕН</v>
      </c>
      <c r="M3092" s="7">
        <f t="shared" si="195"/>
        <v>0</v>
      </c>
    </row>
    <row r="3093" spans="1:13" x14ac:dyDescent="0.25">
      <c r="A3093" s="1">
        <v>945532</v>
      </c>
      <c r="B3093" s="6" t="s">
        <v>3233</v>
      </c>
      <c r="F3093" s="6" t="s">
        <v>9</v>
      </c>
      <c r="G3093" s="6" t="s">
        <v>43</v>
      </c>
      <c r="H3093" s="9" t="s">
        <v>42</v>
      </c>
      <c r="I3093" s="7" t="str">
        <f t="shared" si="192"/>
        <v>61001002001</v>
      </c>
      <c r="J3093" s="7" t="str">
        <f t="shared" si="193"/>
        <v>Материал по ЕГРН</v>
      </c>
      <c r="K3093" s="7">
        <f>VLOOKUP(J3093,Лист2!A$2:B$4,2,FALSE)</f>
        <v>792</v>
      </c>
      <c r="L3093" s="7" t="str">
        <f t="shared" si="194"/>
        <v>ГОТОВ_ИЗМЕНЕН</v>
      </c>
      <c r="M3093" s="7">
        <f t="shared" si="195"/>
        <v>0</v>
      </c>
    </row>
    <row r="3094" spans="1:13" x14ac:dyDescent="0.25">
      <c r="A3094" s="1">
        <v>945544</v>
      </c>
      <c r="B3094" s="6" t="s">
        <v>3234</v>
      </c>
      <c r="F3094" s="6" t="s">
        <v>9</v>
      </c>
      <c r="G3094" s="6" t="s">
        <v>38</v>
      </c>
      <c r="H3094" s="9" t="s">
        <v>33</v>
      </c>
      <c r="I3094" s="7" t="str">
        <f t="shared" si="192"/>
        <v>61001005000</v>
      </c>
      <c r="J3094" s="7" t="str">
        <f t="shared" si="193"/>
        <v>Материал по ЕГРН</v>
      </c>
      <c r="K3094" s="7">
        <f>VLOOKUP(J3094,Лист2!A$2:B$4,2,FALSE)</f>
        <v>792</v>
      </c>
      <c r="L3094" s="7" t="str">
        <f t="shared" si="194"/>
        <v>ГОТОВ_ИЗМЕНЕН</v>
      </c>
      <c r="M3094" s="7">
        <f t="shared" si="195"/>
        <v>0</v>
      </c>
    </row>
    <row r="3095" spans="1:13" x14ac:dyDescent="0.25">
      <c r="A3095" s="1">
        <v>945556</v>
      </c>
      <c r="B3095" s="6" t="s">
        <v>3235</v>
      </c>
      <c r="F3095" s="6" t="s">
        <v>9</v>
      </c>
      <c r="G3095" s="6" t="s">
        <v>34</v>
      </c>
      <c r="H3095" s="9" t="s">
        <v>35</v>
      </c>
      <c r="I3095" s="7" t="str">
        <f t="shared" si="192"/>
        <v>61001002000</v>
      </c>
      <c r="J3095" s="7" t="str">
        <f t="shared" si="193"/>
        <v>Материал по ЕГРН</v>
      </c>
      <c r="K3095" s="7">
        <f>VLOOKUP(J3095,Лист2!A$2:B$4,2,FALSE)</f>
        <v>792</v>
      </c>
      <c r="L3095" s="7" t="str">
        <f t="shared" si="194"/>
        <v>ГОТОВ_ИЗМЕНЕН</v>
      </c>
      <c r="M3095" s="7">
        <f t="shared" si="195"/>
        <v>0</v>
      </c>
    </row>
    <row r="3096" spans="1:13" x14ac:dyDescent="0.25">
      <c r="A3096" s="1">
        <v>945568</v>
      </c>
      <c r="B3096" s="6" t="s">
        <v>3236</v>
      </c>
      <c r="F3096" s="6" t="s">
        <v>9</v>
      </c>
      <c r="G3096" s="6" t="s">
        <v>38</v>
      </c>
      <c r="H3096" s="9" t="s">
        <v>33</v>
      </c>
      <c r="I3096" s="7" t="str">
        <f t="shared" si="192"/>
        <v>61001005000</v>
      </c>
      <c r="J3096" s="7" t="str">
        <f t="shared" si="193"/>
        <v>Материал по ЕГРН</v>
      </c>
      <c r="K3096" s="7">
        <f>VLOOKUP(J3096,Лист2!A$2:B$4,2,FALSE)</f>
        <v>792</v>
      </c>
      <c r="L3096" s="7" t="str">
        <f t="shared" si="194"/>
        <v>ГОТОВ_ИЗМЕНЕН</v>
      </c>
      <c r="M3096" s="7">
        <f t="shared" si="195"/>
        <v>0</v>
      </c>
    </row>
    <row r="3097" spans="1:13" x14ac:dyDescent="0.25">
      <c r="A3097" s="1">
        <v>945580</v>
      </c>
      <c r="B3097" s="6" t="s">
        <v>3237</v>
      </c>
      <c r="F3097" s="6" t="s">
        <v>9</v>
      </c>
      <c r="G3097" s="6" t="s">
        <v>59</v>
      </c>
      <c r="H3097" s="9" t="s">
        <v>60</v>
      </c>
      <c r="I3097" s="7" t="str">
        <f t="shared" si="192"/>
        <v>61001001001</v>
      </c>
      <c r="J3097" s="7" t="str">
        <f t="shared" si="193"/>
        <v>Материал по ЕГРН</v>
      </c>
      <c r="K3097" s="7">
        <f>VLOOKUP(J3097,Лист2!A$2:B$4,2,FALSE)</f>
        <v>792</v>
      </c>
      <c r="L3097" s="7" t="str">
        <f t="shared" si="194"/>
        <v>ГОТОВ_ИЗМЕНЕН</v>
      </c>
      <c r="M3097" s="7">
        <f t="shared" si="195"/>
        <v>0</v>
      </c>
    </row>
    <row r="3098" spans="1:13" x14ac:dyDescent="0.25">
      <c r="A3098" s="1">
        <v>945592</v>
      </c>
      <c r="B3098" s="6" t="s">
        <v>3238</v>
      </c>
      <c r="F3098" s="6" t="s">
        <v>9</v>
      </c>
      <c r="G3098" s="6" t="s">
        <v>10</v>
      </c>
      <c r="H3098" s="9" t="s">
        <v>11</v>
      </c>
      <c r="I3098" s="7" t="str">
        <f t="shared" si="192"/>
        <v>61001003000</v>
      </c>
      <c r="J3098" s="7" t="str">
        <f t="shared" si="193"/>
        <v>Материал по ЕГРН</v>
      </c>
      <c r="K3098" s="7">
        <f>VLOOKUP(J3098,Лист2!A$2:B$4,2,FALSE)</f>
        <v>792</v>
      </c>
      <c r="L3098" s="7" t="str">
        <f t="shared" si="194"/>
        <v>ГОТОВ_ИЗМЕНЕН</v>
      </c>
      <c r="M3098" s="7">
        <f t="shared" si="195"/>
        <v>0</v>
      </c>
    </row>
    <row r="3099" spans="1:13" x14ac:dyDescent="0.25">
      <c r="A3099" s="1">
        <v>945604</v>
      </c>
      <c r="B3099" s="6" t="s">
        <v>3239</v>
      </c>
      <c r="F3099" s="6" t="s">
        <v>9</v>
      </c>
      <c r="G3099" s="6" t="s">
        <v>38</v>
      </c>
      <c r="H3099" s="9" t="s">
        <v>33</v>
      </c>
      <c r="I3099" s="7" t="str">
        <f t="shared" si="192"/>
        <v>61001005000</v>
      </c>
      <c r="J3099" s="7" t="str">
        <f t="shared" si="193"/>
        <v>Материал по ЕГРН</v>
      </c>
      <c r="K3099" s="7">
        <f>VLOOKUP(J3099,Лист2!A$2:B$4,2,FALSE)</f>
        <v>792</v>
      </c>
      <c r="L3099" s="7" t="str">
        <f t="shared" si="194"/>
        <v>ГОТОВ_ИЗМЕНЕН</v>
      </c>
      <c r="M3099" s="7">
        <f t="shared" si="195"/>
        <v>0</v>
      </c>
    </row>
    <row r="3100" spans="1:13" x14ac:dyDescent="0.25">
      <c r="A3100" s="1">
        <v>945616</v>
      </c>
      <c r="B3100" s="6" t="s">
        <v>3240</v>
      </c>
      <c r="F3100" s="6" t="s">
        <v>9</v>
      </c>
      <c r="G3100" s="6" t="s">
        <v>38</v>
      </c>
      <c r="H3100" s="9" t="s">
        <v>33</v>
      </c>
      <c r="I3100" s="7" t="str">
        <f t="shared" si="192"/>
        <v>61001005000</v>
      </c>
      <c r="J3100" s="7" t="str">
        <f t="shared" si="193"/>
        <v>Материал по ЕГРН</v>
      </c>
      <c r="K3100" s="7">
        <f>VLOOKUP(J3100,Лист2!A$2:B$4,2,FALSE)</f>
        <v>792</v>
      </c>
      <c r="L3100" s="7" t="str">
        <f t="shared" si="194"/>
        <v>ГОТОВ_ИЗМЕНЕН</v>
      </c>
      <c r="M3100" s="7">
        <f t="shared" si="195"/>
        <v>0</v>
      </c>
    </row>
    <row r="3101" spans="1:13" x14ac:dyDescent="0.25">
      <c r="A3101" s="1">
        <v>945628</v>
      </c>
      <c r="B3101" s="6" t="s">
        <v>3241</v>
      </c>
      <c r="F3101" s="6" t="s">
        <v>9</v>
      </c>
      <c r="G3101" s="6" t="s">
        <v>34</v>
      </c>
      <c r="H3101" s="9" t="s">
        <v>35</v>
      </c>
      <c r="I3101" s="7" t="str">
        <f t="shared" si="192"/>
        <v>61001002000</v>
      </c>
      <c r="J3101" s="7" t="str">
        <f t="shared" si="193"/>
        <v>Материал по ЕГРН</v>
      </c>
      <c r="K3101" s="7">
        <f>VLOOKUP(J3101,Лист2!A$2:B$4,2,FALSE)</f>
        <v>792</v>
      </c>
      <c r="L3101" s="7" t="str">
        <f t="shared" si="194"/>
        <v>ГОТОВ_ИЗМЕНЕН</v>
      </c>
      <c r="M3101" s="7">
        <f t="shared" si="195"/>
        <v>0</v>
      </c>
    </row>
    <row r="3102" spans="1:13" x14ac:dyDescent="0.25">
      <c r="A3102" s="1">
        <v>945640</v>
      </c>
      <c r="B3102" s="6" t="s">
        <v>3242</v>
      </c>
      <c r="F3102" s="6" t="s">
        <v>9</v>
      </c>
      <c r="G3102" s="6" t="s">
        <v>38</v>
      </c>
      <c r="H3102" s="9" t="s">
        <v>33</v>
      </c>
      <c r="I3102" s="7" t="str">
        <f t="shared" si="192"/>
        <v>61001005000</v>
      </c>
      <c r="J3102" s="7" t="str">
        <f t="shared" si="193"/>
        <v>Материал по ЕГРН</v>
      </c>
      <c r="K3102" s="7">
        <f>VLOOKUP(J3102,Лист2!A$2:B$4,2,FALSE)</f>
        <v>792</v>
      </c>
      <c r="L3102" s="7" t="str">
        <f t="shared" si="194"/>
        <v>ГОТОВ_ИЗМЕНЕН</v>
      </c>
      <c r="M3102" s="7">
        <f t="shared" si="195"/>
        <v>0</v>
      </c>
    </row>
    <row r="3103" spans="1:13" x14ac:dyDescent="0.25">
      <c r="A3103" s="1">
        <v>945652</v>
      </c>
      <c r="B3103" s="6" t="s">
        <v>3243</v>
      </c>
      <c r="F3103" s="6" t="s">
        <v>9</v>
      </c>
      <c r="G3103" s="6" t="s">
        <v>38</v>
      </c>
      <c r="H3103" s="9" t="s">
        <v>33</v>
      </c>
      <c r="I3103" s="7" t="str">
        <f t="shared" si="192"/>
        <v>61001005000</v>
      </c>
      <c r="J3103" s="7" t="str">
        <f t="shared" si="193"/>
        <v>Материал по ЕГРН</v>
      </c>
      <c r="K3103" s="7">
        <f>VLOOKUP(J3103,Лист2!A$2:B$4,2,FALSE)</f>
        <v>792</v>
      </c>
      <c r="L3103" s="7" t="str">
        <f t="shared" si="194"/>
        <v>ГОТОВ_ИЗМЕНЕН</v>
      </c>
      <c r="M3103" s="7">
        <f t="shared" si="195"/>
        <v>0</v>
      </c>
    </row>
    <row r="3104" spans="1:13" x14ac:dyDescent="0.25">
      <c r="A3104" s="1">
        <v>945664</v>
      </c>
      <c r="B3104" s="6" t="s">
        <v>3244</v>
      </c>
      <c r="F3104" s="6" t="s">
        <v>9</v>
      </c>
      <c r="G3104" s="6" t="s">
        <v>34</v>
      </c>
      <c r="H3104" s="9" t="s">
        <v>35</v>
      </c>
      <c r="I3104" s="7" t="str">
        <f t="shared" si="192"/>
        <v>61001002000</v>
      </c>
      <c r="J3104" s="7" t="str">
        <f t="shared" si="193"/>
        <v>Материал по ЕГРН</v>
      </c>
      <c r="K3104" s="7">
        <f>VLOOKUP(J3104,Лист2!A$2:B$4,2,FALSE)</f>
        <v>792</v>
      </c>
      <c r="L3104" s="7" t="str">
        <f t="shared" si="194"/>
        <v>ГОТОВ_ИЗМЕНЕН</v>
      </c>
      <c r="M3104" s="7">
        <f t="shared" si="195"/>
        <v>0</v>
      </c>
    </row>
    <row r="3105" spans="1:13" x14ac:dyDescent="0.25">
      <c r="A3105" s="1">
        <v>945676</v>
      </c>
      <c r="B3105" s="6" t="s">
        <v>3245</v>
      </c>
      <c r="F3105" s="6" t="s">
        <v>9</v>
      </c>
      <c r="G3105" s="6" t="s">
        <v>111</v>
      </c>
      <c r="H3105" s="9" t="s">
        <v>110</v>
      </c>
      <c r="I3105" s="7" t="str">
        <f t="shared" si="192"/>
        <v>61001007001</v>
      </c>
      <c r="J3105" s="7" t="str">
        <f t="shared" si="193"/>
        <v>Материал по ЕГРН</v>
      </c>
      <c r="K3105" s="7">
        <f>VLOOKUP(J3105,Лист2!A$2:B$4,2,FALSE)</f>
        <v>792</v>
      </c>
      <c r="L3105" s="7" t="str">
        <f t="shared" si="194"/>
        <v>ГОТОВ_ИЗМЕНЕН</v>
      </c>
      <c r="M3105" s="7">
        <f t="shared" si="195"/>
        <v>0</v>
      </c>
    </row>
    <row r="3106" spans="1:13" x14ac:dyDescent="0.25">
      <c r="A3106" s="1">
        <v>945688</v>
      </c>
      <c r="B3106" s="6" t="s">
        <v>3246</v>
      </c>
      <c r="F3106" s="6" t="s">
        <v>9</v>
      </c>
      <c r="G3106" s="6" t="s">
        <v>59</v>
      </c>
      <c r="H3106" s="9" t="s">
        <v>60</v>
      </c>
      <c r="I3106" s="7" t="str">
        <f t="shared" si="192"/>
        <v>61001001001</v>
      </c>
      <c r="J3106" s="7" t="str">
        <f t="shared" si="193"/>
        <v>Материал по ЕГРН</v>
      </c>
      <c r="K3106" s="7">
        <f>VLOOKUP(J3106,Лист2!A$2:B$4,2,FALSE)</f>
        <v>792</v>
      </c>
      <c r="L3106" s="7" t="str">
        <f t="shared" si="194"/>
        <v>ГОТОВ_ИЗМЕНЕН</v>
      </c>
      <c r="M3106" s="7">
        <f t="shared" si="195"/>
        <v>0</v>
      </c>
    </row>
    <row r="3107" spans="1:13" x14ac:dyDescent="0.25">
      <c r="A3107" s="1">
        <v>945700</v>
      </c>
      <c r="B3107" s="6" t="s">
        <v>3247</v>
      </c>
      <c r="F3107" s="6" t="s">
        <v>9</v>
      </c>
      <c r="G3107" s="6" t="s">
        <v>149</v>
      </c>
      <c r="H3107" s="9" t="s">
        <v>150</v>
      </c>
      <c r="I3107" s="7" t="str">
        <f t="shared" si="192"/>
        <v>61001007000</v>
      </c>
      <c r="J3107" s="7" t="str">
        <f t="shared" si="193"/>
        <v>Материал по ЕГРН</v>
      </c>
      <c r="K3107" s="7">
        <f>VLOOKUP(J3107,Лист2!A$2:B$4,2,FALSE)</f>
        <v>792</v>
      </c>
      <c r="L3107" s="7" t="str">
        <f t="shared" si="194"/>
        <v>ГОТОВ_ИЗМЕНЕН</v>
      </c>
      <c r="M3107" s="7">
        <f t="shared" si="195"/>
        <v>0</v>
      </c>
    </row>
    <row r="3108" spans="1:13" x14ac:dyDescent="0.25">
      <c r="A3108" s="1">
        <v>945712</v>
      </c>
      <c r="B3108" s="6" t="s">
        <v>3248</v>
      </c>
      <c r="F3108" s="6" t="s">
        <v>9</v>
      </c>
      <c r="G3108" s="6" t="s">
        <v>62</v>
      </c>
      <c r="H3108" s="9" t="s">
        <v>63</v>
      </c>
      <c r="I3108" s="7" t="str">
        <f t="shared" si="192"/>
        <v>61001006002</v>
      </c>
      <c r="J3108" s="7" t="str">
        <f t="shared" si="193"/>
        <v>Материал по ЕГРН</v>
      </c>
      <c r="K3108" s="7">
        <f>VLOOKUP(J3108,Лист2!A$2:B$4,2,FALSE)</f>
        <v>792</v>
      </c>
      <c r="L3108" s="7" t="str">
        <f t="shared" si="194"/>
        <v>ГОТОВ_ИЗМЕНЕН</v>
      </c>
      <c r="M3108" s="7">
        <f t="shared" si="195"/>
        <v>0</v>
      </c>
    </row>
    <row r="3109" spans="1:13" x14ac:dyDescent="0.25">
      <c r="A3109" s="1">
        <v>945724</v>
      </c>
      <c r="B3109" s="6" t="s">
        <v>3249</v>
      </c>
      <c r="F3109" s="6" t="s">
        <v>9</v>
      </c>
      <c r="G3109" s="6" t="s">
        <v>10</v>
      </c>
      <c r="H3109" s="9" t="s">
        <v>11</v>
      </c>
      <c r="I3109" s="7" t="str">
        <f t="shared" si="192"/>
        <v>61001003000</v>
      </c>
      <c r="J3109" s="7" t="str">
        <f t="shared" si="193"/>
        <v>Материал по ЕГРН</v>
      </c>
      <c r="K3109" s="7">
        <f>VLOOKUP(J3109,Лист2!A$2:B$4,2,FALSE)</f>
        <v>792</v>
      </c>
      <c r="L3109" s="7" t="str">
        <f t="shared" si="194"/>
        <v>ГОТОВ_ИЗМЕНЕН</v>
      </c>
      <c r="M3109" s="7">
        <f t="shared" si="195"/>
        <v>0</v>
      </c>
    </row>
    <row r="3110" spans="1:13" x14ac:dyDescent="0.25">
      <c r="A3110" s="1">
        <v>945736</v>
      </c>
      <c r="B3110" s="6" t="s">
        <v>3250</v>
      </c>
      <c r="F3110" s="6" t="s">
        <v>9</v>
      </c>
      <c r="G3110" s="6" t="s">
        <v>34</v>
      </c>
      <c r="H3110" s="9" t="s">
        <v>35</v>
      </c>
      <c r="I3110" s="7" t="str">
        <f t="shared" si="192"/>
        <v>61001002000</v>
      </c>
      <c r="J3110" s="7" t="str">
        <f t="shared" si="193"/>
        <v>Материал по ЕГРН</v>
      </c>
      <c r="K3110" s="7">
        <f>VLOOKUP(J3110,Лист2!A$2:B$4,2,FALSE)</f>
        <v>792</v>
      </c>
      <c r="L3110" s="7" t="str">
        <f t="shared" si="194"/>
        <v>ГОТОВ_ИЗМЕНЕН</v>
      </c>
      <c r="M3110" s="7">
        <f t="shared" si="195"/>
        <v>0</v>
      </c>
    </row>
    <row r="3111" spans="1:13" x14ac:dyDescent="0.25">
      <c r="A3111" s="1">
        <v>945748</v>
      </c>
      <c r="B3111" s="6" t="s">
        <v>3251</v>
      </c>
      <c r="F3111" s="6" t="s">
        <v>9</v>
      </c>
      <c r="G3111" s="6" t="s">
        <v>62</v>
      </c>
      <c r="H3111" s="9" t="s">
        <v>63</v>
      </c>
      <c r="I3111" s="7" t="str">
        <f t="shared" si="192"/>
        <v>61001006002</v>
      </c>
      <c r="J3111" s="7" t="str">
        <f t="shared" si="193"/>
        <v>Материал по ЕГРН</v>
      </c>
      <c r="K3111" s="7">
        <f>VLOOKUP(J3111,Лист2!A$2:B$4,2,FALSE)</f>
        <v>792</v>
      </c>
      <c r="L3111" s="7" t="str">
        <f t="shared" si="194"/>
        <v>ГОТОВ_ИЗМЕНЕН</v>
      </c>
      <c r="M3111" s="7">
        <f t="shared" si="195"/>
        <v>0</v>
      </c>
    </row>
    <row r="3112" spans="1:13" x14ac:dyDescent="0.25">
      <c r="A3112" s="1">
        <v>945760</v>
      </c>
      <c r="B3112" s="6" t="s">
        <v>3252</v>
      </c>
      <c r="F3112" s="6" t="s">
        <v>9</v>
      </c>
      <c r="G3112" s="6" t="s">
        <v>34</v>
      </c>
      <c r="H3112" s="9" t="s">
        <v>35</v>
      </c>
      <c r="I3112" s="7" t="str">
        <f t="shared" si="192"/>
        <v>61001002000</v>
      </c>
      <c r="J3112" s="7" t="str">
        <f t="shared" si="193"/>
        <v>Материал по ЕГРН</v>
      </c>
      <c r="K3112" s="7">
        <f>VLOOKUP(J3112,Лист2!A$2:B$4,2,FALSE)</f>
        <v>792</v>
      </c>
      <c r="L3112" s="7" t="str">
        <f t="shared" si="194"/>
        <v>ГОТОВ_ИЗМЕНЕН</v>
      </c>
      <c r="M3112" s="7">
        <f t="shared" si="195"/>
        <v>0</v>
      </c>
    </row>
    <row r="3113" spans="1:13" x14ac:dyDescent="0.25">
      <c r="A3113" s="1">
        <v>945772</v>
      </c>
      <c r="B3113" s="6" t="s">
        <v>3253</v>
      </c>
      <c r="F3113" s="6" t="s">
        <v>9</v>
      </c>
      <c r="G3113" s="6" t="s">
        <v>38</v>
      </c>
      <c r="H3113" s="9" t="s">
        <v>33</v>
      </c>
      <c r="I3113" s="7" t="str">
        <f t="shared" si="192"/>
        <v>61001005000</v>
      </c>
      <c r="J3113" s="7" t="str">
        <f t="shared" si="193"/>
        <v>Материал по ЕГРН</v>
      </c>
      <c r="K3113" s="7">
        <f>VLOOKUP(J3113,Лист2!A$2:B$4,2,FALSE)</f>
        <v>792</v>
      </c>
      <c r="L3113" s="7" t="str">
        <f t="shared" si="194"/>
        <v>ГОТОВ_ИЗМЕНЕН</v>
      </c>
      <c r="M3113" s="7">
        <f t="shared" si="195"/>
        <v>0</v>
      </c>
    </row>
    <row r="3114" spans="1:13" x14ac:dyDescent="0.25">
      <c r="A3114" s="1">
        <v>221151</v>
      </c>
      <c r="B3114" s="6" t="s">
        <v>3254</v>
      </c>
      <c r="C3114" s="9" t="s">
        <v>33</v>
      </c>
      <c r="D3114" s="6" t="s">
        <v>20</v>
      </c>
      <c r="E3114" s="6" t="s">
        <v>37</v>
      </c>
      <c r="F3114" s="6" t="s">
        <v>9</v>
      </c>
      <c r="G3114" s="6" t="s">
        <v>38</v>
      </c>
      <c r="H3114" s="9" t="s">
        <v>33</v>
      </c>
      <c r="I3114" s="7" t="str">
        <f t="shared" si="192"/>
        <v>61001005000</v>
      </c>
      <c r="J3114" s="7" t="str">
        <f t="shared" si="193"/>
        <v>Материал по ЕГРН</v>
      </c>
      <c r="K3114" s="7">
        <f>VLOOKUP(J3114,Лист2!A$2:B$4,2,FALSE)</f>
        <v>792</v>
      </c>
      <c r="L3114" s="7" t="str">
        <f t="shared" si="194"/>
        <v>ГОТОВ</v>
      </c>
      <c r="M3114" s="7" t="str">
        <f t="shared" si="195"/>
        <v>61001005000</v>
      </c>
    </row>
    <row r="3115" spans="1:13" x14ac:dyDescent="0.25">
      <c r="A3115" s="1">
        <v>599417</v>
      </c>
      <c r="B3115" s="6" t="s">
        <v>3255</v>
      </c>
      <c r="C3115" s="9" t="s">
        <v>33</v>
      </c>
      <c r="D3115" s="6" t="s">
        <v>20</v>
      </c>
      <c r="E3115" s="6" t="s">
        <v>37</v>
      </c>
      <c r="F3115" s="6" t="s">
        <v>9</v>
      </c>
      <c r="G3115" s="6" t="s">
        <v>38</v>
      </c>
      <c r="H3115" s="9" t="s">
        <v>33</v>
      </c>
      <c r="I3115" s="7" t="str">
        <f t="shared" si="192"/>
        <v>61001005000</v>
      </c>
      <c r="J3115" s="7" t="str">
        <f t="shared" si="193"/>
        <v>Материал по ЕГРН</v>
      </c>
      <c r="K3115" s="7">
        <f>VLOOKUP(J3115,Лист2!A$2:B$4,2,FALSE)</f>
        <v>792</v>
      </c>
      <c r="L3115" s="7" t="str">
        <f t="shared" si="194"/>
        <v>ГОТОВ</v>
      </c>
      <c r="M3115" s="7" t="str">
        <f t="shared" si="195"/>
        <v>61001005000</v>
      </c>
    </row>
    <row r="3116" spans="1:13" x14ac:dyDescent="0.25">
      <c r="A3116" s="1">
        <v>944283</v>
      </c>
      <c r="B3116" s="6" t="s">
        <v>3256</v>
      </c>
      <c r="F3116" s="6" t="s">
        <v>9</v>
      </c>
      <c r="G3116" s="6" t="s">
        <v>38</v>
      </c>
      <c r="H3116" s="9" t="s">
        <v>33</v>
      </c>
      <c r="I3116" s="7" t="str">
        <f t="shared" si="192"/>
        <v>61001005000</v>
      </c>
      <c r="J3116" s="7" t="str">
        <f t="shared" si="193"/>
        <v>Материал по ЕГРН</v>
      </c>
      <c r="K3116" s="7">
        <f>VLOOKUP(J3116,Лист2!A$2:B$4,2,FALSE)</f>
        <v>792</v>
      </c>
      <c r="L3116" s="7" t="str">
        <f t="shared" si="194"/>
        <v>ГОТОВ_ИЗМЕНЕН</v>
      </c>
      <c r="M3116" s="7">
        <f t="shared" si="195"/>
        <v>0</v>
      </c>
    </row>
    <row r="3117" spans="1:13" x14ac:dyDescent="0.25">
      <c r="A3117" s="1">
        <v>944295</v>
      </c>
      <c r="B3117" s="6" t="s">
        <v>3257</v>
      </c>
      <c r="F3117" s="6" t="s">
        <v>9</v>
      </c>
      <c r="G3117" s="6" t="s">
        <v>139</v>
      </c>
      <c r="H3117" s="9" t="s">
        <v>140</v>
      </c>
      <c r="I3117" s="7" t="str">
        <f t="shared" si="192"/>
        <v>61001999000</v>
      </c>
      <c r="J3117" s="7" t="str">
        <f t="shared" si="193"/>
        <v>Материал по ЕГРН</v>
      </c>
      <c r="K3117" s="7">
        <f>VLOOKUP(J3117,Лист2!A$2:B$4,2,FALSE)</f>
        <v>792</v>
      </c>
      <c r="L3117" s="7" t="str">
        <f t="shared" si="194"/>
        <v>ГОТОВ_ИЗМЕНЕН</v>
      </c>
      <c r="M3117" s="7">
        <f t="shared" si="195"/>
        <v>0</v>
      </c>
    </row>
    <row r="3118" spans="1:13" x14ac:dyDescent="0.25">
      <c r="A3118" s="1">
        <v>944307</v>
      </c>
      <c r="B3118" s="6" t="s">
        <v>3258</v>
      </c>
      <c r="F3118" s="6" t="s">
        <v>9</v>
      </c>
      <c r="G3118" s="6" t="s">
        <v>38</v>
      </c>
      <c r="H3118" s="9" t="s">
        <v>33</v>
      </c>
      <c r="I3118" s="7" t="str">
        <f t="shared" si="192"/>
        <v>61001005000</v>
      </c>
      <c r="J3118" s="7" t="str">
        <f t="shared" si="193"/>
        <v>Материал по ЕГРН</v>
      </c>
      <c r="K3118" s="7">
        <f>VLOOKUP(J3118,Лист2!A$2:B$4,2,FALSE)</f>
        <v>792</v>
      </c>
      <c r="L3118" s="7" t="str">
        <f t="shared" si="194"/>
        <v>ГОТОВ_ИЗМЕНЕН</v>
      </c>
      <c r="M3118" s="7">
        <f t="shared" si="195"/>
        <v>0</v>
      </c>
    </row>
    <row r="3119" spans="1:13" x14ac:dyDescent="0.25">
      <c r="A3119" s="1">
        <v>944319</v>
      </c>
      <c r="B3119" s="6" t="s">
        <v>3259</v>
      </c>
      <c r="F3119" s="6" t="s">
        <v>9</v>
      </c>
      <c r="G3119" s="6" t="s">
        <v>59</v>
      </c>
      <c r="H3119" s="9" t="s">
        <v>60</v>
      </c>
      <c r="I3119" s="7" t="str">
        <f t="shared" si="192"/>
        <v>61001001001</v>
      </c>
      <c r="J3119" s="7" t="str">
        <f t="shared" si="193"/>
        <v>Материал по ЕГРН</v>
      </c>
      <c r="K3119" s="7">
        <f>VLOOKUP(J3119,Лист2!A$2:B$4,2,FALSE)</f>
        <v>792</v>
      </c>
      <c r="L3119" s="7" t="str">
        <f t="shared" si="194"/>
        <v>ГОТОВ_ИЗМЕНЕН</v>
      </c>
      <c r="M3119" s="7">
        <f t="shared" si="195"/>
        <v>0</v>
      </c>
    </row>
    <row r="3120" spans="1:13" x14ac:dyDescent="0.25">
      <c r="A3120" s="1">
        <v>944331</v>
      </c>
      <c r="B3120" s="6" t="s">
        <v>3260</v>
      </c>
      <c r="F3120" s="6" t="s">
        <v>9</v>
      </c>
      <c r="G3120" s="6" t="s">
        <v>38</v>
      </c>
      <c r="H3120" s="9" t="s">
        <v>33</v>
      </c>
      <c r="I3120" s="7" t="str">
        <f t="shared" si="192"/>
        <v>61001005000</v>
      </c>
      <c r="J3120" s="7" t="str">
        <f t="shared" si="193"/>
        <v>Материал по ЕГРН</v>
      </c>
      <c r="K3120" s="7">
        <f>VLOOKUP(J3120,Лист2!A$2:B$4,2,FALSE)</f>
        <v>792</v>
      </c>
      <c r="L3120" s="7" t="str">
        <f t="shared" si="194"/>
        <v>ГОТОВ_ИЗМЕНЕН</v>
      </c>
      <c r="M3120" s="7">
        <f t="shared" si="195"/>
        <v>0</v>
      </c>
    </row>
    <row r="3121" spans="1:13" x14ac:dyDescent="0.25">
      <c r="A3121" s="1">
        <v>944343</v>
      </c>
      <c r="B3121" s="6" t="s">
        <v>3261</v>
      </c>
      <c r="F3121" s="6" t="s">
        <v>9</v>
      </c>
      <c r="G3121" s="6" t="s">
        <v>38</v>
      </c>
      <c r="H3121" s="9" t="s">
        <v>33</v>
      </c>
      <c r="I3121" s="7" t="str">
        <f t="shared" si="192"/>
        <v>61001005000</v>
      </c>
      <c r="J3121" s="7" t="str">
        <f t="shared" si="193"/>
        <v>Материал по ЕГРН</v>
      </c>
      <c r="K3121" s="7">
        <f>VLOOKUP(J3121,Лист2!A$2:B$4,2,FALSE)</f>
        <v>792</v>
      </c>
      <c r="L3121" s="7" t="str">
        <f t="shared" si="194"/>
        <v>ГОТОВ_ИЗМЕНЕН</v>
      </c>
      <c r="M3121" s="7">
        <f t="shared" si="195"/>
        <v>0</v>
      </c>
    </row>
    <row r="3122" spans="1:13" x14ac:dyDescent="0.25">
      <c r="A3122" s="1">
        <v>944355</v>
      </c>
      <c r="B3122" s="6" t="s">
        <v>3262</v>
      </c>
      <c r="F3122" s="6" t="s">
        <v>9</v>
      </c>
      <c r="G3122" s="6" t="s">
        <v>34</v>
      </c>
      <c r="H3122" s="9" t="s">
        <v>35</v>
      </c>
      <c r="I3122" s="7" t="str">
        <f t="shared" si="192"/>
        <v>61001002000</v>
      </c>
      <c r="J3122" s="7" t="str">
        <f t="shared" si="193"/>
        <v>Материал по ЕГРН</v>
      </c>
      <c r="K3122" s="7">
        <f>VLOOKUP(J3122,Лист2!A$2:B$4,2,FALSE)</f>
        <v>792</v>
      </c>
      <c r="L3122" s="7" t="str">
        <f t="shared" si="194"/>
        <v>ГОТОВ_ИЗМЕНЕН</v>
      </c>
      <c r="M3122" s="7">
        <f t="shared" si="195"/>
        <v>0</v>
      </c>
    </row>
    <row r="3123" spans="1:13" x14ac:dyDescent="0.25">
      <c r="A3123" s="1">
        <v>944367</v>
      </c>
      <c r="B3123" s="6" t="s">
        <v>3263</v>
      </c>
      <c r="F3123" s="6" t="s">
        <v>9</v>
      </c>
      <c r="G3123" s="6" t="s">
        <v>38</v>
      </c>
      <c r="H3123" s="9" t="s">
        <v>33</v>
      </c>
      <c r="I3123" s="7" t="str">
        <f t="shared" si="192"/>
        <v>61001005000</v>
      </c>
      <c r="J3123" s="7" t="str">
        <f t="shared" si="193"/>
        <v>Материал по ЕГРН</v>
      </c>
      <c r="K3123" s="7">
        <f>VLOOKUP(J3123,Лист2!A$2:B$4,2,FALSE)</f>
        <v>792</v>
      </c>
      <c r="L3123" s="7" t="str">
        <f t="shared" si="194"/>
        <v>ГОТОВ_ИЗМЕНЕН</v>
      </c>
      <c r="M3123" s="7">
        <f t="shared" si="195"/>
        <v>0</v>
      </c>
    </row>
    <row r="3124" spans="1:13" x14ac:dyDescent="0.25">
      <c r="A3124" s="1">
        <v>944379</v>
      </c>
      <c r="B3124" s="6" t="s">
        <v>3264</v>
      </c>
      <c r="F3124" s="6" t="s">
        <v>9</v>
      </c>
      <c r="G3124" s="6" t="s">
        <v>180</v>
      </c>
      <c r="H3124" s="9" t="s">
        <v>181</v>
      </c>
      <c r="I3124" s="7" t="str">
        <f t="shared" si="192"/>
        <v>61001009000</v>
      </c>
      <c r="J3124" s="7" t="str">
        <f t="shared" si="193"/>
        <v>Материал по ЕГРН</v>
      </c>
      <c r="K3124" s="7">
        <f>VLOOKUP(J3124,Лист2!A$2:B$4,2,FALSE)</f>
        <v>792</v>
      </c>
      <c r="L3124" s="7" t="str">
        <f t="shared" si="194"/>
        <v>ГОТОВ_ИЗМЕНЕН</v>
      </c>
      <c r="M3124" s="7">
        <f t="shared" si="195"/>
        <v>0</v>
      </c>
    </row>
    <row r="3125" spans="1:13" x14ac:dyDescent="0.25">
      <c r="A3125" s="1">
        <v>944391</v>
      </c>
      <c r="B3125" s="6" t="s">
        <v>3265</v>
      </c>
      <c r="F3125" s="6" t="s">
        <v>9</v>
      </c>
      <c r="G3125" s="6" t="s">
        <v>34</v>
      </c>
      <c r="H3125" s="9" t="s">
        <v>35</v>
      </c>
      <c r="I3125" s="7" t="str">
        <f t="shared" si="192"/>
        <v>61001002000</v>
      </c>
      <c r="J3125" s="7" t="str">
        <f t="shared" si="193"/>
        <v>Материал по ЕГРН</v>
      </c>
      <c r="K3125" s="7">
        <f>VLOOKUP(J3125,Лист2!A$2:B$4,2,FALSE)</f>
        <v>792</v>
      </c>
      <c r="L3125" s="7" t="str">
        <f t="shared" si="194"/>
        <v>ГОТОВ_ИЗМЕНЕН</v>
      </c>
      <c r="M3125" s="7">
        <f t="shared" si="195"/>
        <v>0</v>
      </c>
    </row>
    <row r="3126" spans="1:13" x14ac:dyDescent="0.25">
      <c r="A3126" s="1">
        <v>944403</v>
      </c>
      <c r="B3126" s="6" t="s">
        <v>3266</v>
      </c>
      <c r="F3126" s="6" t="s">
        <v>9</v>
      </c>
      <c r="G3126" s="6" t="s">
        <v>139</v>
      </c>
      <c r="H3126" s="9" t="s">
        <v>140</v>
      </c>
      <c r="I3126" s="7" t="str">
        <f t="shared" si="192"/>
        <v>61001999000</v>
      </c>
      <c r="J3126" s="7" t="str">
        <f t="shared" si="193"/>
        <v>Материал по ЕГРН</v>
      </c>
      <c r="K3126" s="7">
        <f>VLOOKUP(J3126,Лист2!A$2:B$4,2,FALSE)</f>
        <v>792</v>
      </c>
      <c r="L3126" s="7" t="str">
        <f t="shared" si="194"/>
        <v>ГОТОВ_ИЗМЕНЕН</v>
      </c>
      <c r="M3126" s="7">
        <f t="shared" si="195"/>
        <v>0</v>
      </c>
    </row>
    <row r="3127" spans="1:13" x14ac:dyDescent="0.25">
      <c r="A3127" s="1">
        <v>944415</v>
      </c>
      <c r="B3127" s="6" t="s">
        <v>3267</v>
      </c>
      <c r="F3127" s="6" t="s">
        <v>9</v>
      </c>
      <c r="G3127" s="6" t="s">
        <v>38</v>
      </c>
      <c r="H3127" s="9" t="s">
        <v>33</v>
      </c>
      <c r="I3127" s="7" t="str">
        <f t="shared" si="192"/>
        <v>61001005000</v>
      </c>
      <c r="J3127" s="7" t="str">
        <f t="shared" si="193"/>
        <v>Материал по ЕГРН</v>
      </c>
      <c r="K3127" s="7">
        <f>VLOOKUP(J3127,Лист2!A$2:B$4,2,FALSE)</f>
        <v>792</v>
      </c>
      <c r="L3127" s="7" t="str">
        <f t="shared" si="194"/>
        <v>ГОТОВ_ИЗМЕНЕН</v>
      </c>
      <c r="M3127" s="7">
        <f t="shared" si="195"/>
        <v>0</v>
      </c>
    </row>
    <row r="3128" spans="1:13" x14ac:dyDescent="0.25">
      <c r="A3128" s="1">
        <v>944427</v>
      </c>
      <c r="B3128" s="6" t="s">
        <v>3268</v>
      </c>
      <c r="F3128" s="6" t="s">
        <v>9</v>
      </c>
      <c r="G3128" s="6" t="s">
        <v>34</v>
      </c>
      <c r="H3128" s="9" t="s">
        <v>35</v>
      </c>
      <c r="I3128" s="7" t="str">
        <f t="shared" si="192"/>
        <v>61001002000</v>
      </c>
      <c r="J3128" s="7" t="str">
        <f t="shared" si="193"/>
        <v>Материал по ЕГРН</v>
      </c>
      <c r="K3128" s="7">
        <f>VLOOKUP(J3128,Лист2!A$2:B$4,2,FALSE)</f>
        <v>792</v>
      </c>
      <c r="L3128" s="7" t="str">
        <f t="shared" si="194"/>
        <v>ГОТОВ_ИЗМЕНЕН</v>
      </c>
      <c r="M3128" s="7">
        <f t="shared" si="195"/>
        <v>0</v>
      </c>
    </row>
    <row r="3129" spans="1:13" x14ac:dyDescent="0.25">
      <c r="A3129" s="1">
        <v>944439</v>
      </c>
      <c r="B3129" s="6" t="s">
        <v>3269</v>
      </c>
      <c r="F3129" s="6" t="s">
        <v>9</v>
      </c>
      <c r="G3129" s="6" t="s">
        <v>59</v>
      </c>
      <c r="H3129" s="9" t="s">
        <v>60</v>
      </c>
      <c r="I3129" s="7" t="str">
        <f t="shared" si="192"/>
        <v>61001001001</v>
      </c>
      <c r="J3129" s="7" t="str">
        <f t="shared" si="193"/>
        <v>Материал по ЕГРН</v>
      </c>
      <c r="K3129" s="7">
        <f>VLOOKUP(J3129,Лист2!A$2:B$4,2,FALSE)</f>
        <v>792</v>
      </c>
      <c r="L3129" s="7" t="str">
        <f t="shared" si="194"/>
        <v>ГОТОВ_ИЗМЕНЕН</v>
      </c>
      <c r="M3129" s="7">
        <f t="shared" si="195"/>
        <v>0</v>
      </c>
    </row>
    <row r="3130" spans="1:13" x14ac:dyDescent="0.25">
      <c r="A3130" s="1">
        <v>944451</v>
      </c>
      <c r="B3130" s="6" t="s">
        <v>3270</v>
      </c>
      <c r="F3130" s="6" t="s">
        <v>9</v>
      </c>
      <c r="G3130" s="6" t="s">
        <v>3271</v>
      </c>
      <c r="H3130" s="9" t="s">
        <v>3272</v>
      </c>
      <c r="I3130" s="7" t="str">
        <f t="shared" si="192"/>
        <v>61001007006</v>
      </c>
      <c r="J3130" s="7" t="str">
        <f t="shared" si="193"/>
        <v>Материал по ЕГРН</v>
      </c>
      <c r="K3130" s="7">
        <f>VLOOKUP(J3130,Лист2!A$2:B$4,2,FALSE)</f>
        <v>792</v>
      </c>
      <c r="L3130" s="7" t="str">
        <f t="shared" si="194"/>
        <v>ГОТОВ_ИЗМЕНЕН</v>
      </c>
      <c r="M3130" s="7">
        <f t="shared" si="195"/>
        <v>0</v>
      </c>
    </row>
    <row r="3131" spans="1:13" x14ac:dyDescent="0.25">
      <c r="A3131" s="1">
        <v>944463</v>
      </c>
      <c r="B3131" s="6" t="s">
        <v>3273</v>
      </c>
      <c r="F3131" s="6" t="s">
        <v>9</v>
      </c>
      <c r="G3131" s="6" t="s">
        <v>38</v>
      </c>
      <c r="H3131" s="9" t="s">
        <v>33</v>
      </c>
      <c r="I3131" s="7" t="str">
        <f t="shared" si="192"/>
        <v>61001005000</v>
      </c>
      <c r="J3131" s="7" t="str">
        <f t="shared" si="193"/>
        <v>Материал по ЕГРН</v>
      </c>
      <c r="K3131" s="7">
        <f>VLOOKUP(J3131,Лист2!A$2:B$4,2,FALSE)</f>
        <v>792</v>
      </c>
      <c r="L3131" s="7" t="str">
        <f t="shared" si="194"/>
        <v>ГОТОВ_ИЗМЕНЕН</v>
      </c>
      <c r="M3131" s="7">
        <f t="shared" si="195"/>
        <v>0</v>
      </c>
    </row>
    <row r="3132" spans="1:13" x14ac:dyDescent="0.25">
      <c r="A3132" s="1">
        <v>944475</v>
      </c>
      <c r="B3132" s="6" t="s">
        <v>3274</v>
      </c>
      <c r="F3132" s="6" t="s">
        <v>9</v>
      </c>
      <c r="G3132" s="6" t="s">
        <v>59</v>
      </c>
      <c r="H3132" s="9" t="s">
        <v>60</v>
      </c>
      <c r="I3132" s="7" t="str">
        <f t="shared" si="192"/>
        <v>61001001001</v>
      </c>
      <c r="J3132" s="7" t="str">
        <f t="shared" si="193"/>
        <v>Материал по ЕГРН</v>
      </c>
      <c r="K3132" s="7">
        <f>VLOOKUP(J3132,Лист2!A$2:B$4,2,FALSE)</f>
        <v>792</v>
      </c>
      <c r="L3132" s="7" t="str">
        <f t="shared" si="194"/>
        <v>ГОТОВ_ИЗМЕНЕН</v>
      </c>
      <c r="M3132" s="7">
        <f t="shared" si="195"/>
        <v>0</v>
      </c>
    </row>
    <row r="3133" spans="1:13" x14ac:dyDescent="0.25">
      <c r="A3133" s="1">
        <v>944487</v>
      </c>
      <c r="B3133" s="6" t="s">
        <v>3275</v>
      </c>
      <c r="F3133" s="6" t="s">
        <v>9</v>
      </c>
      <c r="G3133" s="6" t="s">
        <v>38</v>
      </c>
      <c r="H3133" s="9" t="s">
        <v>33</v>
      </c>
      <c r="I3133" s="7" t="str">
        <f t="shared" si="192"/>
        <v>61001005000</v>
      </c>
      <c r="J3133" s="7" t="str">
        <f t="shared" si="193"/>
        <v>Материал по ЕГРН</v>
      </c>
      <c r="K3133" s="7">
        <f>VLOOKUP(J3133,Лист2!A$2:B$4,2,FALSE)</f>
        <v>792</v>
      </c>
      <c r="L3133" s="7" t="str">
        <f t="shared" si="194"/>
        <v>ГОТОВ_ИЗМЕНЕН</v>
      </c>
      <c r="M3133" s="7">
        <f t="shared" si="195"/>
        <v>0</v>
      </c>
    </row>
    <row r="3134" spans="1:13" x14ac:dyDescent="0.25">
      <c r="A3134" s="1">
        <v>944499</v>
      </c>
      <c r="B3134" s="6" t="s">
        <v>3276</v>
      </c>
      <c r="F3134" s="6" t="s">
        <v>9</v>
      </c>
      <c r="G3134" s="6" t="s">
        <v>73</v>
      </c>
      <c r="H3134" s="9" t="s">
        <v>74</v>
      </c>
      <c r="I3134" s="7" t="str">
        <f t="shared" si="192"/>
        <v>61001006000</v>
      </c>
      <c r="J3134" s="7" t="str">
        <f t="shared" si="193"/>
        <v>Материал по ЕГРН</v>
      </c>
      <c r="K3134" s="7">
        <f>VLOOKUP(J3134,Лист2!A$2:B$4,2,FALSE)</f>
        <v>792</v>
      </c>
      <c r="L3134" s="7" t="str">
        <f t="shared" si="194"/>
        <v>ГОТОВ_ИЗМЕНЕН</v>
      </c>
      <c r="M3134" s="7">
        <f t="shared" si="195"/>
        <v>0</v>
      </c>
    </row>
    <row r="3135" spans="1:13" x14ac:dyDescent="0.25">
      <c r="A3135" s="1">
        <v>944511</v>
      </c>
      <c r="B3135" s="6" t="s">
        <v>3277</v>
      </c>
      <c r="F3135" s="6" t="s">
        <v>9</v>
      </c>
      <c r="G3135" s="6" t="s">
        <v>34</v>
      </c>
      <c r="H3135" s="9" t="s">
        <v>35</v>
      </c>
      <c r="I3135" s="7" t="str">
        <f t="shared" si="192"/>
        <v>61001002000</v>
      </c>
      <c r="J3135" s="7" t="str">
        <f t="shared" si="193"/>
        <v>Материал по ЕГРН</v>
      </c>
      <c r="K3135" s="7">
        <f>VLOOKUP(J3135,Лист2!A$2:B$4,2,FALSE)</f>
        <v>792</v>
      </c>
      <c r="L3135" s="7" t="str">
        <f t="shared" si="194"/>
        <v>ГОТОВ_ИЗМЕНЕН</v>
      </c>
      <c r="M3135" s="7">
        <f t="shared" si="195"/>
        <v>0</v>
      </c>
    </row>
    <row r="3136" spans="1:13" x14ac:dyDescent="0.25">
      <c r="A3136" s="1">
        <v>944523</v>
      </c>
      <c r="B3136" s="6" t="s">
        <v>3278</v>
      </c>
      <c r="F3136" s="6" t="s">
        <v>9</v>
      </c>
      <c r="G3136" s="6" t="s">
        <v>59</v>
      </c>
      <c r="H3136" s="9" t="s">
        <v>60</v>
      </c>
      <c r="I3136" s="7" t="str">
        <f t="shared" si="192"/>
        <v>61001001001</v>
      </c>
      <c r="J3136" s="7" t="str">
        <f t="shared" si="193"/>
        <v>Материал по ЕГРН</v>
      </c>
      <c r="K3136" s="7">
        <f>VLOOKUP(J3136,Лист2!A$2:B$4,2,FALSE)</f>
        <v>792</v>
      </c>
      <c r="L3136" s="7" t="str">
        <f t="shared" si="194"/>
        <v>ГОТОВ_ИЗМЕНЕН</v>
      </c>
      <c r="M3136" s="7">
        <f t="shared" si="195"/>
        <v>0</v>
      </c>
    </row>
    <row r="3137" spans="1:13" x14ac:dyDescent="0.25">
      <c r="A3137" s="1">
        <v>944535</v>
      </c>
      <c r="B3137" s="6" t="s">
        <v>3279</v>
      </c>
      <c r="F3137" s="6" t="s">
        <v>9</v>
      </c>
      <c r="G3137" s="6" t="s">
        <v>59</v>
      </c>
      <c r="H3137" s="9" t="s">
        <v>60</v>
      </c>
      <c r="I3137" s="7" t="str">
        <f t="shared" si="192"/>
        <v>61001001001</v>
      </c>
      <c r="J3137" s="7" t="str">
        <f t="shared" si="193"/>
        <v>Материал по ЕГРН</v>
      </c>
      <c r="K3137" s="7">
        <f>VLOOKUP(J3137,Лист2!A$2:B$4,2,FALSE)</f>
        <v>792</v>
      </c>
      <c r="L3137" s="7" t="str">
        <f t="shared" si="194"/>
        <v>ГОТОВ_ИЗМЕНЕН</v>
      </c>
      <c r="M3137" s="7">
        <f t="shared" si="195"/>
        <v>0</v>
      </c>
    </row>
    <row r="3138" spans="1:13" x14ac:dyDescent="0.25">
      <c r="A3138" s="1">
        <v>944547</v>
      </c>
      <c r="B3138" s="6" t="s">
        <v>3280</v>
      </c>
      <c r="F3138" s="6" t="s">
        <v>9</v>
      </c>
      <c r="G3138" s="6" t="s">
        <v>149</v>
      </c>
      <c r="H3138" s="9" t="s">
        <v>150</v>
      </c>
      <c r="I3138" s="7" t="str">
        <f t="shared" si="192"/>
        <v>61001007000</v>
      </c>
      <c r="J3138" s="7" t="str">
        <f t="shared" si="193"/>
        <v>Материал по ЕГРН</v>
      </c>
      <c r="K3138" s="7">
        <f>VLOOKUP(J3138,Лист2!A$2:B$4,2,FALSE)</f>
        <v>792</v>
      </c>
      <c r="L3138" s="7" t="str">
        <f t="shared" si="194"/>
        <v>ГОТОВ_ИЗМЕНЕН</v>
      </c>
      <c r="M3138" s="7">
        <f t="shared" si="195"/>
        <v>0</v>
      </c>
    </row>
    <row r="3139" spans="1:13" x14ac:dyDescent="0.25">
      <c r="A3139" s="1">
        <v>944559</v>
      </c>
      <c r="B3139" s="6" t="s">
        <v>3281</v>
      </c>
      <c r="F3139" s="6" t="s">
        <v>9</v>
      </c>
      <c r="G3139" s="6" t="s">
        <v>38</v>
      </c>
      <c r="H3139" s="9" t="s">
        <v>33</v>
      </c>
      <c r="I3139" s="7" t="str">
        <f t="shared" si="192"/>
        <v>61001005000</v>
      </c>
      <c r="J3139" s="7" t="str">
        <f t="shared" si="193"/>
        <v>Материал по ЕГРН</v>
      </c>
      <c r="K3139" s="7">
        <f>VLOOKUP(J3139,Лист2!A$2:B$4,2,FALSE)</f>
        <v>792</v>
      </c>
      <c r="L3139" s="7" t="str">
        <f t="shared" si="194"/>
        <v>ГОТОВ_ИЗМЕНЕН</v>
      </c>
      <c r="M3139" s="7">
        <f t="shared" si="195"/>
        <v>0</v>
      </c>
    </row>
    <row r="3140" spans="1:13" x14ac:dyDescent="0.25">
      <c r="A3140" s="1">
        <v>944571</v>
      </c>
      <c r="B3140" s="6" t="s">
        <v>3282</v>
      </c>
      <c r="F3140" s="6" t="s">
        <v>9</v>
      </c>
      <c r="G3140" s="6" t="s">
        <v>59</v>
      </c>
      <c r="H3140" s="9" t="s">
        <v>60</v>
      </c>
      <c r="I3140" s="7" t="str">
        <f t="shared" si="192"/>
        <v>61001001001</v>
      </c>
      <c r="J3140" s="7" t="str">
        <f t="shared" si="193"/>
        <v>Материал по ЕГРН</v>
      </c>
      <c r="K3140" s="7">
        <f>VLOOKUP(J3140,Лист2!A$2:B$4,2,FALSE)</f>
        <v>792</v>
      </c>
      <c r="L3140" s="7" t="str">
        <f t="shared" si="194"/>
        <v>ГОТОВ_ИЗМЕНЕН</v>
      </c>
      <c r="M3140" s="7">
        <f t="shared" si="195"/>
        <v>0</v>
      </c>
    </row>
    <row r="3141" spans="1:13" x14ac:dyDescent="0.25">
      <c r="A3141" s="1">
        <v>944583</v>
      </c>
      <c r="B3141" s="6" t="s">
        <v>3283</v>
      </c>
      <c r="F3141" s="6" t="s">
        <v>9</v>
      </c>
      <c r="G3141" s="6" t="s">
        <v>38</v>
      </c>
      <c r="H3141" s="9" t="s">
        <v>33</v>
      </c>
      <c r="I3141" s="7" t="str">
        <f t="shared" ref="I3141:I3204" si="196">IF(LEN(H3141)=11,H3141,IF(LEN(H3141)=0,"61001005000","61001003000"))</f>
        <v>61001005000</v>
      </c>
      <c r="J3141" s="7" t="str">
        <f t="shared" ref="J3141:J3204" si="197">IF(LEN(H3141)=11,"Материал по ЕГРН",IF(LEN(H3141)=0,"Прочие по допущению","Смешанные по допущению"))</f>
        <v>Материал по ЕГРН</v>
      </c>
      <c r="K3141" s="7">
        <f>VLOOKUP(J3141,Лист2!A$2:B$4,2,FALSE)</f>
        <v>792</v>
      </c>
      <c r="L3141" s="7" t="str">
        <f t="shared" ref="L3141:L3204" si="198">IF(I3141=C3141,"ГОТОВ","ГОТОВ_ИЗМЕНЕН")</f>
        <v>ГОТОВ_ИЗМЕНЕН</v>
      </c>
      <c r="M3141" s="7">
        <f t="shared" ref="M3141:M3204" si="199">C3141</f>
        <v>0</v>
      </c>
    </row>
    <row r="3142" spans="1:13" x14ac:dyDescent="0.25">
      <c r="A3142" s="1">
        <v>944595</v>
      </c>
      <c r="B3142" s="6" t="s">
        <v>3284</v>
      </c>
      <c r="F3142" s="6" t="s">
        <v>9</v>
      </c>
      <c r="G3142" s="6" t="s">
        <v>59</v>
      </c>
      <c r="H3142" s="9" t="s">
        <v>60</v>
      </c>
      <c r="I3142" s="7" t="str">
        <f t="shared" si="196"/>
        <v>61001001001</v>
      </c>
      <c r="J3142" s="7" t="str">
        <f t="shared" si="197"/>
        <v>Материал по ЕГРН</v>
      </c>
      <c r="K3142" s="7">
        <f>VLOOKUP(J3142,Лист2!A$2:B$4,2,FALSE)</f>
        <v>792</v>
      </c>
      <c r="L3142" s="7" t="str">
        <f t="shared" si="198"/>
        <v>ГОТОВ_ИЗМЕНЕН</v>
      </c>
      <c r="M3142" s="7">
        <f t="shared" si="199"/>
        <v>0</v>
      </c>
    </row>
    <row r="3143" spans="1:13" x14ac:dyDescent="0.25">
      <c r="A3143" s="1">
        <v>944607</v>
      </c>
      <c r="B3143" s="6" t="s">
        <v>3285</v>
      </c>
      <c r="F3143" s="6" t="s">
        <v>9</v>
      </c>
      <c r="G3143" s="6" t="s">
        <v>180</v>
      </c>
      <c r="H3143" s="9" t="s">
        <v>181</v>
      </c>
      <c r="I3143" s="7" t="str">
        <f t="shared" si="196"/>
        <v>61001009000</v>
      </c>
      <c r="J3143" s="7" t="str">
        <f t="shared" si="197"/>
        <v>Материал по ЕГРН</v>
      </c>
      <c r="K3143" s="7">
        <f>VLOOKUP(J3143,Лист2!A$2:B$4,2,FALSE)</f>
        <v>792</v>
      </c>
      <c r="L3143" s="7" t="str">
        <f t="shared" si="198"/>
        <v>ГОТОВ_ИЗМЕНЕН</v>
      </c>
      <c r="M3143" s="7">
        <f t="shared" si="199"/>
        <v>0</v>
      </c>
    </row>
    <row r="3144" spans="1:13" x14ac:dyDescent="0.25">
      <c r="A3144" s="1">
        <v>944619</v>
      </c>
      <c r="B3144" s="6" t="s">
        <v>3286</v>
      </c>
      <c r="F3144" s="6" t="s">
        <v>9</v>
      </c>
      <c r="G3144" s="6" t="s">
        <v>38</v>
      </c>
      <c r="H3144" s="9" t="s">
        <v>33</v>
      </c>
      <c r="I3144" s="7" t="str">
        <f t="shared" si="196"/>
        <v>61001005000</v>
      </c>
      <c r="J3144" s="7" t="str">
        <f t="shared" si="197"/>
        <v>Материал по ЕГРН</v>
      </c>
      <c r="K3144" s="7">
        <f>VLOOKUP(J3144,Лист2!A$2:B$4,2,FALSE)</f>
        <v>792</v>
      </c>
      <c r="L3144" s="7" t="str">
        <f t="shared" si="198"/>
        <v>ГОТОВ_ИЗМЕНЕН</v>
      </c>
      <c r="M3144" s="7">
        <f t="shared" si="199"/>
        <v>0</v>
      </c>
    </row>
    <row r="3145" spans="1:13" x14ac:dyDescent="0.25">
      <c r="A3145" s="1">
        <v>944631</v>
      </c>
      <c r="B3145" s="6" t="s">
        <v>3287</v>
      </c>
      <c r="F3145" s="6" t="s">
        <v>9</v>
      </c>
      <c r="G3145" s="6" t="s">
        <v>38</v>
      </c>
      <c r="H3145" s="9" t="s">
        <v>33</v>
      </c>
      <c r="I3145" s="7" t="str">
        <f t="shared" si="196"/>
        <v>61001005000</v>
      </c>
      <c r="J3145" s="7" t="str">
        <f t="shared" si="197"/>
        <v>Материал по ЕГРН</v>
      </c>
      <c r="K3145" s="7">
        <f>VLOOKUP(J3145,Лист2!A$2:B$4,2,FALSE)</f>
        <v>792</v>
      </c>
      <c r="L3145" s="7" t="str">
        <f t="shared" si="198"/>
        <v>ГОТОВ_ИЗМЕНЕН</v>
      </c>
      <c r="M3145" s="7">
        <f t="shared" si="199"/>
        <v>0</v>
      </c>
    </row>
    <row r="3146" spans="1:13" x14ac:dyDescent="0.25">
      <c r="A3146" s="1">
        <v>945812</v>
      </c>
      <c r="B3146" s="6" t="s">
        <v>3288</v>
      </c>
      <c r="F3146" s="6" t="s">
        <v>9</v>
      </c>
      <c r="G3146" s="6" t="s">
        <v>843</v>
      </c>
      <c r="H3146" s="9" t="s">
        <v>844</v>
      </c>
      <c r="I3146" s="7" t="str">
        <f t="shared" si="196"/>
        <v>61001003001</v>
      </c>
      <c r="J3146" s="7" t="str">
        <f t="shared" si="197"/>
        <v>Материал по ЕГРН</v>
      </c>
      <c r="K3146" s="7">
        <f>VLOOKUP(J3146,Лист2!A$2:B$4,2,FALSE)</f>
        <v>792</v>
      </c>
      <c r="L3146" s="7" t="str">
        <f t="shared" si="198"/>
        <v>ГОТОВ_ИЗМЕНЕН</v>
      </c>
      <c r="M3146" s="7">
        <f t="shared" si="199"/>
        <v>0</v>
      </c>
    </row>
    <row r="3147" spans="1:13" x14ac:dyDescent="0.25">
      <c r="A3147" s="1">
        <v>945824</v>
      </c>
      <c r="B3147" s="6" t="s">
        <v>3289</v>
      </c>
      <c r="F3147" s="6" t="s">
        <v>9</v>
      </c>
      <c r="G3147" s="6" t="s">
        <v>34</v>
      </c>
      <c r="H3147" s="9" t="s">
        <v>35</v>
      </c>
      <c r="I3147" s="7" t="str">
        <f t="shared" si="196"/>
        <v>61001002000</v>
      </c>
      <c r="J3147" s="7" t="str">
        <f t="shared" si="197"/>
        <v>Материал по ЕГРН</v>
      </c>
      <c r="K3147" s="7">
        <f>VLOOKUP(J3147,Лист2!A$2:B$4,2,FALSE)</f>
        <v>792</v>
      </c>
      <c r="L3147" s="7" t="str">
        <f t="shared" si="198"/>
        <v>ГОТОВ_ИЗМЕНЕН</v>
      </c>
      <c r="M3147" s="7">
        <f t="shared" si="199"/>
        <v>0</v>
      </c>
    </row>
    <row r="3148" spans="1:13" x14ac:dyDescent="0.25">
      <c r="A3148" s="1">
        <v>945836</v>
      </c>
      <c r="B3148" s="6" t="s">
        <v>3290</v>
      </c>
      <c r="F3148" s="6" t="s">
        <v>9</v>
      </c>
      <c r="G3148" s="6" t="s">
        <v>38</v>
      </c>
      <c r="H3148" s="9" t="s">
        <v>33</v>
      </c>
      <c r="I3148" s="7" t="str">
        <f t="shared" si="196"/>
        <v>61001005000</v>
      </c>
      <c r="J3148" s="7" t="str">
        <f t="shared" si="197"/>
        <v>Материал по ЕГРН</v>
      </c>
      <c r="K3148" s="7">
        <f>VLOOKUP(J3148,Лист2!A$2:B$4,2,FALSE)</f>
        <v>792</v>
      </c>
      <c r="L3148" s="7" t="str">
        <f t="shared" si="198"/>
        <v>ГОТОВ_ИЗМЕНЕН</v>
      </c>
      <c r="M3148" s="7">
        <f t="shared" si="199"/>
        <v>0</v>
      </c>
    </row>
    <row r="3149" spans="1:13" x14ac:dyDescent="0.25">
      <c r="A3149" s="1">
        <v>945848</v>
      </c>
      <c r="B3149" s="6" t="s">
        <v>3291</v>
      </c>
      <c r="F3149" s="6" t="s">
        <v>9</v>
      </c>
      <c r="G3149" s="6" t="s">
        <v>38</v>
      </c>
      <c r="H3149" s="9" t="s">
        <v>33</v>
      </c>
      <c r="I3149" s="7" t="str">
        <f t="shared" si="196"/>
        <v>61001005000</v>
      </c>
      <c r="J3149" s="7" t="str">
        <f t="shared" si="197"/>
        <v>Материал по ЕГРН</v>
      </c>
      <c r="K3149" s="7">
        <f>VLOOKUP(J3149,Лист2!A$2:B$4,2,FALSE)</f>
        <v>792</v>
      </c>
      <c r="L3149" s="7" t="str">
        <f t="shared" si="198"/>
        <v>ГОТОВ_ИЗМЕНЕН</v>
      </c>
      <c r="M3149" s="7">
        <f t="shared" si="199"/>
        <v>0</v>
      </c>
    </row>
    <row r="3150" spans="1:13" x14ac:dyDescent="0.25">
      <c r="A3150" s="1">
        <v>945860</v>
      </c>
      <c r="B3150" s="6" t="s">
        <v>3292</v>
      </c>
      <c r="F3150" s="6" t="s">
        <v>9</v>
      </c>
      <c r="G3150" s="6" t="s">
        <v>34</v>
      </c>
      <c r="H3150" s="9" t="s">
        <v>35</v>
      </c>
      <c r="I3150" s="7" t="str">
        <f t="shared" si="196"/>
        <v>61001002000</v>
      </c>
      <c r="J3150" s="7" t="str">
        <f t="shared" si="197"/>
        <v>Материал по ЕГРН</v>
      </c>
      <c r="K3150" s="7">
        <f>VLOOKUP(J3150,Лист2!A$2:B$4,2,FALSE)</f>
        <v>792</v>
      </c>
      <c r="L3150" s="7" t="str">
        <f t="shared" si="198"/>
        <v>ГОТОВ_ИЗМЕНЕН</v>
      </c>
      <c r="M3150" s="7">
        <f t="shared" si="199"/>
        <v>0</v>
      </c>
    </row>
    <row r="3151" spans="1:13" x14ac:dyDescent="0.25">
      <c r="A3151" s="1">
        <v>945872</v>
      </c>
      <c r="B3151" s="6" t="s">
        <v>3293</v>
      </c>
      <c r="F3151" s="6" t="s">
        <v>9</v>
      </c>
      <c r="G3151" s="6" t="s">
        <v>10</v>
      </c>
      <c r="H3151" s="9" t="s">
        <v>11</v>
      </c>
      <c r="I3151" s="7" t="str">
        <f t="shared" si="196"/>
        <v>61001003000</v>
      </c>
      <c r="J3151" s="7" t="str">
        <f t="shared" si="197"/>
        <v>Материал по ЕГРН</v>
      </c>
      <c r="K3151" s="7">
        <f>VLOOKUP(J3151,Лист2!A$2:B$4,2,FALSE)</f>
        <v>792</v>
      </c>
      <c r="L3151" s="7" t="str">
        <f t="shared" si="198"/>
        <v>ГОТОВ_ИЗМЕНЕН</v>
      </c>
      <c r="M3151" s="7">
        <f t="shared" si="199"/>
        <v>0</v>
      </c>
    </row>
    <row r="3152" spans="1:13" x14ac:dyDescent="0.25">
      <c r="A3152" s="1">
        <v>945884</v>
      </c>
      <c r="B3152" s="6" t="s">
        <v>3294</v>
      </c>
      <c r="F3152" s="6" t="s">
        <v>9</v>
      </c>
      <c r="G3152" s="6" t="s">
        <v>34</v>
      </c>
      <c r="H3152" s="9" t="s">
        <v>35</v>
      </c>
      <c r="I3152" s="7" t="str">
        <f t="shared" si="196"/>
        <v>61001002000</v>
      </c>
      <c r="J3152" s="7" t="str">
        <f t="shared" si="197"/>
        <v>Материал по ЕГРН</v>
      </c>
      <c r="K3152" s="7">
        <f>VLOOKUP(J3152,Лист2!A$2:B$4,2,FALSE)</f>
        <v>792</v>
      </c>
      <c r="L3152" s="7" t="str">
        <f t="shared" si="198"/>
        <v>ГОТОВ_ИЗМЕНЕН</v>
      </c>
      <c r="M3152" s="7">
        <f t="shared" si="199"/>
        <v>0</v>
      </c>
    </row>
    <row r="3153" spans="1:13" x14ac:dyDescent="0.25">
      <c r="A3153" s="1">
        <v>945896</v>
      </c>
      <c r="B3153" s="6" t="s">
        <v>3295</v>
      </c>
      <c r="F3153" s="6" t="s">
        <v>9</v>
      </c>
      <c r="G3153" s="6" t="s">
        <v>43</v>
      </c>
      <c r="H3153" s="9" t="s">
        <v>42</v>
      </c>
      <c r="I3153" s="7" t="str">
        <f t="shared" si="196"/>
        <v>61001002001</v>
      </c>
      <c r="J3153" s="7" t="str">
        <f t="shared" si="197"/>
        <v>Материал по ЕГРН</v>
      </c>
      <c r="K3153" s="7">
        <f>VLOOKUP(J3153,Лист2!A$2:B$4,2,FALSE)</f>
        <v>792</v>
      </c>
      <c r="L3153" s="7" t="str">
        <f t="shared" si="198"/>
        <v>ГОТОВ_ИЗМЕНЕН</v>
      </c>
      <c r="M3153" s="7">
        <f t="shared" si="199"/>
        <v>0</v>
      </c>
    </row>
    <row r="3154" spans="1:13" x14ac:dyDescent="0.25">
      <c r="A3154" s="1">
        <v>945908</v>
      </c>
      <c r="B3154" s="6" t="s">
        <v>3296</v>
      </c>
      <c r="F3154" s="6" t="s">
        <v>9</v>
      </c>
      <c r="G3154" s="6" t="s">
        <v>38</v>
      </c>
      <c r="H3154" s="9" t="s">
        <v>33</v>
      </c>
      <c r="I3154" s="7" t="str">
        <f t="shared" si="196"/>
        <v>61001005000</v>
      </c>
      <c r="J3154" s="7" t="str">
        <f t="shared" si="197"/>
        <v>Материал по ЕГРН</v>
      </c>
      <c r="K3154" s="7">
        <f>VLOOKUP(J3154,Лист2!A$2:B$4,2,FALSE)</f>
        <v>792</v>
      </c>
      <c r="L3154" s="7" t="str">
        <f t="shared" si="198"/>
        <v>ГОТОВ_ИЗМЕНЕН</v>
      </c>
      <c r="M3154" s="7">
        <f t="shared" si="199"/>
        <v>0</v>
      </c>
    </row>
    <row r="3155" spans="1:13" x14ac:dyDescent="0.25">
      <c r="A3155" s="1">
        <v>945920</v>
      </c>
      <c r="B3155" s="6" t="s">
        <v>3297</v>
      </c>
      <c r="F3155" s="6" t="s">
        <v>9</v>
      </c>
      <c r="G3155" s="6" t="s">
        <v>38</v>
      </c>
      <c r="H3155" s="9" t="s">
        <v>33</v>
      </c>
      <c r="I3155" s="7" t="str">
        <f t="shared" si="196"/>
        <v>61001005000</v>
      </c>
      <c r="J3155" s="7" t="str">
        <f t="shared" si="197"/>
        <v>Материал по ЕГРН</v>
      </c>
      <c r="K3155" s="7">
        <f>VLOOKUP(J3155,Лист2!A$2:B$4,2,FALSE)</f>
        <v>792</v>
      </c>
      <c r="L3155" s="7" t="str">
        <f t="shared" si="198"/>
        <v>ГОТОВ_ИЗМЕНЕН</v>
      </c>
      <c r="M3155" s="7">
        <f t="shared" si="199"/>
        <v>0</v>
      </c>
    </row>
    <row r="3156" spans="1:13" x14ac:dyDescent="0.25">
      <c r="A3156" s="1">
        <v>945932</v>
      </c>
      <c r="B3156" s="6" t="s">
        <v>3298</v>
      </c>
      <c r="F3156" s="6" t="s">
        <v>9</v>
      </c>
      <c r="G3156" s="6" t="s">
        <v>10</v>
      </c>
      <c r="H3156" s="9" t="s">
        <v>11</v>
      </c>
      <c r="I3156" s="7" t="str">
        <f t="shared" si="196"/>
        <v>61001003000</v>
      </c>
      <c r="J3156" s="7" t="str">
        <f t="shared" si="197"/>
        <v>Материал по ЕГРН</v>
      </c>
      <c r="K3156" s="7">
        <f>VLOOKUP(J3156,Лист2!A$2:B$4,2,FALSE)</f>
        <v>792</v>
      </c>
      <c r="L3156" s="7" t="str">
        <f t="shared" si="198"/>
        <v>ГОТОВ_ИЗМЕНЕН</v>
      </c>
      <c r="M3156" s="7">
        <f t="shared" si="199"/>
        <v>0</v>
      </c>
    </row>
    <row r="3157" spans="1:13" x14ac:dyDescent="0.25">
      <c r="A3157" s="1">
        <v>945944</v>
      </c>
      <c r="B3157" s="6" t="s">
        <v>3299</v>
      </c>
      <c r="F3157" s="6" t="s">
        <v>9</v>
      </c>
      <c r="G3157" s="6" t="s">
        <v>149</v>
      </c>
      <c r="H3157" s="9" t="s">
        <v>150</v>
      </c>
      <c r="I3157" s="7" t="str">
        <f t="shared" si="196"/>
        <v>61001007000</v>
      </c>
      <c r="J3157" s="7" t="str">
        <f t="shared" si="197"/>
        <v>Материал по ЕГРН</v>
      </c>
      <c r="K3157" s="7">
        <f>VLOOKUP(J3157,Лист2!A$2:B$4,2,FALSE)</f>
        <v>792</v>
      </c>
      <c r="L3157" s="7" t="str">
        <f t="shared" si="198"/>
        <v>ГОТОВ_ИЗМЕНЕН</v>
      </c>
      <c r="M3157" s="7">
        <f t="shared" si="199"/>
        <v>0</v>
      </c>
    </row>
    <row r="3158" spans="1:13" x14ac:dyDescent="0.25">
      <c r="A3158" s="1">
        <v>945956</v>
      </c>
      <c r="B3158" s="6" t="s">
        <v>3300</v>
      </c>
      <c r="F3158" s="6" t="s">
        <v>9</v>
      </c>
      <c r="G3158" s="6" t="s">
        <v>365</v>
      </c>
      <c r="H3158" s="9" t="s">
        <v>366</v>
      </c>
      <c r="I3158" s="7" t="str">
        <f t="shared" si="196"/>
        <v>61001003000</v>
      </c>
      <c r="J3158" s="7" t="str">
        <f t="shared" si="197"/>
        <v>Смешанные по допущению</v>
      </c>
      <c r="K3158" s="7">
        <f>VLOOKUP(J3158,Лист2!A$2:B$4,2,FALSE)</f>
        <v>793</v>
      </c>
      <c r="L3158" s="7" t="str">
        <f t="shared" si="198"/>
        <v>ГОТОВ_ИЗМЕНЕН</v>
      </c>
      <c r="M3158" s="7">
        <f t="shared" si="199"/>
        <v>0</v>
      </c>
    </row>
    <row r="3159" spans="1:13" x14ac:dyDescent="0.25">
      <c r="A3159" s="1">
        <v>945968</v>
      </c>
      <c r="B3159" s="6" t="s">
        <v>3301</v>
      </c>
      <c r="F3159" s="6" t="s">
        <v>9</v>
      </c>
      <c r="G3159" s="6" t="s">
        <v>34</v>
      </c>
      <c r="H3159" s="9" t="s">
        <v>35</v>
      </c>
      <c r="I3159" s="7" t="str">
        <f t="shared" si="196"/>
        <v>61001002000</v>
      </c>
      <c r="J3159" s="7" t="str">
        <f t="shared" si="197"/>
        <v>Материал по ЕГРН</v>
      </c>
      <c r="K3159" s="7">
        <f>VLOOKUP(J3159,Лист2!A$2:B$4,2,FALSE)</f>
        <v>792</v>
      </c>
      <c r="L3159" s="7" t="str">
        <f t="shared" si="198"/>
        <v>ГОТОВ_ИЗМЕНЕН</v>
      </c>
      <c r="M3159" s="7">
        <f t="shared" si="199"/>
        <v>0</v>
      </c>
    </row>
    <row r="3160" spans="1:13" x14ac:dyDescent="0.25">
      <c r="A3160" s="1">
        <v>945980</v>
      </c>
      <c r="B3160" s="6" t="s">
        <v>3302</v>
      </c>
      <c r="F3160" s="6" t="s">
        <v>9</v>
      </c>
      <c r="G3160" s="6" t="s">
        <v>38</v>
      </c>
      <c r="H3160" s="9" t="s">
        <v>33</v>
      </c>
      <c r="I3160" s="7" t="str">
        <f t="shared" si="196"/>
        <v>61001005000</v>
      </c>
      <c r="J3160" s="7" t="str">
        <f t="shared" si="197"/>
        <v>Материал по ЕГРН</v>
      </c>
      <c r="K3160" s="7">
        <f>VLOOKUP(J3160,Лист2!A$2:B$4,2,FALSE)</f>
        <v>792</v>
      </c>
      <c r="L3160" s="7" t="str">
        <f t="shared" si="198"/>
        <v>ГОТОВ_ИЗМЕНЕН</v>
      </c>
      <c r="M3160" s="7">
        <f t="shared" si="199"/>
        <v>0</v>
      </c>
    </row>
    <row r="3161" spans="1:13" x14ac:dyDescent="0.25">
      <c r="A3161" s="1">
        <v>945992</v>
      </c>
      <c r="B3161" s="6" t="s">
        <v>3303</v>
      </c>
      <c r="F3161" s="6" t="s">
        <v>9</v>
      </c>
      <c r="G3161" s="6" t="s">
        <v>34</v>
      </c>
      <c r="H3161" s="9" t="s">
        <v>35</v>
      </c>
      <c r="I3161" s="7" t="str">
        <f t="shared" si="196"/>
        <v>61001002000</v>
      </c>
      <c r="J3161" s="7" t="str">
        <f t="shared" si="197"/>
        <v>Материал по ЕГРН</v>
      </c>
      <c r="K3161" s="7">
        <f>VLOOKUP(J3161,Лист2!A$2:B$4,2,FALSE)</f>
        <v>792</v>
      </c>
      <c r="L3161" s="7" t="str">
        <f t="shared" si="198"/>
        <v>ГОТОВ_ИЗМЕНЕН</v>
      </c>
      <c r="M3161" s="7">
        <f t="shared" si="199"/>
        <v>0</v>
      </c>
    </row>
    <row r="3162" spans="1:13" x14ac:dyDescent="0.25">
      <c r="A3162" s="1">
        <v>946004</v>
      </c>
      <c r="B3162" s="6" t="s">
        <v>3304</v>
      </c>
      <c r="F3162" s="6" t="s">
        <v>9</v>
      </c>
      <c r="G3162" s="6" t="s">
        <v>34</v>
      </c>
      <c r="H3162" s="9" t="s">
        <v>35</v>
      </c>
      <c r="I3162" s="7" t="str">
        <f t="shared" si="196"/>
        <v>61001002000</v>
      </c>
      <c r="J3162" s="7" t="str">
        <f t="shared" si="197"/>
        <v>Материал по ЕГРН</v>
      </c>
      <c r="K3162" s="7">
        <f>VLOOKUP(J3162,Лист2!A$2:B$4,2,FALSE)</f>
        <v>792</v>
      </c>
      <c r="L3162" s="7" t="str">
        <f t="shared" si="198"/>
        <v>ГОТОВ_ИЗМЕНЕН</v>
      </c>
      <c r="M3162" s="7">
        <f t="shared" si="199"/>
        <v>0</v>
      </c>
    </row>
    <row r="3163" spans="1:13" x14ac:dyDescent="0.25">
      <c r="A3163" s="1">
        <v>946016</v>
      </c>
      <c r="B3163" s="6" t="s">
        <v>3305</v>
      </c>
      <c r="F3163" s="6" t="s">
        <v>9</v>
      </c>
      <c r="G3163" s="6" t="s">
        <v>62</v>
      </c>
      <c r="H3163" s="9" t="s">
        <v>63</v>
      </c>
      <c r="I3163" s="7" t="str">
        <f t="shared" si="196"/>
        <v>61001006002</v>
      </c>
      <c r="J3163" s="7" t="str">
        <f t="shared" si="197"/>
        <v>Материал по ЕГРН</v>
      </c>
      <c r="K3163" s="7">
        <f>VLOOKUP(J3163,Лист2!A$2:B$4,2,FALSE)</f>
        <v>792</v>
      </c>
      <c r="L3163" s="7" t="str">
        <f t="shared" si="198"/>
        <v>ГОТОВ_ИЗМЕНЕН</v>
      </c>
      <c r="M3163" s="7">
        <f t="shared" si="199"/>
        <v>0</v>
      </c>
    </row>
    <row r="3164" spans="1:13" x14ac:dyDescent="0.25">
      <c r="A3164" s="1">
        <v>946028</v>
      </c>
      <c r="B3164" s="6" t="s">
        <v>3306</v>
      </c>
      <c r="F3164" s="6" t="s">
        <v>9</v>
      </c>
      <c r="G3164" s="6" t="s">
        <v>3307</v>
      </c>
      <c r="H3164" s="9" t="s">
        <v>3308</v>
      </c>
      <c r="I3164" s="7" t="str">
        <f t="shared" si="196"/>
        <v>61001003000</v>
      </c>
      <c r="J3164" s="7" t="str">
        <f t="shared" si="197"/>
        <v>Смешанные по допущению</v>
      </c>
      <c r="K3164" s="7">
        <f>VLOOKUP(J3164,Лист2!A$2:B$4,2,FALSE)</f>
        <v>793</v>
      </c>
      <c r="L3164" s="7" t="str">
        <f t="shared" si="198"/>
        <v>ГОТОВ_ИЗМЕНЕН</v>
      </c>
      <c r="M3164" s="7">
        <f t="shared" si="199"/>
        <v>0</v>
      </c>
    </row>
    <row r="3165" spans="1:13" x14ac:dyDescent="0.25">
      <c r="A3165" s="1">
        <v>946040</v>
      </c>
      <c r="B3165" s="6" t="s">
        <v>3309</v>
      </c>
      <c r="F3165" s="6" t="s">
        <v>9</v>
      </c>
      <c r="G3165" s="6" t="s">
        <v>125</v>
      </c>
      <c r="H3165" s="9" t="s">
        <v>126</v>
      </c>
      <c r="I3165" s="7" t="str">
        <f t="shared" si="196"/>
        <v>61001007004</v>
      </c>
      <c r="J3165" s="7" t="str">
        <f t="shared" si="197"/>
        <v>Материал по ЕГРН</v>
      </c>
      <c r="K3165" s="7">
        <f>VLOOKUP(J3165,Лист2!A$2:B$4,2,FALSE)</f>
        <v>792</v>
      </c>
      <c r="L3165" s="7" t="str">
        <f t="shared" si="198"/>
        <v>ГОТОВ_ИЗМЕНЕН</v>
      </c>
      <c r="M3165" s="7">
        <f t="shared" si="199"/>
        <v>0</v>
      </c>
    </row>
    <row r="3166" spans="1:13" x14ac:dyDescent="0.25">
      <c r="A3166" s="1">
        <v>946052</v>
      </c>
      <c r="B3166" s="6" t="s">
        <v>3310</v>
      </c>
      <c r="F3166" s="6" t="s">
        <v>9</v>
      </c>
      <c r="G3166" s="6" t="s">
        <v>43</v>
      </c>
      <c r="H3166" s="9" t="s">
        <v>42</v>
      </c>
      <c r="I3166" s="7" t="str">
        <f t="shared" si="196"/>
        <v>61001002001</v>
      </c>
      <c r="J3166" s="7" t="str">
        <f t="shared" si="197"/>
        <v>Материал по ЕГРН</v>
      </c>
      <c r="K3166" s="7">
        <f>VLOOKUP(J3166,Лист2!A$2:B$4,2,FALSE)</f>
        <v>792</v>
      </c>
      <c r="L3166" s="7" t="str">
        <f t="shared" si="198"/>
        <v>ГОТОВ_ИЗМЕНЕН</v>
      </c>
      <c r="M3166" s="7">
        <f t="shared" si="199"/>
        <v>0</v>
      </c>
    </row>
    <row r="3167" spans="1:13" x14ac:dyDescent="0.25">
      <c r="A3167" s="1">
        <v>946064</v>
      </c>
      <c r="B3167" s="6" t="s">
        <v>3311</v>
      </c>
      <c r="F3167" s="6" t="s">
        <v>9</v>
      </c>
      <c r="G3167" s="6" t="s">
        <v>38</v>
      </c>
      <c r="H3167" s="9" t="s">
        <v>33</v>
      </c>
      <c r="I3167" s="7" t="str">
        <f t="shared" si="196"/>
        <v>61001005000</v>
      </c>
      <c r="J3167" s="7" t="str">
        <f t="shared" si="197"/>
        <v>Материал по ЕГРН</v>
      </c>
      <c r="K3167" s="7">
        <f>VLOOKUP(J3167,Лист2!A$2:B$4,2,FALSE)</f>
        <v>792</v>
      </c>
      <c r="L3167" s="7" t="str">
        <f t="shared" si="198"/>
        <v>ГОТОВ_ИЗМЕНЕН</v>
      </c>
      <c r="M3167" s="7">
        <f t="shared" si="199"/>
        <v>0</v>
      </c>
    </row>
    <row r="3168" spans="1:13" x14ac:dyDescent="0.25">
      <c r="A3168" s="1">
        <v>946076</v>
      </c>
      <c r="B3168" s="6" t="s">
        <v>3312</v>
      </c>
      <c r="F3168" s="6" t="s">
        <v>9</v>
      </c>
      <c r="G3168" s="6" t="s">
        <v>139</v>
      </c>
      <c r="H3168" s="9" t="s">
        <v>140</v>
      </c>
      <c r="I3168" s="7" t="str">
        <f t="shared" si="196"/>
        <v>61001999000</v>
      </c>
      <c r="J3168" s="7" t="str">
        <f t="shared" si="197"/>
        <v>Материал по ЕГРН</v>
      </c>
      <c r="K3168" s="7">
        <f>VLOOKUP(J3168,Лист2!A$2:B$4,2,FALSE)</f>
        <v>792</v>
      </c>
      <c r="L3168" s="7" t="str">
        <f t="shared" si="198"/>
        <v>ГОТОВ_ИЗМЕНЕН</v>
      </c>
      <c r="M3168" s="7">
        <f t="shared" si="199"/>
        <v>0</v>
      </c>
    </row>
    <row r="3169" spans="1:13" x14ac:dyDescent="0.25">
      <c r="A3169" s="1">
        <v>946088</v>
      </c>
      <c r="B3169" s="6" t="s">
        <v>3313</v>
      </c>
      <c r="F3169" s="6" t="s">
        <v>9</v>
      </c>
      <c r="G3169" s="6" t="s">
        <v>59</v>
      </c>
      <c r="H3169" s="9" t="s">
        <v>60</v>
      </c>
      <c r="I3169" s="7" t="str">
        <f t="shared" si="196"/>
        <v>61001001001</v>
      </c>
      <c r="J3169" s="7" t="str">
        <f t="shared" si="197"/>
        <v>Материал по ЕГРН</v>
      </c>
      <c r="K3169" s="7">
        <f>VLOOKUP(J3169,Лист2!A$2:B$4,2,FALSE)</f>
        <v>792</v>
      </c>
      <c r="L3169" s="7" t="str">
        <f t="shared" si="198"/>
        <v>ГОТОВ_ИЗМЕНЕН</v>
      </c>
      <c r="M3169" s="7">
        <f t="shared" si="199"/>
        <v>0</v>
      </c>
    </row>
    <row r="3170" spans="1:13" x14ac:dyDescent="0.25">
      <c r="A3170" s="1">
        <v>946100</v>
      </c>
      <c r="B3170" s="6" t="s">
        <v>3314</v>
      </c>
      <c r="F3170" s="6" t="s">
        <v>9</v>
      </c>
      <c r="G3170" s="6" t="s">
        <v>38</v>
      </c>
      <c r="H3170" s="9" t="s">
        <v>33</v>
      </c>
      <c r="I3170" s="7" t="str">
        <f t="shared" si="196"/>
        <v>61001005000</v>
      </c>
      <c r="J3170" s="7" t="str">
        <f t="shared" si="197"/>
        <v>Материал по ЕГРН</v>
      </c>
      <c r="K3170" s="7">
        <f>VLOOKUP(J3170,Лист2!A$2:B$4,2,FALSE)</f>
        <v>792</v>
      </c>
      <c r="L3170" s="7" t="str">
        <f t="shared" si="198"/>
        <v>ГОТОВ_ИЗМЕНЕН</v>
      </c>
      <c r="M3170" s="7">
        <f t="shared" si="199"/>
        <v>0</v>
      </c>
    </row>
    <row r="3171" spans="1:13" x14ac:dyDescent="0.25">
      <c r="A3171" s="1">
        <v>946112</v>
      </c>
      <c r="B3171" s="6" t="s">
        <v>3315</v>
      </c>
      <c r="F3171" s="6" t="s">
        <v>9</v>
      </c>
      <c r="G3171" s="6" t="s">
        <v>73</v>
      </c>
      <c r="H3171" s="9" t="s">
        <v>74</v>
      </c>
      <c r="I3171" s="7" t="str">
        <f t="shared" si="196"/>
        <v>61001006000</v>
      </c>
      <c r="J3171" s="7" t="str">
        <f t="shared" si="197"/>
        <v>Материал по ЕГРН</v>
      </c>
      <c r="K3171" s="7">
        <f>VLOOKUP(J3171,Лист2!A$2:B$4,2,FALSE)</f>
        <v>792</v>
      </c>
      <c r="L3171" s="7" t="str">
        <f t="shared" si="198"/>
        <v>ГОТОВ_ИЗМЕНЕН</v>
      </c>
      <c r="M3171" s="7">
        <f t="shared" si="199"/>
        <v>0</v>
      </c>
    </row>
    <row r="3172" spans="1:13" x14ac:dyDescent="0.25">
      <c r="A3172" s="1">
        <v>946124</v>
      </c>
      <c r="B3172" s="6" t="s">
        <v>3316</v>
      </c>
      <c r="F3172" s="6" t="s">
        <v>9</v>
      </c>
      <c r="G3172" s="6" t="s">
        <v>38</v>
      </c>
      <c r="H3172" s="9" t="s">
        <v>33</v>
      </c>
      <c r="I3172" s="7" t="str">
        <f t="shared" si="196"/>
        <v>61001005000</v>
      </c>
      <c r="J3172" s="7" t="str">
        <f t="shared" si="197"/>
        <v>Материал по ЕГРН</v>
      </c>
      <c r="K3172" s="7">
        <f>VLOOKUP(J3172,Лист2!A$2:B$4,2,FALSE)</f>
        <v>792</v>
      </c>
      <c r="L3172" s="7" t="str">
        <f t="shared" si="198"/>
        <v>ГОТОВ_ИЗМЕНЕН</v>
      </c>
      <c r="M3172" s="7">
        <f t="shared" si="199"/>
        <v>0</v>
      </c>
    </row>
    <row r="3173" spans="1:13" x14ac:dyDescent="0.25">
      <c r="A3173" s="1">
        <v>946136</v>
      </c>
      <c r="B3173" s="6" t="s">
        <v>3317</v>
      </c>
      <c r="F3173" s="6" t="s">
        <v>9</v>
      </c>
      <c r="G3173" s="6" t="s">
        <v>73</v>
      </c>
      <c r="H3173" s="9" t="s">
        <v>74</v>
      </c>
      <c r="I3173" s="7" t="str">
        <f t="shared" si="196"/>
        <v>61001006000</v>
      </c>
      <c r="J3173" s="7" t="str">
        <f t="shared" si="197"/>
        <v>Материал по ЕГРН</v>
      </c>
      <c r="K3173" s="7">
        <f>VLOOKUP(J3173,Лист2!A$2:B$4,2,FALSE)</f>
        <v>792</v>
      </c>
      <c r="L3173" s="7" t="str">
        <f t="shared" si="198"/>
        <v>ГОТОВ_ИЗМЕНЕН</v>
      </c>
      <c r="M3173" s="7">
        <f t="shared" si="199"/>
        <v>0</v>
      </c>
    </row>
    <row r="3174" spans="1:13" x14ac:dyDescent="0.25">
      <c r="A3174" s="1">
        <v>946148</v>
      </c>
      <c r="B3174" s="6" t="s">
        <v>3318</v>
      </c>
      <c r="F3174" s="6" t="s">
        <v>9</v>
      </c>
      <c r="G3174" s="6" t="s">
        <v>90</v>
      </c>
      <c r="H3174" s="9" t="s">
        <v>12</v>
      </c>
      <c r="I3174" s="7" t="str">
        <f t="shared" si="196"/>
        <v>61001008000</v>
      </c>
      <c r="J3174" s="7" t="str">
        <f t="shared" si="197"/>
        <v>Материал по ЕГРН</v>
      </c>
      <c r="K3174" s="7">
        <f>VLOOKUP(J3174,Лист2!A$2:B$4,2,FALSE)</f>
        <v>792</v>
      </c>
      <c r="L3174" s="7" t="str">
        <f t="shared" si="198"/>
        <v>ГОТОВ_ИЗМЕНЕН</v>
      </c>
      <c r="M3174" s="7">
        <f t="shared" si="199"/>
        <v>0</v>
      </c>
    </row>
    <row r="3175" spans="1:13" x14ac:dyDescent="0.25">
      <c r="A3175" s="1">
        <v>946160</v>
      </c>
      <c r="B3175" s="6" t="s">
        <v>3319</v>
      </c>
      <c r="F3175" s="6" t="s">
        <v>9</v>
      </c>
      <c r="G3175" s="6" t="s">
        <v>38</v>
      </c>
      <c r="H3175" s="9" t="s">
        <v>33</v>
      </c>
      <c r="I3175" s="7" t="str">
        <f t="shared" si="196"/>
        <v>61001005000</v>
      </c>
      <c r="J3175" s="7" t="str">
        <f t="shared" si="197"/>
        <v>Материал по ЕГРН</v>
      </c>
      <c r="K3175" s="7">
        <f>VLOOKUP(J3175,Лист2!A$2:B$4,2,FALSE)</f>
        <v>792</v>
      </c>
      <c r="L3175" s="7" t="str">
        <f t="shared" si="198"/>
        <v>ГОТОВ_ИЗМЕНЕН</v>
      </c>
      <c r="M3175" s="7">
        <f t="shared" si="199"/>
        <v>0</v>
      </c>
    </row>
    <row r="3176" spans="1:13" x14ac:dyDescent="0.25">
      <c r="A3176" s="1">
        <v>39284</v>
      </c>
      <c r="B3176" s="6" t="s">
        <v>3320</v>
      </c>
      <c r="C3176" s="9" t="s">
        <v>60</v>
      </c>
      <c r="D3176" s="6" t="s">
        <v>20</v>
      </c>
      <c r="E3176" s="6" t="s">
        <v>37</v>
      </c>
      <c r="F3176" s="6" t="s">
        <v>9</v>
      </c>
      <c r="G3176" s="6" t="s">
        <v>59</v>
      </c>
      <c r="H3176" s="9" t="s">
        <v>60</v>
      </c>
      <c r="I3176" s="7" t="str">
        <f t="shared" si="196"/>
        <v>61001001001</v>
      </c>
      <c r="J3176" s="7" t="str">
        <f t="shared" si="197"/>
        <v>Материал по ЕГРН</v>
      </c>
      <c r="K3176" s="7">
        <f>VLOOKUP(J3176,Лист2!A$2:B$4,2,FALSE)</f>
        <v>792</v>
      </c>
      <c r="L3176" s="7" t="str">
        <f t="shared" si="198"/>
        <v>ГОТОВ</v>
      </c>
      <c r="M3176" s="7" t="str">
        <f t="shared" si="199"/>
        <v>61001001001</v>
      </c>
    </row>
    <row r="3177" spans="1:13" x14ac:dyDescent="0.25">
      <c r="A3177" s="1">
        <v>320399</v>
      </c>
      <c r="B3177" s="6" t="s">
        <v>3321</v>
      </c>
      <c r="C3177" s="9" t="s">
        <v>35</v>
      </c>
      <c r="D3177" s="6" t="s">
        <v>20</v>
      </c>
      <c r="E3177" s="6" t="s">
        <v>37</v>
      </c>
      <c r="F3177" s="6" t="s">
        <v>9</v>
      </c>
      <c r="G3177" s="6" t="s">
        <v>34</v>
      </c>
      <c r="H3177" s="9" t="s">
        <v>35</v>
      </c>
      <c r="I3177" s="7" t="str">
        <f t="shared" si="196"/>
        <v>61001002000</v>
      </c>
      <c r="J3177" s="7" t="str">
        <f t="shared" si="197"/>
        <v>Материал по ЕГРН</v>
      </c>
      <c r="K3177" s="7">
        <f>VLOOKUP(J3177,Лист2!A$2:B$4,2,FALSE)</f>
        <v>792</v>
      </c>
      <c r="L3177" s="7" t="str">
        <f t="shared" si="198"/>
        <v>ГОТОВ</v>
      </c>
      <c r="M3177" s="7" t="str">
        <f t="shared" si="199"/>
        <v>61001002000</v>
      </c>
    </row>
    <row r="3178" spans="1:13" x14ac:dyDescent="0.25">
      <c r="A3178" s="1">
        <v>805804</v>
      </c>
      <c r="B3178" s="6" t="s">
        <v>3322</v>
      </c>
      <c r="C3178" s="9" t="s">
        <v>33</v>
      </c>
      <c r="D3178" s="6" t="s">
        <v>20</v>
      </c>
      <c r="E3178" s="6" t="s">
        <v>37</v>
      </c>
      <c r="F3178" s="6" t="s">
        <v>9</v>
      </c>
      <c r="G3178" s="6" t="s">
        <v>38</v>
      </c>
      <c r="H3178" s="9" t="s">
        <v>33</v>
      </c>
      <c r="I3178" s="7" t="str">
        <f t="shared" si="196"/>
        <v>61001005000</v>
      </c>
      <c r="J3178" s="7" t="str">
        <f t="shared" si="197"/>
        <v>Материал по ЕГРН</v>
      </c>
      <c r="K3178" s="7">
        <f>VLOOKUP(J3178,Лист2!A$2:B$4,2,FALSE)</f>
        <v>792</v>
      </c>
      <c r="L3178" s="7" t="str">
        <f t="shared" si="198"/>
        <v>ГОТОВ</v>
      </c>
      <c r="M3178" s="7" t="str">
        <f t="shared" si="199"/>
        <v>61001005000</v>
      </c>
    </row>
    <row r="3179" spans="1:13" x14ac:dyDescent="0.25">
      <c r="A3179" s="1">
        <v>945500</v>
      </c>
      <c r="B3179" s="6" t="s">
        <v>3323</v>
      </c>
      <c r="F3179" s="6" t="s">
        <v>9</v>
      </c>
      <c r="G3179" s="6" t="s">
        <v>38</v>
      </c>
      <c r="H3179" s="9" t="s">
        <v>33</v>
      </c>
      <c r="I3179" s="7" t="str">
        <f t="shared" si="196"/>
        <v>61001005000</v>
      </c>
      <c r="J3179" s="7" t="str">
        <f t="shared" si="197"/>
        <v>Материал по ЕГРН</v>
      </c>
      <c r="K3179" s="7">
        <f>VLOOKUP(J3179,Лист2!A$2:B$4,2,FALSE)</f>
        <v>792</v>
      </c>
      <c r="L3179" s="7" t="str">
        <f t="shared" si="198"/>
        <v>ГОТОВ_ИЗМЕНЕН</v>
      </c>
      <c r="M3179" s="7">
        <f t="shared" si="199"/>
        <v>0</v>
      </c>
    </row>
    <row r="3180" spans="1:13" x14ac:dyDescent="0.25">
      <c r="A3180" s="1">
        <v>945512</v>
      </c>
      <c r="B3180" s="6" t="s">
        <v>3324</v>
      </c>
      <c r="F3180" s="6" t="s">
        <v>9</v>
      </c>
      <c r="G3180" s="6" t="s">
        <v>38</v>
      </c>
      <c r="H3180" s="9" t="s">
        <v>33</v>
      </c>
      <c r="I3180" s="7" t="str">
        <f t="shared" si="196"/>
        <v>61001005000</v>
      </c>
      <c r="J3180" s="7" t="str">
        <f t="shared" si="197"/>
        <v>Материал по ЕГРН</v>
      </c>
      <c r="K3180" s="7">
        <f>VLOOKUP(J3180,Лист2!A$2:B$4,2,FALSE)</f>
        <v>792</v>
      </c>
      <c r="L3180" s="7" t="str">
        <f t="shared" si="198"/>
        <v>ГОТОВ_ИЗМЕНЕН</v>
      </c>
      <c r="M3180" s="7">
        <f t="shared" si="199"/>
        <v>0</v>
      </c>
    </row>
    <row r="3181" spans="1:13" x14ac:dyDescent="0.25">
      <c r="A3181" s="1">
        <v>945524</v>
      </c>
      <c r="B3181" s="6" t="s">
        <v>3325</v>
      </c>
      <c r="F3181" s="6" t="s">
        <v>9</v>
      </c>
      <c r="G3181" s="6" t="s">
        <v>38</v>
      </c>
      <c r="H3181" s="9" t="s">
        <v>33</v>
      </c>
      <c r="I3181" s="7" t="str">
        <f t="shared" si="196"/>
        <v>61001005000</v>
      </c>
      <c r="J3181" s="7" t="str">
        <f t="shared" si="197"/>
        <v>Материал по ЕГРН</v>
      </c>
      <c r="K3181" s="7">
        <f>VLOOKUP(J3181,Лист2!A$2:B$4,2,FALSE)</f>
        <v>792</v>
      </c>
      <c r="L3181" s="7" t="str">
        <f t="shared" si="198"/>
        <v>ГОТОВ_ИЗМЕНЕН</v>
      </c>
      <c r="M3181" s="7">
        <f t="shared" si="199"/>
        <v>0</v>
      </c>
    </row>
    <row r="3182" spans="1:13" x14ac:dyDescent="0.25">
      <c r="A3182" s="1">
        <v>945536</v>
      </c>
      <c r="B3182" s="6" t="s">
        <v>3326</v>
      </c>
      <c r="F3182" s="6" t="s">
        <v>9</v>
      </c>
      <c r="G3182" s="6" t="s">
        <v>38</v>
      </c>
      <c r="H3182" s="9" t="s">
        <v>33</v>
      </c>
      <c r="I3182" s="7" t="str">
        <f t="shared" si="196"/>
        <v>61001005000</v>
      </c>
      <c r="J3182" s="7" t="str">
        <f t="shared" si="197"/>
        <v>Материал по ЕГРН</v>
      </c>
      <c r="K3182" s="7">
        <f>VLOOKUP(J3182,Лист2!A$2:B$4,2,FALSE)</f>
        <v>792</v>
      </c>
      <c r="L3182" s="7" t="str">
        <f t="shared" si="198"/>
        <v>ГОТОВ_ИЗМЕНЕН</v>
      </c>
      <c r="M3182" s="7">
        <f t="shared" si="199"/>
        <v>0</v>
      </c>
    </row>
    <row r="3183" spans="1:13" x14ac:dyDescent="0.25">
      <c r="A3183" s="1">
        <v>945548</v>
      </c>
      <c r="B3183" s="6" t="s">
        <v>3327</v>
      </c>
      <c r="F3183" s="6" t="s">
        <v>9</v>
      </c>
      <c r="G3183" s="6" t="s">
        <v>149</v>
      </c>
      <c r="H3183" s="9" t="s">
        <v>150</v>
      </c>
      <c r="I3183" s="7" t="str">
        <f t="shared" si="196"/>
        <v>61001007000</v>
      </c>
      <c r="J3183" s="7" t="str">
        <f t="shared" si="197"/>
        <v>Материал по ЕГРН</v>
      </c>
      <c r="K3183" s="7">
        <f>VLOOKUP(J3183,Лист2!A$2:B$4,2,FALSE)</f>
        <v>792</v>
      </c>
      <c r="L3183" s="7" t="str">
        <f t="shared" si="198"/>
        <v>ГОТОВ_ИЗМЕНЕН</v>
      </c>
      <c r="M3183" s="7">
        <f t="shared" si="199"/>
        <v>0</v>
      </c>
    </row>
    <row r="3184" spans="1:13" x14ac:dyDescent="0.25">
      <c r="A3184" s="1">
        <v>945560</v>
      </c>
      <c r="B3184" s="6" t="s">
        <v>3328</v>
      </c>
      <c r="F3184" s="6" t="s">
        <v>9</v>
      </c>
      <c r="G3184" s="6" t="s">
        <v>38</v>
      </c>
      <c r="H3184" s="9" t="s">
        <v>33</v>
      </c>
      <c r="I3184" s="7" t="str">
        <f t="shared" si="196"/>
        <v>61001005000</v>
      </c>
      <c r="J3184" s="7" t="str">
        <f t="shared" si="197"/>
        <v>Материал по ЕГРН</v>
      </c>
      <c r="K3184" s="7">
        <f>VLOOKUP(J3184,Лист2!A$2:B$4,2,FALSE)</f>
        <v>792</v>
      </c>
      <c r="L3184" s="7" t="str">
        <f t="shared" si="198"/>
        <v>ГОТОВ_ИЗМЕНЕН</v>
      </c>
      <c r="M3184" s="7">
        <f t="shared" si="199"/>
        <v>0</v>
      </c>
    </row>
    <row r="3185" spans="1:13" x14ac:dyDescent="0.25">
      <c r="A3185" s="1">
        <v>945572</v>
      </c>
      <c r="B3185" s="6" t="s">
        <v>3329</v>
      </c>
      <c r="F3185" s="6" t="s">
        <v>9</v>
      </c>
      <c r="G3185" s="6" t="s">
        <v>170</v>
      </c>
      <c r="H3185" s="9" t="s">
        <v>171</v>
      </c>
      <c r="I3185" s="7" t="str">
        <f t="shared" si="196"/>
        <v>61001001000</v>
      </c>
      <c r="J3185" s="7" t="str">
        <f t="shared" si="197"/>
        <v>Материал по ЕГРН</v>
      </c>
      <c r="K3185" s="7">
        <f>VLOOKUP(J3185,Лист2!A$2:B$4,2,FALSE)</f>
        <v>792</v>
      </c>
      <c r="L3185" s="7" t="str">
        <f t="shared" si="198"/>
        <v>ГОТОВ_ИЗМЕНЕН</v>
      </c>
      <c r="M3185" s="7">
        <f t="shared" si="199"/>
        <v>0</v>
      </c>
    </row>
    <row r="3186" spans="1:13" x14ac:dyDescent="0.25">
      <c r="A3186" s="1">
        <v>945584</v>
      </c>
      <c r="B3186" s="6" t="s">
        <v>3330</v>
      </c>
      <c r="F3186" s="6" t="s">
        <v>9</v>
      </c>
      <c r="G3186" s="6" t="s">
        <v>34</v>
      </c>
      <c r="H3186" s="9" t="s">
        <v>35</v>
      </c>
      <c r="I3186" s="7" t="str">
        <f t="shared" si="196"/>
        <v>61001002000</v>
      </c>
      <c r="J3186" s="7" t="str">
        <f t="shared" si="197"/>
        <v>Материал по ЕГРН</v>
      </c>
      <c r="K3186" s="7">
        <f>VLOOKUP(J3186,Лист2!A$2:B$4,2,FALSE)</f>
        <v>792</v>
      </c>
      <c r="L3186" s="7" t="str">
        <f t="shared" si="198"/>
        <v>ГОТОВ_ИЗМЕНЕН</v>
      </c>
      <c r="M3186" s="7">
        <f t="shared" si="199"/>
        <v>0</v>
      </c>
    </row>
    <row r="3187" spans="1:13" x14ac:dyDescent="0.25">
      <c r="A3187" s="1">
        <v>945596</v>
      </c>
      <c r="B3187" s="6" t="s">
        <v>3331</v>
      </c>
      <c r="F3187" s="6" t="s">
        <v>9</v>
      </c>
      <c r="G3187" s="6" t="s">
        <v>34</v>
      </c>
      <c r="H3187" s="9" t="s">
        <v>35</v>
      </c>
      <c r="I3187" s="7" t="str">
        <f t="shared" si="196"/>
        <v>61001002000</v>
      </c>
      <c r="J3187" s="7" t="str">
        <f t="shared" si="197"/>
        <v>Материал по ЕГРН</v>
      </c>
      <c r="K3187" s="7">
        <f>VLOOKUP(J3187,Лист2!A$2:B$4,2,FALSE)</f>
        <v>792</v>
      </c>
      <c r="L3187" s="7" t="str">
        <f t="shared" si="198"/>
        <v>ГОТОВ_ИЗМЕНЕН</v>
      </c>
      <c r="M3187" s="7">
        <f t="shared" si="199"/>
        <v>0</v>
      </c>
    </row>
    <row r="3188" spans="1:13" x14ac:dyDescent="0.25">
      <c r="A3188" s="1">
        <v>945608</v>
      </c>
      <c r="B3188" s="6" t="s">
        <v>3332</v>
      </c>
      <c r="F3188" s="6" t="s">
        <v>9</v>
      </c>
      <c r="G3188" s="6" t="s">
        <v>34</v>
      </c>
      <c r="H3188" s="9" t="s">
        <v>35</v>
      </c>
      <c r="I3188" s="7" t="str">
        <f t="shared" si="196"/>
        <v>61001002000</v>
      </c>
      <c r="J3188" s="7" t="str">
        <f t="shared" si="197"/>
        <v>Материал по ЕГРН</v>
      </c>
      <c r="K3188" s="7">
        <f>VLOOKUP(J3188,Лист2!A$2:B$4,2,FALSE)</f>
        <v>792</v>
      </c>
      <c r="L3188" s="7" t="str">
        <f t="shared" si="198"/>
        <v>ГОТОВ_ИЗМЕНЕН</v>
      </c>
      <c r="M3188" s="7">
        <f t="shared" si="199"/>
        <v>0</v>
      </c>
    </row>
    <row r="3189" spans="1:13" x14ac:dyDescent="0.25">
      <c r="A3189" s="1">
        <v>945620</v>
      </c>
      <c r="B3189" s="6" t="s">
        <v>3333</v>
      </c>
      <c r="F3189" s="6" t="s">
        <v>9</v>
      </c>
      <c r="G3189" s="6" t="s">
        <v>90</v>
      </c>
      <c r="H3189" s="9" t="s">
        <v>12</v>
      </c>
      <c r="I3189" s="7" t="str">
        <f t="shared" si="196"/>
        <v>61001008000</v>
      </c>
      <c r="J3189" s="7" t="str">
        <f t="shared" si="197"/>
        <v>Материал по ЕГРН</v>
      </c>
      <c r="K3189" s="7">
        <f>VLOOKUP(J3189,Лист2!A$2:B$4,2,FALSE)</f>
        <v>792</v>
      </c>
      <c r="L3189" s="7" t="str">
        <f t="shared" si="198"/>
        <v>ГОТОВ_ИЗМЕНЕН</v>
      </c>
      <c r="M3189" s="7">
        <f t="shared" si="199"/>
        <v>0</v>
      </c>
    </row>
    <row r="3190" spans="1:13" x14ac:dyDescent="0.25">
      <c r="A3190" s="1">
        <v>945632</v>
      </c>
      <c r="B3190" s="6" t="s">
        <v>3334</v>
      </c>
      <c r="F3190" s="6" t="s">
        <v>9</v>
      </c>
      <c r="G3190" s="6" t="s">
        <v>38</v>
      </c>
      <c r="H3190" s="9" t="s">
        <v>33</v>
      </c>
      <c r="I3190" s="7" t="str">
        <f t="shared" si="196"/>
        <v>61001005000</v>
      </c>
      <c r="J3190" s="7" t="str">
        <f t="shared" si="197"/>
        <v>Материал по ЕГРН</v>
      </c>
      <c r="K3190" s="7">
        <f>VLOOKUP(J3190,Лист2!A$2:B$4,2,FALSE)</f>
        <v>792</v>
      </c>
      <c r="L3190" s="7" t="str">
        <f t="shared" si="198"/>
        <v>ГОТОВ_ИЗМЕНЕН</v>
      </c>
      <c r="M3190" s="7">
        <f t="shared" si="199"/>
        <v>0</v>
      </c>
    </row>
    <row r="3191" spans="1:13" x14ac:dyDescent="0.25">
      <c r="A3191" s="1">
        <v>945644</v>
      </c>
      <c r="B3191" s="6" t="s">
        <v>3335</v>
      </c>
      <c r="F3191" s="6" t="s">
        <v>9</v>
      </c>
      <c r="G3191" s="6" t="s">
        <v>62</v>
      </c>
      <c r="H3191" s="9" t="s">
        <v>63</v>
      </c>
      <c r="I3191" s="7" t="str">
        <f t="shared" si="196"/>
        <v>61001006002</v>
      </c>
      <c r="J3191" s="7" t="str">
        <f t="shared" si="197"/>
        <v>Материал по ЕГРН</v>
      </c>
      <c r="K3191" s="7">
        <f>VLOOKUP(J3191,Лист2!A$2:B$4,2,FALSE)</f>
        <v>792</v>
      </c>
      <c r="L3191" s="7" t="str">
        <f t="shared" si="198"/>
        <v>ГОТОВ_ИЗМЕНЕН</v>
      </c>
      <c r="M3191" s="7">
        <f t="shared" si="199"/>
        <v>0</v>
      </c>
    </row>
    <row r="3192" spans="1:13" x14ac:dyDescent="0.25">
      <c r="A3192" s="1">
        <v>945656</v>
      </c>
      <c r="B3192" s="6" t="s">
        <v>3336</v>
      </c>
      <c r="F3192" s="6" t="s">
        <v>9</v>
      </c>
      <c r="G3192" s="6" t="s">
        <v>34</v>
      </c>
      <c r="H3192" s="9" t="s">
        <v>35</v>
      </c>
      <c r="I3192" s="7" t="str">
        <f t="shared" si="196"/>
        <v>61001002000</v>
      </c>
      <c r="J3192" s="7" t="str">
        <f t="shared" si="197"/>
        <v>Материал по ЕГРН</v>
      </c>
      <c r="K3192" s="7">
        <f>VLOOKUP(J3192,Лист2!A$2:B$4,2,FALSE)</f>
        <v>792</v>
      </c>
      <c r="L3192" s="7" t="str">
        <f t="shared" si="198"/>
        <v>ГОТОВ_ИЗМЕНЕН</v>
      </c>
      <c r="M3192" s="7">
        <f t="shared" si="199"/>
        <v>0</v>
      </c>
    </row>
    <row r="3193" spans="1:13" x14ac:dyDescent="0.25">
      <c r="A3193" s="1">
        <v>945668</v>
      </c>
      <c r="B3193" s="6" t="s">
        <v>3337</v>
      </c>
      <c r="F3193" s="6" t="s">
        <v>9</v>
      </c>
      <c r="G3193" s="6" t="s">
        <v>59</v>
      </c>
      <c r="H3193" s="9" t="s">
        <v>60</v>
      </c>
      <c r="I3193" s="7" t="str">
        <f t="shared" si="196"/>
        <v>61001001001</v>
      </c>
      <c r="J3193" s="7" t="str">
        <f t="shared" si="197"/>
        <v>Материал по ЕГРН</v>
      </c>
      <c r="K3193" s="7">
        <f>VLOOKUP(J3193,Лист2!A$2:B$4,2,FALSE)</f>
        <v>792</v>
      </c>
      <c r="L3193" s="7" t="str">
        <f t="shared" si="198"/>
        <v>ГОТОВ_ИЗМЕНЕН</v>
      </c>
      <c r="M3193" s="7">
        <f t="shared" si="199"/>
        <v>0</v>
      </c>
    </row>
    <row r="3194" spans="1:13" x14ac:dyDescent="0.25">
      <c r="A3194" s="1">
        <v>945680</v>
      </c>
      <c r="B3194" s="6" t="s">
        <v>3338</v>
      </c>
      <c r="F3194" s="6" t="s">
        <v>9</v>
      </c>
      <c r="G3194" s="6" t="s">
        <v>34</v>
      </c>
      <c r="H3194" s="9" t="s">
        <v>35</v>
      </c>
      <c r="I3194" s="7" t="str">
        <f t="shared" si="196"/>
        <v>61001002000</v>
      </c>
      <c r="J3194" s="7" t="str">
        <f t="shared" si="197"/>
        <v>Материал по ЕГРН</v>
      </c>
      <c r="K3194" s="7">
        <f>VLOOKUP(J3194,Лист2!A$2:B$4,2,FALSE)</f>
        <v>792</v>
      </c>
      <c r="L3194" s="7" t="str">
        <f t="shared" si="198"/>
        <v>ГОТОВ_ИЗМЕНЕН</v>
      </c>
      <c r="M3194" s="7">
        <f t="shared" si="199"/>
        <v>0</v>
      </c>
    </row>
    <row r="3195" spans="1:13" x14ac:dyDescent="0.25">
      <c r="A3195" s="1">
        <v>945692</v>
      </c>
      <c r="B3195" s="6" t="s">
        <v>3339</v>
      </c>
      <c r="F3195" s="6" t="s">
        <v>9</v>
      </c>
      <c r="G3195" s="6" t="s">
        <v>38</v>
      </c>
      <c r="H3195" s="9" t="s">
        <v>33</v>
      </c>
      <c r="I3195" s="7" t="str">
        <f t="shared" si="196"/>
        <v>61001005000</v>
      </c>
      <c r="J3195" s="7" t="str">
        <f t="shared" si="197"/>
        <v>Материал по ЕГРН</v>
      </c>
      <c r="K3195" s="7">
        <f>VLOOKUP(J3195,Лист2!A$2:B$4,2,FALSE)</f>
        <v>792</v>
      </c>
      <c r="L3195" s="7" t="str">
        <f t="shared" si="198"/>
        <v>ГОТОВ_ИЗМЕНЕН</v>
      </c>
      <c r="M3195" s="7">
        <f t="shared" si="199"/>
        <v>0</v>
      </c>
    </row>
    <row r="3196" spans="1:13" x14ac:dyDescent="0.25">
      <c r="A3196" s="1">
        <v>945704</v>
      </c>
      <c r="B3196" s="6" t="s">
        <v>3340</v>
      </c>
      <c r="F3196" s="6" t="s">
        <v>9</v>
      </c>
      <c r="G3196" s="6" t="s">
        <v>38</v>
      </c>
      <c r="H3196" s="9" t="s">
        <v>33</v>
      </c>
      <c r="I3196" s="7" t="str">
        <f t="shared" si="196"/>
        <v>61001005000</v>
      </c>
      <c r="J3196" s="7" t="str">
        <f t="shared" si="197"/>
        <v>Материал по ЕГРН</v>
      </c>
      <c r="K3196" s="7">
        <f>VLOOKUP(J3196,Лист2!A$2:B$4,2,FALSE)</f>
        <v>792</v>
      </c>
      <c r="L3196" s="7" t="str">
        <f t="shared" si="198"/>
        <v>ГОТОВ_ИЗМЕНЕН</v>
      </c>
      <c r="M3196" s="7">
        <f t="shared" si="199"/>
        <v>0</v>
      </c>
    </row>
    <row r="3197" spans="1:13" x14ac:dyDescent="0.25">
      <c r="A3197" s="1">
        <v>945716</v>
      </c>
      <c r="B3197" s="6" t="s">
        <v>3341</v>
      </c>
      <c r="F3197" s="6" t="s">
        <v>9</v>
      </c>
      <c r="G3197" s="6" t="s">
        <v>38</v>
      </c>
      <c r="H3197" s="9" t="s">
        <v>33</v>
      </c>
      <c r="I3197" s="7" t="str">
        <f t="shared" si="196"/>
        <v>61001005000</v>
      </c>
      <c r="J3197" s="7" t="str">
        <f t="shared" si="197"/>
        <v>Материал по ЕГРН</v>
      </c>
      <c r="K3197" s="7">
        <f>VLOOKUP(J3197,Лист2!A$2:B$4,2,FALSE)</f>
        <v>792</v>
      </c>
      <c r="L3197" s="7" t="str">
        <f t="shared" si="198"/>
        <v>ГОТОВ_ИЗМЕНЕН</v>
      </c>
      <c r="M3197" s="7">
        <f t="shared" si="199"/>
        <v>0</v>
      </c>
    </row>
    <row r="3198" spans="1:13" x14ac:dyDescent="0.25">
      <c r="A3198" s="1">
        <v>945728</v>
      </c>
      <c r="B3198" s="6" t="s">
        <v>3342</v>
      </c>
      <c r="F3198" s="6" t="s">
        <v>9</v>
      </c>
      <c r="G3198" s="6" t="s">
        <v>34</v>
      </c>
      <c r="H3198" s="9" t="s">
        <v>35</v>
      </c>
      <c r="I3198" s="7" t="str">
        <f t="shared" si="196"/>
        <v>61001002000</v>
      </c>
      <c r="J3198" s="7" t="str">
        <f t="shared" si="197"/>
        <v>Материал по ЕГРН</v>
      </c>
      <c r="K3198" s="7">
        <f>VLOOKUP(J3198,Лист2!A$2:B$4,2,FALSE)</f>
        <v>792</v>
      </c>
      <c r="L3198" s="7" t="str">
        <f t="shared" si="198"/>
        <v>ГОТОВ_ИЗМЕНЕН</v>
      </c>
      <c r="M3198" s="7">
        <f t="shared" si="199"/>
        <v>0</v>
      </c>
    </row>
    <row r="3199" spans="1:13" x14ac:dyDescent="0.25">
      <c r="A3199" s="1">
        <v>945740</v>
      </c>
      <c r="B3199" s="6" t="s">
        <v>3343</v>
      </c>
      <c r="F3199" s="6" t="s">
        <v>9</v>
      </c>
      <c r="G3199" s="6" t="s">
        <v>2588</v>
      </c>
      <c r="H3199" s="9" t="s">
        <v>2589</v>
      </c>
      <c r="I3199" s="7" t="str">
        <f t="shared" si="196"/>
        <v>61001003000</v>
      </c>
      <c r="J3199" s="7" t="str">
        <f t="shared" si="197"/>
        <v>Смешанные по допущению</v>
      </c>
      <c r="K3199" s="7">
        <f>VLOOKUP(J3199,Лист2!A$2:B$4,2,FALSE)</f>
        <v>793</v>
      </c>
      <c r="L3199" s="7" t="str">
        <f t="shared" si="198"/>
        <v>ГОТОВ_ИЗМЕНЕН</v>
      </c>
      <c r="M3199" s="7">
        <f t="shared" si="199"/>
        <v>0</v>
      </c>
    </row>
    <row r="3200" spans="1:13" x14ac:dyDescent="0.25">
      <c r="A3200" s="1">
        <v>945752</v>
      </c>
      <c r="B3200" s="6" t="s">
        <v>3344</v>
      </c>
      <c r="F3200" s="6" t="s">
        <v>9</v>
      </c>
      <c r="G3200" s="6" t="s">
        <v>38</v>
      </c>
      <c r="H3200" s="9" t="s">
        <v>33</v>
      </c>
      <c r="I3200" s="7" t="str">
        <f t="shared" si="196"/>
        <v>61001005000</v>
      </c>
      <c r="J3200" s="7" t="str">
        <f t="shared" si="197"/>
        <v>Материал по ЕГРН</v>
      </c>
      <c r="K3200" s="7">
        <f>VLOOKUP(J3200,Лист2!A$2:B$4,2,FALSE)</f>
        <v>792</v>
      </c>
      <c r="L3200" s="7" t="str">
        <f t="shared" si="198"/>
        <v>ГОТОВ_ИЗМЕНЕН</v>
      </c>
      <c r="M3200" s="7">
        <f t="shared" si="199"/>
        <v>0</v>
      </c>
    </row>
    <row r="3201" spans="1:13" x14ac:dyDescent="0.25">
      <c r="A3201" s="1">
        <v>945764</v>
      </c>
      <c r="B3201" s="6" t="s">
        <v>3345</v>
      </c>
      <c r="F3201" s="6" t="s">
        <v>9</v>
      </c>
      <c r="G3201" s="6" t="s">
        <v>34</v>
      </c>
      <c r="H3201" s="9" t="s">
        <v>35</v>
      </c>
      <c r="I3201" s="7" t="str">
        <f t="shared" si="196"/>
        <v>61001002000</v>
      </c>
      <c r="J3201" s="7" t="str">
        <f t="shared" si="197"/>
        <v>Материал по ЕГРН</v>
      </c>
      <c r="K3201" s="7">
        <f>VLOOKUP(J3201,Лист2!A$2:B$4,2,FALSE)</f>
        <v>792</v>
      </c>
      <c r="L3201" s="7" t="str">
        <f t="shared" si="198"/>
        <v>ГОТОВ_ИЗМЕНЕН</v>
      </c>
      <c r="M3201" s="7">
        <f t="shared" si="199"/>
        <v>0</v>
      </c>
    </row>
    <row r="3202" spans="1:13" x14ac:dyDescent="0.25">
      <c r="A3202" s="1">
        <v>945776</v>
      </c>
      <c r="B3202" s="6" t="s">
        <v>3346</v>
      </c>
      <c r="F3202" s="6" t="s">
        <v>9</v>
      </c>
      <c r="G3202" s="6" t="s">
        <v>38</v>
      </c>
      <c r="H3202" s="9" t="s">
        <v>33</v>
      </c>
      <c r="I3202" s="7" t="str">
        <f t="shared" si="196"/>
        <v>61001005000</v>
      </c>
      <c r="J3202" s="7" t="str">
        <f t="shared" si="197"/>
        <v>Материал по ЕГРН</v>
      </c>
      <c r="K3202" s="7">
        <f>VLOOKUP(J3202,Лист2!A$2:B$4,2,FALSE)</f>
        <v>792</v>
      </c>
      <c r="L3202" s="7" t="str">
        <f t="shared" si="198"/>
        <v>ГОТОВ_ИЗМЕНЕН</v>
      </c>
      <c r="M3202" s="7">
        <f t="shared" si="199"/>
        <v>0</v>
      </c>
    </row>
    <row r="3203" spans="1:13" x14ac:dyDescent="0.25">
      <c r="A3203" s="1">
        <v>285461</v>
      </c>
      <c r="B3203" s="6" t="s">
        <v>3347</v>
      </c>
      <c r="C3203" s="9" t="s">
        <v>33</v>
      </c>
      <c r="D3203" s="6" t="s">
        <v>20</v>
      </c>
      <c r="E3203" s="6" t="s">
        <v>37</v>
      </c>
      <c r="F3203" s="6" t="s">
        <v>9</v>
      </c>
      <c r="G3203" s="6" t="s">
        <v>38</v>
      </c>
      <c r="H3203" s="9" t="s">
        <v>33</v>
      </c>
      <c r="I3203" s="7" t="str">
        <f t="shared" si="196"/>
        <v>61001005000</v>
      </c>
      <c r="J3203" s="7" t="str">
        <f t="shared" si="197"/>
        <v>Материал по ЕГРН</v>
      </c>
      <c r="K3203" s="7">
        <f>VLOOKUP(J3203,Лист2!A$2:B$4,2,FALSE)</f>
        <v>792</v>
      </c>
      <c r="L3203" s="7" t="str">
        <f t="shared" si="198"/>
        <v>ГОТОВ</v>
      </c>
      <c r="M3203" s="7" t="str">
        <f t="shared" si="199"/>
        <v>61001005000</v>
      </c>
    </row>
    <row r="3204" spans="1:13" x14ac:dyDescent="0.25">
      <c r="A3204" s="1">
        <v>796198</v>
      </c>
      <c r="B3204" s="6" t="s">
        <v>3348</v>
      </c>
      <c r="C3204" s="9" t="s">
        <v>33</v>
      </c>
      <c r="D3204" s="6" t="s">
        <v>20</v>
      </c>
      <c r="E3204" s="6" t="s">
        <v>37</v>
      </c>
      <c r="F3204" s="6" t="s">
        <v>9</v>
      </c>
      <c r="G3204" s="6" t="s">
        <v>38</v>
      </c>
      <c r="H3204" s="9" t="s">
        <v>33</v>
      </c>
      <c r="I3204" s="7" t="str">
        <f t="shared" si="196"/>
        <v>61001005000</v>
      </c>
      <c r="J3204" s="7" t="str">
        <f t="shared" si="197"/>
        <v>Материал по ЕГРН</v>
      </c>
      <c r="K3204" s="7">
        <f>VLOOKUP(J3204,Лист2!A$2:B$4,2,FALSE)</f>
        <v>792</v>
      </c>
      <c r="L3204" s="7" t="str">
        <f t="shared" si="198"/>
        <v>ГОТОВ</v>
      </c>
      <c r="M3204" s="7" t="str">
        <f t="shared" si="199"/>
        <v>61001005000</v>
      </c>
    </row>
    <row r="3205" spans="1:13" x14ac:dyDescent="0.25">
      <c r="A3205" s="1">
        <v>944287</v>
      </c>
      <c r="B3205" s="6" t="s">
        <v>3349</v>
      </c>
      <c r="F3205" s="6" t="s">
        <v>9</v>
      </c>
      <c r="G3205" s="6" t="s">
        <v>38</v>
      </c>
      <c r="H3205" s="9" t="s">
        <v>33</v>
      </c>
      <c r="I3205" s="7" t="str">
        <f t="shared" ref="I3205:I3268" si="200">IF(LEN(H3205)=11,H3205,IF(LEN(H3205)=0,"61001005000","61001003000"))</f>
        <v>61001005000</v>
      </c>
      <c r="J3205" s="7" t="str">
        <f t="shared" ref="J3205:J3268" si="201">IF(LEN(H3205)=11,"Материал по ЕГРН",IF(LEN(H3205)=0,"Прочие по допущению","Смешанные по допущению"))</f>
        <v>Материал по ЕГРН</v>
      </c>
      <c r="K3205" s="7">
        <f>VLOOKUP(J3205,Лист2!A$2:B$4,2,FALSE)</f>
        <v>792</v>
      </c>
      <c r="L3205" s="7" t="str">
        <f t="shared" ref="L3205:L3268" si="202">IF(I3205=C3205,"ГОТОВ","ГОТОВ_ИЗМЕНЕН")</f>
        <v>ГОТОВ_ИЗМЕНЕН</v>
      </c>
      <c r="M3205" s="7">
        <f t="shared" ref="M3205:M3268" si="203">C3205</f>
        <v>0</v>
      </c>
    </row>
    <row r="3206" spans="1:13" x14ac:dyDescent="0.25">
      <c r="A3206" s="1">
        <v>944299</v>
      </c>
      <c r="B3206" s="6" t="s">
        <v>3350</v>
      </c>
      <c r="F3206" s="6" t="s">
        <v>9</v>
      </c>
      <c r="G3206" s="6" t="s">
        <v>34</v>
      </c>
      <c r="H3206" s="9" t="s">
        <v>35</v>
      </c>
      <c r="I3206" s="7" t="str">
        <f t="shared" si="200"/>
        <v>61001002000</v>
      </c>
      <c r="J3206" s="7" t="str">
        <f t="shared" si="201"/>
        <v>Материал по ЕГРН</v>
      </c>
      <c r="K3206" s="7">
        <f>VLOOKUP(J3206,Лист2!A$2:B$4,2,FALSE)</f>
        <v>792</v>
      </c>
      <c r="L3206" s="7" t="str">
        <f t="shared" si="202"/>
        <v>ГОТОВ_ИЗМЕНЕН</v>
      </c>
      <c r="M3206" s="7">
        <f t="shared" si="203"/>
        <v>0</v>
      </c>
    </row>
    <row r="3207" spans="1:13" x14ac:dyDescent="0.25">
      <c r="A3207" s="1">
        <v>944311</v>
      </c>
      <c r="B3207" s="6" t="s">
        <v>3351</v>
      </c>
      <c r="F3207" s="6" t="s">
        <v>9</v>
      </c>
      <c r="G3207" s="6" t="s">
        <v>73</v>
      </c>
      <c r="H3207" s="9" t="s">
        <v>74</v>
      </c>
      <c r="I3207" s="7" t="str">
        <f t="shared" si="200"/>
        <v>61001006000</v>
      </c>
      <c r="J3207" s="7" t="str">
        <f t="shared" si="201"/>
        <v>Материал по ЕГРН</v>
      </c>
      <c r="K3207" s="7">
        <f>VLOOKUP(J3207,Лист2!A$2:B$4,2,FALSE)</f>
        <v>792</v>
      </c>
      <c r="L3207" s="7" t="str">
        <f t="shared" si="202"/>
        <v>ГОТОВ_ИЗМЕНЕН</v>
      </c>
      <c r="M3207" s="7">
        <f t="shared" si="203"/>
        <v>0</v>
      </c>
    </row>
    <row r="3208" spans="1:13" x14ac:dyDescent="0.25">
      <c r="A3208" s="1">
        <v>944323</v>
      </c>
      <c r="B3208" s="6" t="s">
        <v>3352</v>
      </c>
      <c r="F3208" s="6" t="s">
        <v>9</v>
      </c>
      <c r="G3208" s="6" t="s">
        <v>170</v>
      </c>
      <c r="H3208" s="9" t="s">
        <v>171</v>
      </c>
      <c r="I3208" s="7" t="str">
        <f t="shared" si="200"/>
        <v>61001001000</v>
      </c>
      <c r="J3208" s="7" t="str">
        <f t="shared" si="201"/>
        <v>Материал по ЕГРН</v>
      </c>
      <c r="K3208" s="7">
        <f>VLOOKUP(J3208,Лист2!A$2:B$4,2,FALSE)</f>
        <v>792</v>
      </c>
      <c r="L3208" s="7" t="str">
        <f t="shared" si="202"/>
        <v>ГОТОВ_ИЗМЕНЕН</v>
      </c>
      <c r="M3208" s="7">
        <f t="shared" si="203"/>
        <v>0</v>
      </c>
    </row>
    <row r="3209" spans="1:13" x14ac:dyDescent="0.25">
      <c r="A3209" s="1">
        <v>944335</v>
      </c>
      <c r="B3209" s="6" t="s">
        <v>3353</v>
      </c>
      <c r="F3209" s="6" t="s">
        <v>9</v>
      </c>
      <c r="G3209" s="6" t="s">
        <v>34</v>
      </c>
      <c r="H3209" s="9" t="s">
        <v>35</v>
      </c>
      <c r="I3209" s="7" t="str">
        <f t="shared" si="200"/>
        <v>61001002000</v>
      </c>
      <c r="J3209" s="7" t="str">
        <f t="shared" si="201"/>
        <v>Материал по ЕГРН</v>
      </c>
      <c r="K3209" s="7">
        <f>VLOOKUP(J3209,Лист2!A$2:B$4,2,FALSE)</f>
        <v>792</v>
      </c>
      <c r="L3209" s="7" t="str">
        <f t="shared" si="202"/>
        <v>ГОТОВ_ИЗМЕНЕН</v>
      </c>
      <c r="M3209" s="7">
        <f t="shared" si="203"/>
        <v>0</v>
      </c>
    </row>
    <row r="3210" spans="1:13" x14ac:dyDescent="0.25">
      <c r="A3210" s="1">
        <v>944347</v>
      </c>
      <c r="B3210" s="6" t="s">
        <v>3354</v>
      </c>
      <c r="F3210" s="6" t="s">
        <v>9</v>
      </c>
      <c r="G3210" s="6" t="s">
        <v>3355</v>
      </c>
      <c r="H3210" s="9" t="s">
        <v>3356</v>
      </c>
      <c r="I3210" s="7" t="str">
        <f t="shared" si="200"/>
        <v>61001003000</v>
      </c>
      <c r="J3210" s="7" t="str">
        <f t="shared" si="201"/>
        <v>Смешанные по допущению</v>
      </c>
      <c r="K3210" s="7">
        <f>VLOOKUP(J3210,Лист2!A$2:B$4,2,FALSE)</f>
        <v>793</v>
      </c>
      <c r="L3210" s="7" t="str">
        <f t="shared" si="202"/>
        <v>ГОТОВ_ИЗМЕНЕН</v>
      </c>
      <c r="M3210" s="7">
        <f t="shared" si="203"/>
        <v>0</v>
      </c>
    </row>
    <row r="3211" spans="1:13" x14ac:dyDescent="0.25">
      <c r="A3211" s="1">
        <v>944359</v>
      </c>
      <c r="B3211" s="6" t="s">
        <v>3357</v>
      </c>
      <c r="F3211" s="6" t="s">
        <v>9</v>
      </c>
      <c r="G3211" s="6" t="s">
        <v>38</v>
      </c>
      <c r="H3211" s="9" t="s">
        <v>33</v>
      </c>
      <c r="I3211" s="7" t="str">
        <f t="shared" si="200"/>
        <v>61001005000</v>
      </c>
      <c r="J3211" s="7" t="str">
        <f t="shared" si="201"/>
        <v>Материал по ЕГРН</v>
      </c>
      <c r="K3211" s="7">
        <f>VLOOKUP(J3211,Лист2!A$2:B$4,2,FALSE)</f>
        <v>792</v>
      </c>
      <c r="L3211" s="7" t="str">
        <f t="shared" si="202"/>
        <v>ГОТОВ_ИЗМЕНЕН</v>
      </c>
      <c r="M3211" s="7">
        <f t="shared" si="203"/>
        <v>0</v>
      </c>
    </row>
    <row r="3212" spans="1:13" x14ac:dyDescent="0.25">
      <c r="A3212" s="1">
        <v>944371</v>
      </c>
      <c r="B3212" s="6" t="s">
        <v>3358</v>
      </c>
      <c r="F3212" s="6" t="s">
        <v>9</v>
      </c>
      <c r="G3212" s="6" t="s">
        <v>38</v>
      </c>
      <c r="H3212" s="9" t="s">
        <v>33</v>
      </c>
      <c r="I3212" s="7" t="str">
        <f t="shared" si="200"/>
        <v>61001005000</v>
      </c>
      <c r="J3212" s="7" t="str">
        <f t="shared" si="201"/>
        <v>Материал по ЕГРН</v>
      </c>
      <c r="K3212" s="7">
        <f>VLOOKUP(J3212,Лист2!A$2:B$4,2,FALSE)</f>
        <v>792</v>
      </c>
      <c r="L3212" s="7" t="str">
        <f t="shared" si="202"/>
        <v>ГОТОВ_ИЗМЕНЕН</v>
      </c>
      <c r="M3212" s="7">
        <f t="shared" si="203"/>
        <v>0</v>
      </c>
    </row>
    <row r="3213" spans="1:13" x14ac:dyDescent="0.25">
      <c r="A3213" s="1">
        <v>944383</v>
      </c>
      <c r="B3213" s="6" t="s">
        <v>3359</v>
      </c>
      <c r="E3213" s="6" t="s">
        <v>8</v>
      </c>
      <c r="F3213" s="6" t="s">
        <v>9</v>
      </c>
      <c r="G3213" s="6" t="s">
        <v>1145</v>
      </c>
      <c r="H3213" s="9" t="s">
        <v>511</v>
      </c>
      <c r="I3213" s="7" t="str">
        <f t="shared" si="200"/>
        <v>61001003000</v>
      </c>
      <c r="J3213" s="7" t="str">
        <f t="shared" si="201"/>
        <v>Смешанные по допущению</v>
      </c>
      <c r="K3213" s="7">
        <f>VLOOKUP(J3213,Лист2!A$2:B$4,2,FALSE)</f>
        <v>793</v>
      </c>
      <c r="L3213" s="7" t="str">
        <f t="shared" si="202"/>
        <v>ГОТОВ_ИЗМЕНЕН</v>
      </c>
      <c r="M3213" s="7">
        <f t="shared" si="203"/>
        <v>0</v>
      </c>
    </row>
    <row r="3214" spans="1:13" x14ac:dyDescent="0.25">
      <c r="A3214" s="1">
        <v>944395</v>
      </c>
      <c r="B3214" s="6" t="s">
        <v>3360</v>
      </c>
      <c r="F3214" s="6" t="s">
        <v>9</v>
      </c>
      <c r="G3214" s="6" t="s">
        <v>73</v>
      </c>
      <c r="H3214" s="9" t="s">
        <v>74</v>
      </c>
      <c r="I3214" s="7" t="str">
        <f t="shared" si="200"/>
        <v>61001006000</v>
      </c>
      <c r="J3214" s="7" t="str">
        <f t="shared" si="201"/>
        <v>Материал по ЕГРН</v>
      </c>
      <c r="K3214" s="7">
        <f>VLOOKUP(J3214,Лист2!A$2:B$4,2,FALSE)</f>
        <v>792</v>
      </c>
      <c r="L3214" s="7" t="str">
        <f t="shared" si="202"/>
        <v>ГОТОВ_ИЗМЕНЕН</v>
      </c>
      <c r="M3214" s="7">
        <f t="shared" si="203"/>
        <v>0</v>
      </c>
    </row>
    <row r="3215" spans="1:13" x14ac:dyDescent="0.25">
      <c r="A3215" s="1">
        <v>944407</v>
      </c>
      <c r="B3215" s="6" t="s">
        <v>3361</v>
      </c>
      <c r="F3215" s="6" t="s">
        <v>9</v>
      </c>
      <c r="G3215" s="6" t="s">
        <v>59</v>
      </c>
      <c r="H3215" s="9" t="s">
        <v>60</v>
      </c>
      <c r="I3215" s="7" t="str">
        <f t="shared" si="200"/>
        <v>61001001001</v>
      </c>
      <c r="J3215" s="7" t="str">
        <f t="shared" si="201"/>
        <v>Материал по ЕГРН</v>
      </c>
      <c r="K3215" s="7">
        <f>VLOOKUP(J3215,Лист2!A$2:B$4,2,FALSE)</f>
        <v>792</v>
      </c>
      <c r="L3215" s="7" t="str">
        <f t="shared" si="202"/>
        <v>ГОТОВ_ИЗМЕНЕН</v>
      </c>
      <c r="M3215" s="7">
        <f t="shared" si="203"/>
        <v>0</v>
      </c>
    </row>
    <row r="3216" spans="1:13" x14ac:dyDescent="0.25">
      <c r="A3216" s="1">
        <v>944419</v>
      </c>
      <c r="B3216" s="6" t="s">
        <v>3362</v>
      </c>
      <c r="F3216" s="6" t="s">
        <v>9</v>
      </c>
      <c r="G3216" s="6" t="s">
        <v>38</v>
      </c>
      <c r="H3216" s="9" t="s">
        <v>33</v>
      </c>
      <c r="I3216" s="7" t="str">
        <f t="shared" si="200"/>
        <v>61001005000</v>
      </c>
      <c r="J3216" s="7" t="str">
        <f t="shared" si="201"/>
        <v>Материал по ЕГРН</v>
      </c>
      <c r="K3216" s="7">
        <f>VLOOKUP(J3216,Лист2!A$2:B$4,2,FALSE)</f>
        <v>792</v>
      </c>
      <c r="L3216" s="7" t="str">
        <f t="shared" si="202"/>
        <v>ГОТОВ_ИЗМЕНЕН</v>
      </c>
      <c r="M3216" s="7">
        <f t="shared" si="203"/>
        <v>0</v>
      </c>
    </row>
    <row r="3217" spans="1:13" x14ac:dyDescent="0.25">
      <c r="A3217" s="1">
        <v>944431</v>
      </c>
      <c r="B3217" s="6" t="s">
        <v>3363</v>
      </c>
      <c r="F3217" s="6" t="s">
        <v>9</v>
      </c>
      <c r="G3217" s="6" t="s">
        <v>34</v>
      </c>
      <c r="H3217" s="9" t="s">
        <v>35</v>
      </c>
      <c r="I3217" s="7" t="str">
        <f t="shared" si="200"/>
        <v>61001002000</v>
      </c>
      <c r="J3217" s="7" t="str">
        <f t="shared" si="201"/>
        <v>Материал по ЕГРН</v>
      </c>
      <c r="K3217" s="7">
        <f>VLOOKUP(J3217,Лист2!A$2:B$4,2,FALSE)</f>
        <v>792</v>
      </c>
      <c r="L3217" s="7" t="str">
        <f t="shared" si="202"/>
        <v>ГОТОВ_ИЗМЕНЕН</v>
      </c>
      <c r="M3217" s="7">
        <f t="shared" si="203"/>
        <v>0</v>
      </c>
    </row>
    <row r="3218" spans="1:13" x14ac:dyDescent="0.25">
      <c r="A3218" s="1">
        <v>944443</v>
      </c>
      <c r="B3218" s="6" t="s">
        <v>3364</v>
      </c>
      <c r="F3218" s="6" t="s">
        <v>9</v>
      </c>
      <c r="G3218" s="6" t="s">
        <v>38</v>
      </c>
      <c r="H3218" s="9" t="s">
        <v>33</v>
      </c>
      <c r="I3218" s="7" t="str">
        <f t="shared" si="200"/>
        <v>61001005000</v>
      </c>
      <c r="J3218" s="7" t="str">
        <f t="shared" si="201"/>
        <v>Материал по ЕГРН</v>
      </c>
      <c r="K3218" s="7">
        <f>VLOOKUP(J3218,Лист2!A$2:B$4,2,FALSE)</f>
        <v>792</v>
      </c>
      <c r="L3218" s="7" t="str">
        <f t="shared" si="202"/>
        <v>ГОТОВ_ИЗМЕНЕН</v>
      </c>
      <c r="M3218" s="7">
        <f t="shared" si="203"/>
        <v>0</v>
      </c>
    </row>
    <row r="3219" spans="1:13" x14ac:dyDescent="0.25">
      <c r="A3219" s="1">
        <v>944455</v>
      </c>
      <c r="B3219" s="6" t="s">
        <v>3365</v>
      </c>
      <c r="F3219" s="6" t="s">
        <v>9</v>
      </c>
      <c r="G3219" s="6" t="s">
        <v>38</v>
      </c>
      <c r="H3219" s="9" t="s">
        <v>33</v>
      </c>
      <c r="I3219" s="7" t="str">
        <f t="shared" si="200"/>
        <v>61001005000</v>
      </c>
      <c r="J3219" s="7" t="str">
        <f t="shared" si="201"/>
        <v>Материал по ЕГРН</v>
      </c>
      <c r="K3219" s="7">
        <f>VLOOKUP(J3219,Лист2!A$2:B$4,2,FALSE)</f>
        <v>792</v>
      </c>
      <c r="L3219" s="7" t="str">
        <f t="shared" si="202"/>
        <v>ГОТОВ_ИЗМЕНЕН</v>
      </c>
      <c r="M3219" s="7">
        <f t="shared" si="203"/>
        <v>0</v>
      </c>
    </row>
    <row r="3220" spans="1:13" x14ac:dyDescent="0.25">
      <c r="A3220" s="1">
        <v>944467</v>
      </c>
      <c r="B3220" s="6" t="s">
        <v>3366</v>
      </c>
      <c r="F3220" s="6" t="s">
        <v>9</v>
      </c>
      <c r="G3220" s="6" t="s">
        <v>34</v>
      </c>
      <c r="H3220" s="9" t="s">
        <v>35</v>
      </c>
      <c r="I3220" s="7" t="str">
        <f t="shared" si="200"/>
        <v>61001002000</v>
      </c>
      <c r="J3220" s="7" t="str">
        <f t="shared" si="201"/>
        <v>Материал по ЕГРН</v>
      </c>
      <c r="K3220" s="7">
        <f>VLOOKUP(J3220,Лист2!A$2:B$4,2,FALSE)</f>
        <v>792</v>
      </c>
      <c r="L3220" s="7" t="str">
        <f t="shared" si="202"/>
        <v>ГОТОВ_ИЗМЕНЕН</v>
      </c>
      <c r="M3220" s="7">
        <f t="shared" si="203"/>
        <v>0</v>
      </c>
    </row>
    <row r="3221" spans="1:13" x14ac:dyDescent="0.25">
      <c r="A3221" s="1">
        <v>944479</v>
      </c>
      <c r="B3221" s="6" t="s">
        <v>3367</v>
      </c>
      <c r="F3221" s="6" t="s">
        <v>9</v>
      </c>
      <c r="G3221" s="6" t="s">
        <v>34</v>
      </c>
      <c r="H3221" s="9" t="s">
        <v>35</v>
      </c>
      <c r="I3221" s="7" t="str">
        <f t="shared" si="200"/>
        <v>61001002000</v>
      </c>
      <c r="J3221" s="7" t="str">
        <f t="shared" si="201"/>
        <v>Материал по ЕГРН</v>
      </c>
      <c r="K3221" s="7">
        <f>VLOOKUP(J3221,Лист2!A$2:B$4,2,FALSE)</f>
        <v>792</v>
      </c>
      <c r="L3221" s="7" t="str">
        <f t="shared" si="202"/>
        <v>ГОТОВ_ИЗМЕНЕН</v>
      </c>
      <c r="M3221" s="7">
        <f t="shared" si="203"/>
        <v>0</v>
      </c>
    </row>
    <row r="3222" spans="1:13" x14ac:dyDescent="0.25">
      <c r="A3222" s="1">
        <v>944491</v>
      </c>
      <c r="B3222" s="6" t="s">
        <v>3368</v>
      </c>
      <c r="F3222" s="6" t="s">
        <v>9</v>
      </c>
      <c r="G3222" s="6" t="s">
        <v>62</v>
      </c>
      <c r="H3222" s="9" t="s">
        <v>63</v>
      </c>
      <c r="I3222" s="7" t="str">
        <f t="shared" si="200"/>
        <v>61001006002</v>
      </c>
      <c r="J3222" s="7" t="str">
        <f t="shared" si="201"/>
        <v>Материал по ЕГРН</v>
      </c>
      <c r="K3222" s="7">
        <f>VLOOKUP(J3222,Лист2!A$2:B$4,2,FALSE)</f>
        <v>792</v>
      </c>
      <c r="L3222" s="7" t="str">
        <f t="shared" si="202"/>
        <v>ГОТОВ_ИЗМЕНЕН</v>
      </c>
      <c r="M3222" s="7">
        <f t="shared" si="203"/>
        <v>0</v>
      </c>
    </row>
    <row r="3223" spans="1:13" x14ac:dyDescent="0.25">
      <c r="A3223" s="1">
        <v>944503</v>
      </c>
      <c r="B3223" s="6" t="s">
        <v>3369</v>
      </c>
      <c r="F3223" s="6" t="s">
        <v>9</v>
      </c>
      <c r="G3223" s="6" t="s">
        <v>34</v>
      </c>
      <c r="H3223" s="9" t="s">
        <v>35</v>
      </c>
      <c r="I3223" s="7" t="str">
        <f t="shared" si="200"/>
        <v>61001002000</v>
      </c>
      <c r="J3223" s="7" t="str">
        <f t="shared" si="201"/>
        <v>Материал по ЕГРН</v>
      </c>
      <c r="K3223" s="7">
        <f>VLOOKUP(J3223,Лист2!A$2:B$4,2,FALSE)</f>
        <v>792</v>
      </c>
      <c r="L3223" s="7" t="str">
        <f t="shared" si="202"/>
        <v>ГОТОВ_ИЗМЕНЕН</v>
      </c>
      <c r="M3223" s="7">
        <f t="shared" si="203"/>
        <v>0</v>
      </c>
    </row>
    <row r="3224" spans="1:13" x14ac:dyDescent="0.25">
      <c r="A3224" s="1">
        <v>944515</v>
      </c>
      <c r="B3224" s="6" t="s">
        <v>3370</v>
      </c>
      <c r="F3224" s="6" t="s">
        <v>9</v>
      </c>
      <c r="G3224" s="6" t="s">
        <v>34</v>
      </c>
      <c r="H3224" s="9" t="s">
        <v>35</v>
      </c>
      <c r="I3224" s="7" t="str">
        <f t="shared" si="200"/>
        <v>61001002000</v>
      </c>
      <c r="J3224" s="7" t="str">
        <f t="shared" si="201"/>
        <v>Материал по ЕГРН</v>
      </c>
      <c r="K3224" s="7">
        <f>VLOOKUP(J3224,Лист2!A$2:B$4,2,FALSE)</f>
        <v>792</v>
      </c>
      <c r="L3224" s="7" t="str">
        <f t="shared" si="202"/>
        <v>ГОТОВ_ИЗМЕНЕН</v>
      </c>
      <c r="M3224" s="7">
        <f t="shared" si="203"/>
        <v>0</v>
      </c>
    </row>
    <row r="3225" spans="1:13" x14ac:dyDescent="0.25">
      <c r="A3225" s="1">
        <v>944527</v>
      </c>
      <c r="B3225" s="6" t="s">
        <v>3371</v>
      </c>
      <c r="F3225" s="6" t="s">
        <v>9</v>
      </c>
      <c r="G3225" s="6" t="s">
        <v>139</v>
      </c>
      <c r="H3225" s="9" t="s">
        <v>140</v>
      </c>
      <c r="I3225" s="7" t="str">
        <f t="shared" si="200"/>
        <v>61001999000</v>
      </c>
      <c r="J3225" s="7" t="str">
        <f t="shared" si="201"/>
        <v>Материал по ЕГРН</v>
      </c>
      <c r="K3225" s="7">
        <f>VLOOKUP(J3225,Лист2!A$2:B$4,2,FALSE)</f>
        <v>792</v>
      </c>
      <c r="L3225" s="7" t="str">
        <f t="shared" si="202"/>
        <v>ГОТОВ_ИЗМЕНЕН</v>
      </c>
      <c r="M3225" s="7">
        <f t="shared" si="203"/>
        <v>0</v>
      </c>
    </row>
    <row r="3226" spans="1:13" x14ac:dyDescent="0.25">
      <c r="A3226" s="1">
        <v>944539</v>
      </c>
      <c r="B3226" s="6" t="s">
        <v>3372</v>
      </c>
      <c r="F3226" s="6" t="s">
        <v>9</v>
      </c>
      <c r="G3226" s="6" t="s">
        <v>34</v>
      </c>
      <c r="H3226" s="9" t="s">
        <v>35</v>
      </c>
      <c r="I3226" s="7" t="str">
        <f t="shared" si="200"/>
        <v>61001002000</v>
      </c>
      <c r="J3226" s="7" t="str">
        <f t="shared" si="201"/>
        <v>Материал по ЕГРН</v>
      </c>
      <c r="K3226" s="7">
        <f>VLOOKUP(J3226,Лист2!A$2:B$4,2,FALSE)</f>
        <v>792</v>
      </c>
      <c r="L3226" s="7" t="str">
        <f t="shared" si="202"/>
        <v>ГОТОВ_ИЗМЕНЕН</v>
      </c>
      <c r="M3226" s="7">
        <f t="shared" si="203"/>
        <v>0</v>
      </c>
    </row>
    <row r="3227" spans="1:13" x14ac:dyDescent="0.25">
      <c r="A3227" s="1">
        <v>944551</v>
      </c>
      <c r="B3227" s="6" t="s">
        <v>3373</v>
      </c>
      <c r="F3227" s="6" t="s">
        <v>9</v>
      </c>
      <c r="G3227" s="6" t="s">
        <v>10</v>
      </c>
      <c r="H3227" s="9" t="s">
        <v>11</v>
      </c>
      <c r="I3227" s="7" t="str">
        <f t="shared" si="200"/>
        <v>61001003000</v>
      </c>
      <c r="J3227" s="7" t="str">
        <f t="shared" si="201"/>
        <v>Материал по ЕГРН</v>
      </c>
      <c r="K3227" s="7">
        <f>VLOOKUP(J3227,Лист2!A$2:B$4,2,FALSE)</f>
        <v>792</v>
      </c>
      <c r="L3227" s="7" t="str">
        <f t="shared" si="202"/>
        <v>ГОТОВ_ИЗМЕНЕН</v>
      </c>
      <c r="M3227" s="7">
        <f t="shared" si="203"/>
        <v>0</v>
      </c>
    </row>
    <row r="3228" spans="1:13" x14ac:dyDescent="0.25">
      <c r="A3228" s="1">
        <v>944563</v>
      </c>
      <c r="B3228" s="6" t="s">
        <v>3374</v>
      </c>
      <c r="F3228" s="6" t="s">
        <v>9</v>
      </c>
      <c r="G3228" s="6" t="s">
        <v>62</v>
      </c>
      <c r="H3228" s="9" t="s">
        <v>63</v>
      </c>
      <c r="I3228" s="7" t="str">
        <f t="shared" si="200"/>
        <v>61001006002</v>
      </c>
      <c r="J3228" s="7" t="str">
        <f t="shared" si="201"/>
        <v>Материал по ЕГРН</v>
      </c>
      <c r="K3228" s="7">
        <f>VLOOKUP(J3228,Лист2!A$2:B$4,2,FALSE)</f>
        <v>792</v>
      </c>
      <c r="L3228" s="7" t="str">
        <f t="shared" si="202"/>
        <v>ГОТОВ_ИЗМЕНЕН</v>
      </c>
      <c r="M3228" s="7">
        <f t="shared" si="203"/>
        <v>0</v>
      </c>
    </row>
    <row r="3229" spans="1:13" x14ac:dyDescent="0.25">
      <c r="A3229" s="1">
        <v>944575</v>
      </c>
      <c r="B3229" s="6" t="s">
        <v>3375</v>
      </c>
      <c r="F3229" s="6" t="s">
        <v>9</v>
      </c>
      <c r="G3229" s="6" t="s">
        <v>34</v>
      </c>
      <c r="H3229" s="9" t="s">
        <v>35</v>
      </c>
      <c r="I3229" s="7" t="str">
        <f t="shared" si="200"/>
        <v>61001002000</v>
      </c>
      <c r="J3229" s="7" t="str">
        <f t="shared" si="201"/>
        <v>Материал по ЕГРН</v>
      </c>
      <c r="K3229" s="7">
        <f>VLOOKUP(J3229,Лист2!A$2:B$4,2,FALSE)</f>
        <v>792</v>
      </c>
      <c r="L3229" s="7" t="str">
        <f t="shared" si="202"/>
        <v>ГОТОВ_ИЗМЕНЕН</v>
      </c>
      <c r="M3229" s="7">
        <f t="shared" si="203"/>
        <v>0</v>
      </c>
    </row>
    <row r="3230" spans="1:13" x14ac:dyDescent="0.25">
      <c r="A3230" s="1">
        <v>944587</v>
      </c>
      <c r="B3230" s="6" t="s">
        <v>3376</v>
      </c>
      <c r="F3230" s="6" t="s">
        <v>9</v>
      </c>
      <c r="G3230" s="6" t="s">
        <v>38</v>
      </c>
      <c r="H3230" s="9" t="s">
        <v>33</v>
      </c>
      <c r="I3230" s="7" t="str">
        <f t="shared" si="200"/>
        <v>61001005000</v>
      </c>
      <c r="J3230" s="7" t="str">
        <f t="shared" si="201"/>
        <v>Материал по ЕГРН</v>
      </c>
      <c r="K3230" s="7">
        <f>VLOOKUP(J3230,Лист2!A$2:B$4,2,FALSE)</f>
        <v>792</v>
      </c>
      <c r="L3230" s="7" t="str">
        <f t="shared" si="202"/>
        <v>ГОТОВ_ИЗМЕНЕН</v>
      </c>
      <c r="M3230" s="7">
        <f t="shared" si="203"/>
        <v>0</v>
      </c>
    </row>
    <row r="3231" spans="1:13" x14ac:dyDescent="0.25">
      <c r="A3231" s="1">
        <v>944599</v>
      </c>
      <c r="B3231" s="6" t="s">
        <v>3377</v>
      </c>
      <c r="F3231" s="6" t="s">
        <v>9</v>
      </c>
      <c r="G3231" s="6" t="s">
        <v>38</v>
      </c>
      <c r="H3231" s="9" t="s">
        <v>33</v>
      </c>
      <c r="I3231" s="7" t="str">
        <f t="shared" si="200"/>
        <v>61001005000</v>
      </c>
      <c r="J3231" s="7" t="str">
        <f t="shared" si="201"/>
        <v>Материал по ЕГРН</v>
      </c>
      <c r="K3231" s="7">
        <f>VLOOKUP(J3231,Лист2!A$2:B$4,2,FALSE)</f>
        <v>792</v>
      </c>
      <c r="L3231" s="7" t="str">
        <f t="shared" si="202"/>
        <v>ГОТОВ_ИЗМЕНЕН</v>
      </c>
      <c r="M3231" s="7">
        <f t="shared" si="203"/>
        <v>0</v>
      </c>
    </row>
    <row r="3232" spans="1:13" x14ac:dyDescent="0.25">
      <c r="A3232" s="1">
        <v>944611</v>
      </c>
      <c r="B3232" s="6" t="s">
        <v>3378</v>
      </c>
      <c r="F3232" s="6" t="s">
        <v>9</v>
      </c>
      <c r="G3232" s="6" t="s">
        <v>38</v>
      </c>
      <c r="H3232" s="9" t="s">
        <v>33</v>
      </c>
      <c r="I3232" s="7" t="str">
        <f t="shared" si="200"/>
        <v>61001005000</v>
      </c>
      <c r="J3232" s="7" t="str">
        <f t="shared" si="201"/>
        <v>Материал по ЕГРН</v>
      </c>
      <c r="K3232" s="7">
        <f>VLOOKUP(J3232,Лист2!A$2:B$4,2,FALSE)</f>
        <v>792</v>
      </c>
      <c r="L3232" s="7" t="str">
        <f t="shared" si="202"/>
        <v>ГОТОВ_ИЗМЕНЕН</v>
      </c>
      <c r="M3232" s="7">
        <f t="shared" si="203"/>
        <v>0</v>
      </c>
    </row>
    <row r="3233" spans="1:13" x14ac:dyDescent="0.25">
      <c r="A3233" s="1">
        <v>944623</v>
      </c>
      <c r="B3233" s="6" t="s">
        <v>3379</v>
      </c>
      <c r="F3233" s="6" t="s">
        <v>9</v>
      </c>
      <c r="G3233" s="6" t="s">
        <v>73</v>
      </c>
      <c r="H3233" s="9" t="s">
        <v>74</v>
      </c>
      <c r="I3233" s="7" t="str">
        <f t="shared" si="200"/>
        <v>61001006000</v>
      </c>
      <c r="J3233" s="7" t="str">
        <f t="shared" si="201"/>
        <v>Материал по ЕГРН</v>
      </c>
      <c r="K3233" s="7">
        <f>VLOOKUP(J3233,Лист2!A$2:B$4,2,FALSE)</f>
        <v>792</v>
      </c>
      <c r="L3233" s="7" t="str">
        <f t="shared" si="202"/>
        <v>ГОТОВ_ИЗМЕНЕН</v>
      </c>
      <c r="M3233" s="7">
        <f t="shared" si="203"/>
        <v>0</v>
      </c>
    </row>
    <row r="3234" spans="1:13" x14ac:dyDescent="0.25">
      <c r="A3234" s="1">
        <v>944635</v>
      </c>
      <c r="B3234" s="6" t="s">
        <v>3380</v>
      </c>
      <c r="F3234" s="6" t="s">
        <v>9</v>
      </c>
      <c r="G3234" s="6" t="s">
        <v>34</v>
      </c>
      <c r="H3234" s="9" t="s">
        <v>35</v>
      </c>
      <c r="I3234" s="7" t="str">
        <f t="shared" si="200"/>
        <v>61001002000</v>
      </c>
      <c r="J3234" s="7" t="str">
        <f t="shared" si="201"/>
        <v>Материал по ЕГРН</v>
      </c>
      <c r="K3234" s="7">
        <f>VLOOKUP(J3234,Лист2!A$2:B$4,2,FALSE)</f>
        <v>792</v>
      </c>
      <c r="L3234" s="7" t="str">
        <f t="shared" si="202"/>
        <v>ГОТОВ_ИЗМЕНЕН</v>
      </c>
      <c r="M3234" s="7">
        <f t="shared" si="203"/>
        <v>0</v>
      </c>
    </row>
    <row r="3235" spans="1:13" x14ac:dyDescent="0.25">
      <c r="A3235" s="1">
        <v>945840</v>
      </c>
      <c r="B3235" s="6" t="s">
        <v>3381</v>
      </c>
      <c r="F3235" s="6" t="s">
        <v>9</v>
      </c>
      <c r="G3235" s="6" t="s">
        <v>10</v>
      </c>
      <c r="H3235" s="9" t="s">
        <v>11</v>
      </c>
      <c r="I3235" s="7" t="str">
        <f t="shared" si="200"/>
        <v>61001003000</v>
      </c>
      <c r="J3235" s="7" t="str">
        <f t="shared" si="201"/>
        <v>Материал по ЕГРН</v>
      </c>
      <c r="K3235" s="7">
        <f>VLOOKUP(J3235,Лист2!A$2:B$4,2,FALSE)</f>
        <v>792</v>
      </c>
      <c r="L3235" s="7" t="str">
        <f t="shared" si="202"/>
        <v>ГОТОВ_ИЗМЕНЕН</v>
      </c>
      <c r="M3235" s="7">
        <f t="shared" si="203"/>
        <v>0</v>
      </c>
    </row>
    <row r="3236" spans="1:13" x14ac:dyDescent="0.25">
      <c r="A3236" s="1">
        <v>945852</v>
      </c>
      <c r="B3236" s="6" t="s">
        <v>3382</v>
      </c>
      <c r="F3236" s="6" t="s">
        <v>9</v>
      </c>
      <c r="G3236" s="6" t="s">
        <v>170</v>
      </c>
      <c r="H3236" s="9" t="s">
        <v>171</v>
      </c>
      <c r="I3236" s="7" t="str">
        <f t="shared" si="200"/>
        <v>61001001000</v>
      </c>
      <c r="J3236" s="7" t="str">
        <f t="shared" si="201"/>
        <v>Материал по ЕГРН</v>
      </c>
      <c r="K3236" s="7">
        <f>VLOOKUP(J3236,Лист2!A$2:B$4,2,FALSE)</f>
        <v>792</v>
      </c>
      <c r="L3236" s="7" t="str">
        <f t="shared" si="202"/>
        <v>ГОТОВ_ИЗМЕНЕН</v>
      </c>
      <c r="M3236" s="7">
        <f t="shared" si="203"/>
        <v>0</v>
      </c>
    </row>
    <row r="3237" spans="1:13" x14ac:dyDescent="0.25">
      <c r="A3237" s="1">
        <v>945864</v>
      </c>
      <c r="B3237" s="6" t="s">
        <v>3383</v>
      </c>
      <c r="F3237" s="6" t="s">
        <v>9</v>
      </c>
      <c r="G3237" s="6" t="s">
        <v>139</v>
      </c>
      <c r="H3237" s="9" t="s">
        <v>140</v>
      </c>
      <c r="I3237" s="7" t="str">
        <f t="shared" si="200"/>
        <v>61001999000</v>
      </c>
      <c r="J3237" s="7" t="str">
        <f t="shared" si="201"/>
        <v>Материал по ЕГРН</v>
      </c>
      <c r="K3237" s="7">
        <f>VLOOKUP(J3237,Лист2!A$2:B$4,2,FALSE)</f>
        <v>792</v>
      </c>
      <c r="L3237" s="7" t="str">
        <f t="shared" si="202"/>
        <v>ГОТОВ_ИЗМЕНЕН</v>
      </c>
      <c r="M3237" s="7">
        <f t="shared" si="203"/>
        <v>0</v>
      </c>
    </row>
    <row r="3238" spans="1:13" x14ac:dyDescent="0.25">
      <c r="A3238" s="1">
        <v>945876</v>
      </c>
      <c r="B3238" s="6" t="s">
        <v>3384</v>
      </c>
      <c r="F3238" s="6" t="s">
        <v>9</v>
      </c>
      <c r="G3238" s="6" t="s">
        <v>10</v>
      </c>
      <c r="H3238" s="9" t="s">
        <v>11</v>
      </c>
      <c r="I3238" s="7" t="str">
        <f t="shared" si="200"/>
        <v>61001003000</v>
      </c>
      <c r="J3238" s="7" t="str">
        <f t="shared" si="201"/>
        <v>Материал по ЕГРН</v>
      </c>
      <c r="K3238" s="7">
        <f>VLOOKUP(J3238,Лист2!A$2:B$4,2,FALSE)</f>
        <v>792</v>
      </c>
      <c r="L3238" s="7" t="str">
        <f t="shared" si="202"/>
        <v>ГОТОВ_ИЗМЕНЕН</v>
      </c>
      <c r="M3238" s="7">
        <f t="shared" si="203"/>
        <v>0</v>
      </c>
    </row>
    <row r="3239" spans="1:13" x14ac:dyDescent="0.25">
      <c r="A3239" s="1">
        <v>945888</v>
      </c>
      <c r="B3239" s="6" t="s">
        <v>3385</v>
      </c>
      <c r="F3239" s="6" t="s">
        <v>9</v>
      </c>
      <c r="G3239" s="6" t="s">
        <v>59</v>
      </c>
      <c r="H3239" s="9" t="s">
        <v>60</v>
      </c>
      <c r="I3239" s="7" t="str">
        <f t="shared" si="200"/>
        <v>61001001001</v>
      </c>
      <c r="J3239" s="7" t="str">
        <f t="shared" si="201"/>
        <v>Материал по ЕГРН</v>
      </c>
      <c r="K3239" s="7">
        <f>VLOOKUP(J3239,Лист2!A$2:B$4,2,FALSE)</f>
        <v>792</v>
      </c>
      <c r="L3239" s="7" t="str">
        <f t="shared" si="202"/>
        <v>ГОТОВ_ИЗМЕНЕН</v>
      </c>
      <c r="M3239" s="7">
        <f t="shared" si="203"/>
        <v>0</v>
      </c>
    </row>
    <row r="3240" spans="1:13" x14ac:dyDescent="0.25">
      <c r="A3240" s="1">
        <v>945900</v>
      </c>
      <c r="B3240" s="6" t="s">
        <v>3386</v>
      </c>
      <c r="F3240" s="6" t="s">
        <v>9</v>
      </c>
      <c r="G3240" s="6" t="s">
        <v>90</v>
      </c>
      <c r="H3240" s="9" t="s">
        <v>12</v>
      </c>
      <c r="I3240" s="7" t="str">
        <f t="shared" si="200"/>
        <v>61001008000</v>
      </c>
      <c r="J3240" s="7" t="str">
        <f t="shared" si="201"/>
        <v>Материал по ЕГРН</v>
      </c>
      <c r="K3240" s="7">
        <f>VLOOKUP(J3240,Лист2!A$2:B$4,2,FALSE)</f>
        <v>792</v>
      </c>
      <c r="L3240" s="7" t="str">
        <f t="shared" si="202"/>
        <v>ГОТОВ_ИЗМЕНЕН</v>
      </c>
      <c r="M3240" s="7">
        <f t="shared" si="203"/>
        <v>0</v>
      </c>
    </row>
    <row r="3241" spans="1:13" x14ac:dyDescent="0.25">
      <c r="A3241" s="1">
        <v>945912</v>
      </c>
      <c r="B3241" s="6" t="s">
        <v>3387</v>
      </c>
      <c r="F3241" s="6" t="s">
        <v>9</v>
      </c>
      <c r="G3241" s="6" t="s">
        <v>34</v>
      </c>
      <c r="H3241" s="9" t="s">
        <v>35</v>
      </c>
      <c r="I3241" s="7" t="str">
        <f t="shared" si="200"/>
        <v>61001002000</v>
      </c>
      <c r="J3241" s="7" t="str">
        <f t="shared" si="201"/>
        <v>Материал по ЕГРН</v>
      </c>
      <c r="K3241" s="7">
        <f>VLOOKUP(J3241,Лист2!A$2:B$4,2,FALSE)</f>
        <v>792</v>
      </c>
      <c r="L3241" s="7" t="str">
        <f t="shared" si="202"/>
        <v>ГОТОВ_ИЗМЕНЕН</v>
      </c>
      <c r="M3241" s="7">
        <f t="shared" si="203"/>
        <v>0</v>
      </c>
    </row>
    <row r="3242" spans="1:13" x14ac:dyDescent="0.25">
      <c r="A3242" s="1">
        <v>945924</v>
      </c>
      <c r="B3242" s="6" t="s">
        <v>3388</v>
      </c>
      <c r="F3242" s="6" t="s">
        <v>9</v>
      </c>
      <c r="G3242" s="6" t="s">
        <v>10</v>
      </c>
      <c r="H3242" s="9" t="s">
        <v>11</v>
      </c>
      <c r="I3242" s="7" t="str">
        <f t="shared" si="200"/>
        <v>61001003000</v>
      </c>
      <c r="J3242" s="7" t="str">
        <f t="shared" si="201"/>
        <v>Материал по ЕГРН</v>
      </c>
      <c r="K3242" s="7">
        <f>VLOOKUP(J3242,Лист2!A$2:B$4,2,FALSE)</f>
        <v>792</v>
      </c>
      <c r="L3242" s="7" t="str">
        <f t="shared" si="202"/>
        <v>ГОТОВ_ИЗМЕНЕН</v>
      </c>
      <c r="M3242" s="7">
        <f t="shared" si="203"/>
        <v>0</v>
      </c>
    </row>
    <row r="3243" spans="1:13" x14ac:dyDescent="0.25">
      <c r="A3243" s="1">
        <v>945936</v>
      </c>
      <c r="B3243" s="6" t="s">
        <v>3389</v>
      </c>
      <c r="F3243" s="6" t="s">
        <v>9</v>
      </c>
      <c r="G3243" s="6" t="s">
        <v>38</v>
      </c>
      <c r="H3243" s="9" t="s">
        <v>33</v>
      </c>
      <c r="I3243" s="7" t="str">
        <f t="shared" si="200"/>
        <v>61001005000</v>
      </c>
      <c r="J3243" s="7" t="str">
        <f t="shared" si="201"/>
        <v>Материал по ЕГРН</v>
      </c>
      <c r="K3243" s="7">
        <f>VLOOKUP(J3243,Лист2!A$2:B$4,2,FALSE)</f>
        <v>792</v>
      </c>
      <c r="L3243" s="7" t="str">
        <f t="shared" si="202"/>
        <v>ГОТОВ_ИЗМЕНЕН</v>
      </c>
      <c r="M3243" s="7">
        <f t="shared" si="203"/>
        <v>0</v>
      </c>
    </row>
    <row r="3244" spans="1:13" x14ac:dyDescent="0.25">
      <c r="A3244" s="1">
        <v>945948</v>
      </c>
      <c r="B3244" s="6" t="s">
        <v>3390</v>
      </c>
      <c r="F3244" s="6" t="s">
        <v>9</v>
      </c>
      <c r="G3244" s="6" t="s">
        <v>149</v>
      </c>
      <c r="H3244" s="9" t="s">
        <v>150</v>
      </c>
      <c r="I3244" s="7" t="str">
        <f t="shared" si="200"/>
        <v>61001007000</v>
      </c>
      <c r="J3244" s="7" t="str">
        <f t="shared" si="201"/>
        <v>Материал по ЕГРН</v>
      </c>
      <c r="K3244" s="7">
        <f>VLOOKUP(J3244,Лист2!A$2:B$4,2,FALSE)</f>
        <v>792</v>
      </c>
      <c r="L3244" s="7" t="str">
        <f t="shared" si="202"/>
        <v>ГОТОВ_ИЗМЕНЕН</v>
      </c>
      <c r="M3244" s="7">
        <f t="shared" si="203"/>
        <v>0</v>
      </c>
    </row>
    <row r="3245" spans="1:13" x14ac:dyDescent="0.25">
      <c r="A3245" s="1">
        <v>945960</v>
      </c>
      <c r="B3245" s="6" t="s">
        <v>3391</v>
      </c>
      <c r="F3245" s="6" t="s">
        <v>9</v>
      </c>
      <c r="G3245" s="6" t="s">
        <v>65</v>
      </c>
      <c r="H3245" s="9" t="s">
        <v>66</v>
      </c>
      <c r="I3245" s="7" t="str">
        <f t="shared" si="200"/>
        <v>61001002003</v>
      </c>
      <c r="J3245" s="7" t="str">
        <f t="shared" si="201"/>
        <v>Материал по ЕГРН</v>
      </c>
      <c r="K3245" s="7">
        <f>VLOOKUP(J3245,Лист2!A$2:B$4,2,FALSE)</f>
        <v>792</v>
      </c>
      <c r="L3245" s="7" t="str">
        <f t="shared" si="202"/>
        <v>ГОТОВ_ИЗМЕНЕН</v>
      </c>
      <c r="M3245" s="7">
        <f t="shared" si="203"/>
        <v>0</v>
      </c>
    </row>
    <row r="3246" spans="1:13" x14ac:dyDescent="0.25">
      <c r="A3246" s="1">
        <v>945972</v>
      </c>
      <c r="B3246" s="6" t="s">
        <v>3392</v>
      </c>
      <c r="F3246" s="6" t="s">
        <v>9</v>
      </c>
      <c r="G3246" s="6" t="s">
        <v>10</v>
      </c>
      <c r="H3246" s="9" t="s">
        <v>11</v>
      </c>
      <c r="I3246" s="7" t="str">
        <f t="shared" si="200"/>
        <v>61001003000</v>
      </c>
      <c r="J3246" s="7" t="str">
        <f t="shared" si="201"/>
        <v>Материал по ЕГРН</v>
      </c>
      <c r="K3246" s="7">
        <f>VLOOKUP(J3246,Лист2!A$2:B$4,2,FALSE)</f>
        <v>792</v>
      </c>
      <c r="L3246" s="7" t="str">
        <f t="shared" si="202"/>
        <v>ГОТОВ_ИЗМЕНЕН</v>
      </c>
      <c r="M3246" s="7">
        <f t="shared" si="203"/>
        <v>0</v>
      </c>
    </row>
    <row r="3247" spans="1:13" x14ac:dyDescent="0.25">
      <c r="A3247" s="1">
        <v>945984</v>
      </c>
      <c r="B3247" s="6" t="s">
        <v>3393</v>
      </c>
      <c r="F3247" s="6" t="s">
        <v>9</v>
      </c>
      <c r="G3247" s="6" t="s">
        <v>10</v>
      </c>
      <c r="H3247" s="9" t="s">
        <v>11</v>
      </c>
      <c r="I3247" s="7" t="str">
        <f t="shared" si="200"/>
        <v>61001003000</v>
      </c>
      <c r="J3247" s="7" t="str">
        <f t="shared" si="201"/>
        <v>Материал по ЕГРН</v>
      </c>
      <c r="K3247" s="7">
        <f>VLOOKUP(J3247,Лист2!A$2:B$4,2,FALSE)</f>
        <v>792</v>
      </c>
      <c r="L3247" s="7" t="str">
        <f t="shared" si="202"/>
        <v>ГОТОВ_ИЗМЕНЕН</v>
      </c>
      <c r="M3247" s="7">
        <f t="shared" si="203"/>
        <v>0</v>
      </c>
    </row>
    <row r="3248" spans="1:13" x14ac:dyDescent="0.25">
      <c r="A3248" s="1">
        <v>945996</v>
      </c>
      <c r="B3248" s="6" t="s">
        <v>3394</v>
      </c>
      <c r="F3248" s="6" t="s">
        <v>9</v>
      </c>
      <c r="G3248" s="6" t="s">
        <v>38</v>
      </c>
      <c r="H3248" s="9" t="s">
        <v>33</v>
      </c>
      <c r="I3248" s="7" t="str">
        <f t="shared" si="200"/>
        <v>61001005000</v>
      </c>
      <c r="J3248" s="7" t="str">
        <f t="shared" si="201"/>
        <v>Материал по ЕГРН</v>
      </c>
      <c r="K3248" s="7">
        <f>VLOOKUP(J3248,Лист2!A$2:B$4,2,FALSE)</f>
        <v>792</v>
      </c>
      <c r="L3248" s="7" t="str">
        <f t="shared" si="202"/>
        <v>ГОТОВ_ИЗМЕНЕН</v>
      </c>
      <c r="M3248" s="7">
        <f t="shared" si="203"/>
        <v>0</v>
      </c>
    </row>
    <row r="3249" spans="1:13" x14ac:dyDescent="0.25">
      <c r="A3249" s="1">
        <v>946008</v>
      </c>
      <c r="B3249" s="6" t="s">
        <v>3395</v>
      </c>
      <c r="F3249" s="6" t="s">
        <v>9</v>
      </c>
      <c r="G3249" s="6" t="s">
        <v>43</v>
      </c>
      <c r="H3249" s="9" t="s">
        <v>42</v>
      </c>
      <c r="I3249" s="7" t="str">
        <f t="shared" si="200"/>
        <v>61001002001</v>
      </c>
      <c r="J3249" s="7" t="str">
        <f t="shared" si="201"/>
        <v>Материал по ЕГРН</v>
      </c>
      <c r="K3249" s="7">
        <f>VLOOKUP(J3249,Лист2!A$2:B$4,2,FALSE)</f>
        <v>792</v>
      </c>
      <c r="L3249" s="7" t="str">
        <f t="shared" si="202"/>
        <v>ГОТОВ_ИЗМЕНЕН</v>
      </c>
      <c r="M3249" s="7">
        <f t="shared" si="203"/>
        <v>0</v>
      </c>
    </row>
    <row r="3250" spans="1:13" x14ac:dyDescent="0.25">
      <c r="A3250" s="1">
        <v>946020</v>
      </c>
      <c r="B3250" s="6" t="s">
        <v>3396</v>
      </c>
      <c r="F3250" s="6" t="s">
        <v>9</v>
      </c>
      <c r="G3250" s="6" t="s">
        <v>90</v>
      </c>
      <c r="H3250" s="9" t="s">
        <v>12</v>
      </c>
      <c r="I3250" s="7" t="str">
        <f t="shared" si="200"/>
        <v>61001008000</v>
      </c>
      <c r="J3250" s="7" t="str">
        <f t="shared" si="201"/>
        <v>Материал по ЕГРН</v>
      </c>
      <c r="K3250" s="7">
        <f>VLOOKUP(J3250,Лист2!A$2:B$4,2,FALSE)</f>
        <v>792</v>
      </c>
      <c r="L3250" s="7" t="str">
        <f t="shared" si="202"/>
        <v>ГОТОВ_ИЗМЕНЕН</v>
      </c>
      <c r="M3250" s="7">
        <f t="shared" si="203"/>
        <v>0</v>
      </c>
    </row>
    <row r="3251" spans="1:13" x14ac:dyDescent="0.25">
      <c r="A3251" s="1">
        <v>946032</v>
      </c>
      <c r="B3251" s="6" t="s">
        <v>3397</v>
      </c>
      <c r="F3251" s="6" t="s">
        <v>9</v>
      </c>
      <c r="G3251" s="6" t="s">
        <v>62</v>
      </c>
      <c r="H3251" s="9" t="s">
        <v>63</v>
      </c>
      <c r="I3251" s="7" t="str">
        <f t="shared" si="200"/>
        <v>61001006002</v>
      </c>
      <c r="J3251" s="7" t="str">
        <f t="shared" si="201"/>
        <v>Материал по ЕГРН</v>
      </c>
      <c r="K3251" s="7">
        <f>VLOOKUP(J3251,Лист2!A$2:B$4,2,FALSE)</f>
        <v>792</v>
      </c>
      <c r="L3251" s="7" t="str">
        <f t="shared" si="202"/>
        <v>ГОТОВ_ИЗМЕНЕН</v>
      </c>
      <c r="M3251" s="7">
        <f t="shared" si="203"/>
        <v>0</v>
      </c>
    </row>
    <row r="3252" spans="1:13" x14ac:dyDescent="0.25">
      <c r="A3252" s="1">
        <v>946044</v>
      </c>
      <c r="B3252" s="6" t="s">
        <v>3398</v>
      </c>
      <c r="F3252" s="6" t="s">
        <v>9</v>
      </c>
      <c r="G3252" s="6" t="s">
        <v>34</v>
      </c>
      <c r="H3252" s="9" t="s">
        <v>35</v>
      </c>
      <c r="I3252" s="7" t="str">
        <f t="shared" si="200"/>
        <v>61001002000</v>
      </c>
      <c r="J3252" s="7" t="str">
        <f t="shared" si="201"/>
        <v>Материал по ЕГРН</v>
      </c>
      <c r="K3252" s="7">
        <f>VLOOKUP(J3252,Лист2!A$2:B$4,2,FALSE)</f>
        <v>792</v>
      </c>
      <c r="L3252" s="7" t="str">
        <f t="shared" si="202"/>
        <v>ГОТОВ_ИЗМЕНЕН</v>
      </c>
      <c r="M3252" s="7">
        <f t="shared" si="203"/>
        <v>0</v>
      </c>
    </row>
    <row r="3253" spans="1:13" x14ac:dyDescent="0.25">
      <c r="A3253" s="1">
        <v>946056</v>
      </c>
      <c r="B3253" s="6" t="s">
        <v>3399</v>
      </c>
      <c r="F3253" s="6" t="s">
        <v>9</v>
      </c>
      <c r="G3253" s="6" t="s">
        <v>34</v>
      </c>
      <c r="H3253" s="9" t="s">
        <v>35</v>
      </c>
      <c r="I3253" s="7" t="str">
        <f t="shared" si="200"/>
        <v>61001002000</v>
      </c>
      <c r="J3253" s="7" t="str">
        <f t="shared" si="201"/>
        <v>Материал по ЕГРН</v>
      </c>
      <c r="K3253" s="7">
        <f>VLOOKUP(J3253,Лист2!A$2:B$4,2,FALSE)</f>
        <v>792</v>
      </c>
      <c r="L3253" s="7" t="str">
        <f t="shared" si="202"/>
        <v>ГОТОВ_ИЗМЕНЕН</v>
      </c>
      <c r="M3253" s="7">
        <f t="shared" si="203"/>
        <v>0</v>
      </c>
    </row>
    <row r="3254" spans="1:13" x14ac:dyDescent="0.25">
      <c r="A3254" s="1">
        <v>946068</v>
      </c>
      <c r="B3254" s="6" t="s">
        <v>3400</v>
      </c>
      <c r="F3254" s="6" t="s">
        <v>9</v>
      </c>
      <c r="G3254" s="6" t="s">
        <v>10</v>
      </c>
      <c r="H3254" s="9" t="s">
        <v>11</v>
      </c>
      <c r="I3254" s="7" t="str">
        <f t="shared" si="200"/>
        <v>61001003000</v>
      </c>
      <c r="J3254" s="7" t="str">
        <f t="shared" si="201"/>
        <v>Материал по ЕГРН</v>
      </c>
      <c r="K3254" s="7">
        <f>VLOOKUP(J3254,Лист2!A$2:B$4,2,FALSE)</f>
        <v>792</v>
      </c>
      <c r="L3254" s="7" t="str">
        <f t="shared" si="202"/>
        <v>ГОТОВ_ИЗМЕНЕН</v>
      </c>
      <c r="M3254" s="7">
        <f t="shared" si="203"/>
        <v>0</v>
      </c>
    </row>
    <row r="3255" spans="1:13" x14ac:dyDescent="0.25">
      <c r="A3255" s="1">
        <v>946080</v>
      </c>
      <c r="B3255" s="6" t="s">
        <v>3401</v>
      </c>
      <c r="F3255" s="6" t="s">
        <v>9</v>
      </c>
      <c r="G3255" s="6" t="s">
        <v>34</v>
      </c>
      <c r="H3255" s="9" t="s">
        <v>35</v>
      </c>
      <c r="I3255" s="7" t="str">
        <f t="shared" si="200"/>
        <v>61001002000</v>
      </c>
      <c r="J3255" s="7" t="str">
        <f t="shared" si="201"/>
        <v>Материал по ЕГРН</v>
      </c>
      <c r="K3255" s="7">
        <f>VLOOKUP(J3255,Лист2!A$2:B$4,2,FALSE)</f>
        <v>792</v>
      </c>
      <c r="L3255" s="7" t="str">
        <f t="shared" si="202"/>
        <v>ГОТОВ_ИЗМЕНЕН</v>
      </c>
      <c r="M3255" s="7">
        <f t="shared" si="203"/>
        <v>0</v>
      </c>
    </row>
    <row r="3256" spans="1:13" x14ac:dyDescent="0.25">
      <c r="A3256" s="1">
        <v>946092</v>
      </c>
      <c r="B3256" s="6" t="s">
        <v>3402</v>
      </c>
      <c r="F3256" s="6" t="s">
        <v>9</v>
      </c>
      <c r="G3256" s="6" t="s">
        <v>34</v>
      </c>
      <c r="H3256" s="9" t="s">
        <v>35</v>
      </c>
      <c r="I3256" s="7" t="str">
        <f t="shared" si="200"/>
        <v>61001002000</v>
      </c>
      <c r="J3256" s="7" t="str">
        <f t="shared" si="201"/>
        <v>Материал по ЕГРН</v>
      </c>
      <c r="K3256" s="7">
        <f>VLOOKUP(J3256,Лист2!A$2:B$4,2,FALSE)</f>
        <v>792</v>
      </c>
      <c r="L3256" s="7" t="str">
        <f t="shared" si="202"/>
        <v>ГОТОВ_ИЗМЕНЕН</v>
      </c>
      <c r="M3256" s="7">
        <f t="shared" si="203"/>
        <v>0</v>
      </c>
    </row>
    <row r="3257" spans="1:13" x14ac:dyDescent="0.25">
      <c r="A3257" s="1">
        <v>946104</v>
      </c>
      <c r="B3257" s="6" t="s">
        <v>3403</v>
      </c>
      <c r="F3257" s="6" t="s">
        <v>9</v>
      </c>
      <c r="G3257" s="6" t="s">
        <v>38</v>
      </c>
      <c r="H3257" s="9" t="s">
        <v>33</v>
      </c>
      <c r="I3257" s="7" t="str">
        <f t="shared" si="200"/>
        <v>61001005000</v>
      </c>
      <c r="J3257" s="7" t="str">
        <f t="shared" si="201"/>
        <v>Материал по ЕГРН</v>
      </c>
      <c r="K3257" s="7">
        <f>VLOOKUP(J3257,Лист2!A$2:B$4,2,FALSE)</f>
        <v>792</v>
      </c>
      <c r="L3257" s="7" t="str">
        <f t="shared" si="202"/>
        <v>ГОТОВ_ИЗМЕНЕН</v>
      </c>
      <c r="M3257" s="7">
        <f t="shared" si="203"/>
        <v>0</v>
      </c>
    </row>
    <row r="3258" spans="1:13" x14ac:dyDescent="0.25">
      <c r="A3258" s="1">
        <v>946116</v>
      </c>
      <c r="B3258" s="6" t="s">
        <v>3404</v>
      </c>
      <c r="F3258" s="6" t="s">
        <v>9</v>
      </c>
      <c r="G3258" s="6" t="s">
        <v>10</v>
      </c>
      <c r="H3258" s="9" t="s">
        <v>11</v>
      </c>
      <c r="I3258" s="7" t="str">
        <f t="shared" si="200"/>
        <v>61001003000</v>
      </c>
      <c r="J3258" s="7" t="str">
        <f t="shared" si="201"/>
        <v>Материал по ЕГРН</v>
      </c>
      <c r="K3258" s="7">
        <f>VLOOKUP(J3258,Лист2!A$2:B$4,2,FALSE)</f>
        <v>792</v>
      </c>
      <c r="L3258" s="7" t="str">
        <f t="shared" si="202"/>
        <v>ГОТОВ_ИЗМЕНЕН</v>
      </c>
      <c r="M3258" s="7">
        <f t="shared" si="203"/>
        <v>0</v>
      </c>
    </row>
    <row r="3259" spans="1:13" x14ac:dyDescent="0.25">
      <c r="A3259" s="1">
        <v>946128</v>
      </c>
      <c r="B3259" s="6" t="s">
        <v>3405</v>
      </c>
      <c r="F3259" s="6" t="s">
        <v>9</v>
      </c>
      <c r="G3259" s="6" t="s">
        <v>38</v>
      </c>
      <c r="H3259" s="9" t="s">
        <v>33</v>
      </c>
      <c r="I3259" s="7" t="str">
        <f t="shared" si="200"/>
        <v>61001005000</v>
      </c>
      <c r="J3259" s="7" t="str">
        <f t="shared" si="201"/>
        <v>Материал по ЕГРН</v>
      </c>
      <c r="K3259" s="7">
        <f>VLOOKUP(J3259,Лист2!A$2:B$4,2,FALSE)</f>
        <v>792</v>
      </c>
      <c r="L3259" s="7" t="str">
        <f t="shared" si="202"/>
        <v>ГОТОВ_ИЗМЕНЕН</v>
      </c>
      <c r="M3259" s="7">
        <f t="shared" si="203"/>
        <v>0</v>
      </c>
    </row>
    <row r="3260" spans="1:13" x14ac:dyDescent="0.25">
      <c r="A3260" s="1">
        <v>946140</v>
      </c>
      <c r="B3260" s="6" t="s">
        <v>3406</v>
      </c>
      <c r="F3260" s="6" t="s">
        <v>9</v>
      </c>
      <c r="G3260" s="6" t="s">
        <v>34</v>
      </c>
      <c r="H3260" s="9" t="s">
        <v>35</v>
      </c>
      <c r="I3260" s="7" t="str">
        <f t="shared" si="200"/>
        <v>61001002000</v>
      </c>
      <c r="J3260" s="7" t="str">
        <f t="shared" si="201"/>
        <v>Материал по ЕГРН</v>
      </c>
      <c r="K3260" s="7">
        <f>VLOOKUP(J3260,Лист2!A$2:B$4,2,FALSE)</f>
        <v>792</v>
      </c>
      <c r="L3260" s="7" t="str">
        <f t="shared" si="202"/>
        <v>ГОТОВ_ИЗМЕНЕН</v>
      </c>
      <c r="M3260" s="7">
        <f t="shared" si="203"/>
        <v>0</v>
      </c>
    </row>
    <row r="3261" spans="1:13" x14ac:dyDescent="0.25">
      <c r="A3261" s="1">
        <v>946152</v>
      </c>
      <c r="B3261" s="6" t="s">
        <v>3407</v>
      </c>
      <c r="F3261" s="6" t="s">
        <v>9</v>
      </c>
      <c r="G3261" s="6" t="s">
        <v>170</v>
      </c>
      <c r="H3261" s="9" t="s">
        <v>171</v>
      </c>
      <c r="I3261" s="7" t="str">
        <f t="shared" si="200"/>
        <v>61001001000</v>
      </c>
      <c r="J3261" s="7" t="str">
        <f t="shared" si="201"/>
        <v>Материал по ЕГРН</v>
      </c>
      <c r="K3261" s="7">
        <f>VLOOKUP(J3261,Лист2!A$2:B$4,2,FALSE)</f>
        <v>792</v>
      </c>
      <c r="L3261" s="7" t="str">
        <f t="shared" si="202"/>
        <v>ГОТОВ_ИЗМЕНЕН</v>
      </c>
      <c r="M3261" s="7">
        <f t="shared" si="203"/>
        <v>0</v>
      </c>
    </row>
    <row r="3262" spans="1:13" x14ac:dyDescent="0.25">
      <c r="A3262" s="1">
        <v>200253</v>
      </c>
      <c r="B3262" s="6" t="s">
        <v>3408</v>
      </c>
      <c r="C3262" s="9" t="s">
        <v>33</v>
      </c>
      <c r="D3262" s="6" t="s">
        <v>20</v>
      </c>
      <c r="E3262" s="6" t="s">
        <v>37</v>
      </c>
      <c r="F3262" s="6" t="s">
        <v>9</v>
      </c>
      <c r="G3262" s="6" t="s">
        <v>38</v>
      </c>
      <c r="H3262" s="9" t="s">
        <v>33</v>
      </c>
      <c r="I3262" s="7" t="str">
        <f t="shared" si="200"/>
        <v>61001005000</v>
      </c>
      <c r="J3262" s="7" t="str">
        <f t="shared" si="201"/>
        <v>Материал по ЕГРН</v>
      </c>
      <c r="K3262" s="7">
        <f>VLOOKUP(J3262,Лист2!A$2:B$4,2,FALSE)</f>
        <v>792</v>
      </c>
      <c r="L3262" s="7" t="str">
        <f t="shared" si="202"/>
        <v>ГОТОВ</v>
      </c>
      <c r="M3262" s="7" t="str">
        <f t="shared" si="203"/>
        <v>61001005000</v>
      </c>
    </row>
    <row r="3263" spans="1:13" x14ac:dyDescent="0.25">
      <c r="A3263" s="1">
        <v>573251</v>
      </c>
      <c r="B3263" s="6" t="s">
        <v>3409</v>
      </c>
      <c r="C3263" s="9" t="s">
        <v>33</v>
      </c>
      <c r="D3263" s="6" t="s">
        <v>20</v>
      </c>
      <c r="E3263" s="6" t="s">
        <v>37</v>
      </c>
      <c r="F3263" s="6" t="s">
        <v>9</v>
      </c>
      <c r="G3263" s="6" t="s">
        <v>38</v>
      </c>
      <c r="H3263" s="9" t="s">
        <v>33</v>
      </c>
      <c r="I3263" s="7" t="str">
        <f t="shared" si="200"/>
        <v>61001005000</v>
      </c>
      <c r="J3263" s="7" t="str">
        <f t="shared" si="201"/>
        <v>Материал по ЕГРН</v>
      </c>
      <c r="K3263" s="7">
        <f>VLOOKUP(J3263,Лист2!A$2:B$4,2,FALSE)</f>
        <v>792</v>
      </c>
      <c r="L3263" s="7" t="str">
        <f t="shared" si="202"/>
        <v>ГОТОВ</v>
      </c>
      <c r="M3263" s="7" t="str">
        <f t="shared" si="203"/>
        <v>61001005000</v>
      </c>
    </row>
    <row r="3264" spans="1:13" x14ac:dyDescent="0.25">
      <c r="A3264" s="1">
        <v>926646</v>
      </c>
      <c r="B3264" s="6" t="s">
        <v>3410</v>
      </c>
      <c r="C3264" s="9" t="s">
        <v>171</v>
      </c>
      <c r="D3264" s="6" t="s">
        <v>14</v>
      </c>
      <c r="E3264" s="6" t="s">
        <v>37</v>
      </c>
      <c r="F3264" s="6" t="s">
        <v>9</v>
      </c>
      <c r="G3264" s="6" t="s">
        <v>170</v>
      </c>
      <c r="H3264" s="9" t="s">
        <v>171</v>
      </c>
      <c r="I3264" s="7" t="str">
        <f t="shared" si="200"/>
        <v>61001001000</v>
      </c>
      <c r="J3264" s="7" t="str">
        <f t="shared" si="201"/>
        <v>Материал по ЕГРН</v>
      </c>
      <c r="K3264" s="7">
        <f>VLOOKUP(J3264,Лист2!A$2:B$4,2,FALSE)</f>
        <v>792</v>
      </c>
      <c r="L3264" s="7" t="str">
        <f t="shared" si="202"/>
        <v>ГОТОВ</v>
      </c>
      <c r="M3264" s="7" t="str">
        <f t="shared" si="203"/>
        <v>61001001000</v>
      </c>
    </row>
    <row r="3265" spans="1:13" x14ac:dyDescent="0.25">
      <c r="A3265" s="1">
        <v>945504</v>
      </c>
      <c r="B3265" s="6" t="s">
        <v>3411</v>
      </c>
      <c r="F3265" s="6" t="s">
        <v>9</v>
      </c>
      <c r="G3265" s="6" t="s">
        <v>34</v>
      </c>
      <c r="H3265" s="9" t="s">
        <v>35</v>
      </c>
      <c r="I3265" s="7" t="str">
        <f t="shared" si="200"/>
        <v>61001002000</v>
      </c>
      <c r="J3265" s="7" t="str">
        <f t="shared" si="201"/>
        <v>Материал по ЕГРН</v>
      </c>
      <c r="K3265" s="7">
        <f>VLOOKUP(J3265,Лист2!A$2:B$4,2,FALSE)</f>
        <v>792</v>
      </c>
      <c r="L3265" s="7" t="str">
        <f t="shared" si="202"/>
        <v>ГОТОВ_ИЗМЕНЕН</v>
      </c>
      <c r="M3265" s="7">
        <f t="shared" si="203"/>
        <v>0</v>
      </c>
    </row>
    <row r="3266" spans="1:13" x14ac:dyDescent="0.25">
      <c r="A3266" s="1">
        <v>945516</v>
      </c>
      <c r="B3266" s="6" t="s">
        <v>3412</v>
      </c>
      <c r="F3266" s="6" t="s">
        <v>9</v>
      </c>
      <c r="G3266" s="6" t="s">
        <v>38</v>
      </c>
      <c r="H3266" s="9" t="s">
        <v>33</v>
      </c>
      <c r="I3266" s="7" t="str">
        <f t="shared" si="200"/>
        <v>61001005000</v>
      </c>
      <c r="J3266" s="7" t="str">
        <f t="shared" si="201"/>
        <v>Материал по ЕГРН</v>
      </c>
      <c r="K3266" s="7">
        <f>VLOOKUP(J3266,Лист2!A$2:B$4,2,FALSE)</f>
        <v>792</v>
      </c>
      <c r="L3266" s="7" t="str">
        <f t="shared" si="202"/>
        <v>ГОТОВ_ИЗМЕНЕН</v>
      </c>
      <c r="M3266" s="7">
        <f t="shared" si="203"/>
        <v>0</v>
      </c>
    </row>
    <row r="3267" spans="1:13" x14ac:dyDescent="0.25">
      <c r="A3267" s="1">
        <v>945528</v>
      </c>
      <c r="B3267" s="6" t="s">
        <v>3413</v>
      </c>
      <c r="F3267" s="6" t="s">
        <v>9</v>
      </c>
      <c r="G3267" s="6" t="s">
        <v>10</v>
      </c>
      <c r="H3267" s="9" t="s">
        <v>11</v>
      </c>
      <c r="I3267" s="7" t="str">
        <f t="shared" si="200"/>
        <v>61001003000</v>
      </c>
      <c r="J3267" s="7" t="str">
        <f t="shared" si="201"/>
        <v>Материал по ЕГРН</v>
      </c>
      <c r="K3267" s="7">
        <f>VLOOKUP(J3267,Лист2!A$2:B$4,2,FALSE)</f>
        <v>792</v>
      </c>
      <c r="L3267" s="7" t="str">
        <f t="shared" si="202"/>
        <v>ГОТОВ_ИЗМЕНЕН</v>
      </c>
      <c r="M3267" s="7">
        <f t="shared" si="203"/>
        <v>0</v>
      </c>
    </row>
    <row r="3268" spans="1:13" x14ac:dyDescent="0.25">
      <c r="A3268" s="1">
        <v>945540</v>
      </c>
      <c r="B3268" s="6" t="s">
        <v>3414</v>
      </c>
      <c r="F3268" s="6" t="s">
        <v>9</v>
      </c>
      <c r="G3268" s="6" t="s">
        <v>34</v>
      </c>
      <c r="H3268" s="9" t="s">
        <v>35</v>
      </c>
      <c r="I3268" s="7" t="str">
        <f t="shared" si="200"/>
        <v>61001002000</v>
      </c>
      <c r="J3268" s="7" t="str">
        <f t="shared" si="201"/>
        <v>Материал по ЕГРН</v>
      </c>
      <c r="K3268" s="7">
        <f>VLOOKUP(J3268,Лист2!A$2:B$4,2,FALSE)</f>
        <v>792</v>
      </c>
      <c r="L3268" s="7" t="str">
        <f t="shared" si="202"/>
        <v>ГОТОВ_ИЗМЕНЕН</v>
      </c>
      <c r="M3268" s="7">
        <f t="shared" si="203"/>
        <v>0</v>
      </c>
    </row>
    <row r="3269" spans="1:13" x14ac:dyDescent="0.25">
      <c r="A3269" s="1">
        <v>945552</v>
      </c>
      <c r="B3269" s="6" t="s">
        <v>3415</v>
      </c>
      <c r="F3269" s="6" t="s">
        <v>9</v>
      </c>
      <c r="G3269" s="6" t="s">
        <v>62</v>
      </c>
      <c r="H3269" s="9" t="s">
        <v>63</v>
      </c>
      <c r="I3269" s="7" t="str">
        <f t="shared" ref="I3269:I3332" si="204">IF(LEN(H3269)=11,H3269,IF(LEN(H3269)=0,"61001005000","61001003000"))</f>
        <v>61001006002</v>
      </c>
      <c r="J3269" s="7" t="str">
        <f t="shared" ref="J3269:J3332" si="205">IF(LEN(H3269)=11,"Материал по ЕГРН",IF(LEN(H3269)=0,"Прочие по допущению","Смешанные по допущению"))</f>
        <v>Материал по ЕГРН</v>
      </c>
      <c r="K3269" s="7">
        <f>VLOOKUP(J3269,Лист2!A$2:B$4,2,FALSE)</f>
        <v>792</v>
      </c>
      <c r="L3269" s="7" t="str">
        <f t="shared" ref="L3269:L3332" si="206">IF(I3269=C3269,"ГОТОВ","ГОТОВ_ИЗМЕНЕН")</f>
        <v>ГОТОВ_ИЗМЕНЕН</v>
      </c>
      <c r="M3269" s="7">
        <f t="shared" ref="M3269:M3332" si="207">C3269</f>
        <v>0</v>
      </c>
    </row>
    <row r="3270" spans="1:13" x14ac:dyDescent="0.25">
      <c r="A3270" s="1">
        <v>945564</v>
      </c>
      <c r="B3270" s="6" t="s">
        <v>3416</v>
      </c>
      <c r="F3270" s="6" t="s">
        <v>9</v>
      </c>
      <c r="G3270" s="6" t="s">
        <v>38</v>
      </c>
      <c r="H3270" s="9" t="s">
        <v>33</v>
      </c>
      <c r="I3270" s="7" t="str">
        <f t="shared" si="204"/>
        <v>61001005000</v>
      </c>
      <c r="J3270" s="7" t="str">
        <f t="shared" si="205"/>
        <v>Материал по ЕГРН</v>
      </c>
      <c r="K3270" s="7">
        <f>VLOOKUP(J3270,Лист2!A$2:B$4,2,FALSE)</f>
        <v>792</v>
      </c>
      <c r="L3270" s="7" t="str">
        <f t="shared" si="206"/>
        <v>ГОТОВ_ИЗМЕНЕН</v>
      </c>
      <c r="M3270" s="7">
        <f t="shared" si="207"/>
        <v>0</v>
      </c>
    </row>
    <row r="3271" spans="1:13" x14ac:dyDescent="0.25">
      <c r="A3271" s="1">
        <v>945576</v>
      </c>
      <c r="B3271" s="6" t="s">
        <v>3417</v>
      </c>
      <c r="F3271" s="6" t="s">
        <v>9</v>
      </c>
      <c r="G3271" s="6" t="s">
        <v>180</v>
      </c>
      <c r="H3271" s="9" t="s">
        <v>181</v>
      </c>
      <c r="I3271" s="7" t="str">
        <f t="shared" si="204"/>
        <v>61001009000</v>
      </c>
      <c r="J3271" s="7" t="str">
        <f t="shared" si="205"/>
        <v>Материал по ЕГРН</v>
      </c>
      <c r="K3271" s="7">
        <f>VLOOKUP(J3271,Лист2!A$2:B$4,2,FALSE)</f>
        <v>792</v>
      </c>
      <c r="L3271" s="7" t="str">
        <f t="shared" si="206"/>
        <v>ГОТОВ_ИЗМЕНЕН</v>
      </c>
      <c r="M3271" s="7">
        <f t="shared" si="207"/>
        <v>0</v>
      </c>
    </row>
    <row r="3272" spans="1:13" x14ac:dyDescent="0.25">
      <c r="A3272" s="1">
        <v>945588</v>
      </c>
      <c r="B3272" s="6" t="s">
        <v>3418</v>
      </c>
      <c r="F3272" s="6" t="s">
        <v>9</v>
      </c>
      <c r="G3272" s="6" t="s">
        <v>843</v>
      </c>
      <c r="H3272" s="9" t="s">
        <v>844</v>
      </c>
      <c r="I3272" s="7" t="str">
        <f t="shared" si="204"/>
        <v>61001003001</v>
      </c>
      <c r="J3272" s="7" t="str">
        <f t="shared" si="205"/>
        <v>Материал по ЕГРН</v>
      </c>
      <c r="K3272" s="7">
        <f>VLOOKUP(J3272,Лист2!A$2:B$4,2,FALSE)</f>
        <v>792</v>
      </c>
      <c r="L3272" s="7" t="str">
        <f t="shared" si="206"/>
        <v>ГОТОВ_ИЗМЕНЕН</v>
      </c>
      <c r="M3272" s="7">
        <f t="shared" si="207"/>
        <v>0</v>
      </c>
    </row>
    <row r="3273" spans="1:13" x14ac:dyDescent="0.25">
      <c r="A3273" s="1">
        <v>945600</v>
      </c>
      <c r="B3273" s="6" t="s">
        <v>3419</v>
      </c>
      <c r="F3273" s="6" t="s">
        <v>9</v>
      </c>
      <c r="G3273" s="6" t="s">
        <v>139</v>
      </c>
      <c r="H3273" s="9" t="s">
        <v>140</v>
      </c>
      <c r="I3273" s="7" t="str">
        <f t="shared" si="204"/>
        <v>61001999000</v>
      </c>
      <c r="J3273" s="7" t="str">
        <f t="shared" si="205"/>
        <v>Материал по ЕГРН</v>
      </c>
      <c r="K3273" s="7">
        <f>VLOOKUP(J3273,Лист2!A$2:B$4,2,FALSE)</f>
        <v>792</v>
      </c>
      <c r="L3273" s="7" t="str">
        <f t="shared" si="206"/>
        <v>ГОТОВ_ИЗМЕНЕН</v>
      </c>
      <c r="M3273" s="7">
        <f t="shared" si="207"/>
        <v>0</v>
      </c>
    </row>
    <row r="3274" spans="1:13" x14ac:dyDescent="0.25">
      <c r="A3274" s="1">
        <v>945612</v>
      </c>
      <c r="B3274" s="6" t="s">
        <v>3420</v>
      </c>
      <c r="F3274" s="6" t="s">
        <v>9</v>
      </c>
      <c r="G3274" s="6" t="s">
        <v>10</v>
      </c>
      <c r="H3274" s="9" t="s">
        <v>11</v>
      </c>
      <c r="I3274" s="7" t="str">
        <f t="shared" si="204"/>
        <v>61001003000</v>
      </c>
      <c r="J3274" s="7" t="str">
        <f t="shared" si="205"/>
        <v>Материал по ЕГРН</v>
      </c>
      <c r="K3274" s="7">
        <f>VLOOKUP(J3274,Лист2!A$2:B$4,2,FALSE)</f>
        <v>792</v>
      </c>
      <c r="L3274" s="7" t="str">
        <f t="shared" si="206"/>
        <v>ГОТОВ_ИЗМЕНЕН</v>
      </c>
      <c r="M3274" s="7">
        <f t="shared" si="207"/>
        <v>0</v>
      </c>
    </row>
    <row r="3275" spans="1:13" x14ac:dyDescent="0.25">
      <c r="A3275" s="1">
        <v>945624</v>
      </c>
      <c r="B3275" s="6" t="s">
        <v>3421</v>
      </c>
      <c r="F3275" s="6" t="s">
        <v>9</v>
      </c>
      <c r="G3275" s="6" t="s">
        <v>149</v>
      </c>
      <c r="H3275" s="9" t="s">
        <v>150</v>
      </c>
      <c r="I3275" s="7" t="str">
        <f t="shared" si="204"/>
        <v>61001007000</v>
      </c>
      <c r="J3275" s="7" t="str">
        <f t="shared" si="205"/>
        <v>Материал по ЕГРН</v>
      </c>
      <c r="K3275" s="7">
        <f>VLOOKUP(J3275,Лист2!A$2:B$4,2,FALSE)</f>
        <v>792</v>
      </c>
      <c r="L3275" s="7" t="str">
        <f t="shared" si="206"/>
        <v>ГОТОВ_ИЗМЕНЕН</v>
      </c>
      <c r="M3275" s="7">
        <f t="shared" si="207"/>
        <v>0</v>
      </c>
    </row>
    <row r="3276" spans="1:13" x14ac:dyDescent="0.25">
      <c r="A3276" s="1">
        <v>945636</v>
      </c>
      <c r="B3276" s="6" t="s">
        <v>3422</v>
      </c>
      <c r="F3276" s="6" t="s">
        <v>9</v>
      </c>
      <c r="G3276" s="6" t="s">
        <v>38</v>
      </c>
      <c r="H3276" s="9" t="s">
        <v>33</v>
      </c>
      <c r="I3276" s="7" t="str">
        <f t="shared" si="204"/>
        <v>61001005000</v>
      </c>
      <c r="J3276" s="7" t="str">
        <f t="shared" si="205"/>
        <v>Материал по ЕГРН</v>
      </c>
      <c r="K3276" s="7">
        <f>VLOOKUP(J3276,Лист2!A$2:B$4,2,FALSE)</f>
        <v>792</v>
      </c>
      <c r="L3276" s="7" t="str">
        <f t="shared" si="206"/>
        <v>ГОТОВ_ИЗМЕНЕН</v>
      </c>
      <c r="M3276" s="7">
        <f t="shared" si="207"/>
        <v>0</v>
      </c>
    </row>
    <row r="3277" spans="1:13" x14ac:dyDescent="0.25">
      <c r="A3277" s="1">
        <v>945648</v>
      </c>
      <c r="B3277" s="6" t="s">
        <v>3423</v>
      </c>
      <c r="F3277" s="6" t="s">
        <v>9</v>
      </c>
      <c r="G3277" s="6" t="s">
        <v>38</v>
      </c>
      <c r="H3277" s="9" t="s">
        <v>33</v>
      </c>
      <c r="I3277" s="7" t="str">
        <f t="shared" si="204"/>
        <v>61001005000</v>
      </c>
      <c r="J3277" s="7" t="str">
        <f t="shared" si="205"/>
        <v>Материал по ЕГРН</v>
      </c>
      <c r="K3277" s="7">
        <f>VLOOKUP(J3277,Лист2!A$2:B$4,2,FALSE)</f>
        <v>792</v>
      </c>
      <c r="L3277" s="7" t="str">
        <f t="shared" si="206"/>
        <v>ГОТОВ_ИЗМЕНЕН</v>
      </c>
      <c r="M3277" s="7">
        <f t="shared" si="207"/>
        <v>0</v>
      </c>
    </row>
    <row r="3278" spans="1:13" x14ac:dyDescent="0.25">
      <c r="A3278" s="1">
        <v>945660</v>
      </c>
      <c r="B3278" s="6" t="s">
        <v>3424</v>
      </c>
      <c r="F3278" s="6" t="s">
        <v>9</v>
      </c>
      <c r="G3278" s="6" t="s">
        <v>38</v>
      </c>
      <c r="H3278" s="9" t="s">
        <v>33</v>
      </c>
      <c r="I3278" s="7" t="str">
        <f t="shared" si="204"/>
        <v>61001005000</v>
      </c>
      <c r="J3278" s="7" t="str">
        <f t="shared" si="205"/>
        <v>Материал по ЕГРН</v>
      </c>
      <c r="K3278" s="7">
        <f>VLOOKUP(J3278,Лист2!A$2:B$4,2,FALSE)</f>
        <v>792</v>
      </c>
      <c r="L3278" s="7" t="str">
        <f t="shared" si="206"/>
        <v>ГОТОВ_ИЗМЕНЕН</v>
      </c>
      <c r="M3278" s="7">
        <f t="shared" si="207"/>
        <v>0</v>
      </c>
    </row>
    <row r="3279" spans="1:13" x14ac:dyDescent="0.25">
      <c r="A3279" s="1">
        <v>945672</v>
      </c>
      <c r="B3279" s="6" t="s">
        <v>3425</v>
      </c>
      <c r="F3279" s="6" t="s">
        <v>9</v>
      </c>
      <c r="G3279" s="6" t="s">
        <v>34</v>
      </c>
      <c r="H3279" s="9" t="s">
        <v>35</v>
      </c>
      <c r="I3279" s="7" t="str">
        <f t="shared" si="204"/>
        <v>61001002000</v>
      </c>
      <c r="J3279" s="7" t="str">
        <f t="shared" si="205"/>
        <v>Материал по ЕГРН</v>
      </c>
      <c r="K3279" s="7">
        <f>VLOOKUP(J3279,Лист2!A$2:B$4,2,FALSE)</f>
        <v>792</v>
      </c>
      <c r="L3279" s="7" t="str">
        <f t="shared" si="206"/>
        <v>ГОТОВ_ИЗМЕНЕН</v>
      </c>
      <c r="M3279" s="7">
        <f t="shared" si="207"/>
        <v>0</v>
      </c>
    </row>
    <row r="3280" spans="1:13" x14ac:dyDescent="0.25">
      <c r="A3280" s="1">
        <v>945684</v>
      </c>
      <c r="B3280" s="6" t="s">
        <v>3426</v>
      </c>
      <c r="F3280" s="6" t="s">
        <v>9</v>
      </c>
      <c r="G3280" s="6" t="s">
        <v>34</v>
      </c>
      <c r="H3280" s="9" t="s">
        <v>35</v>
      </c>
      <c r="I3280" s="7" t="str">
        <f t="shared" si="204"/>
        <v>61001002000</v>
      </c>
      <c r="J3280" s="7" t="str">
        <f t="shared" si="205"/>
        <v>Материал по ЕГРН</v>
      </c>
      <c r="K3280" s="7">
        <f>VLOOKUP(J3280,Лист2!A$2:B$4,2,FALSE)</f>
        <v>792</v>
      </c>
      <c r="L3280" s="7" t="str">
        <f t="shared" si="206"/>
        <v>ГОТОВ_ИЗМЕНЕН</v>
      </c>
      <c r="M3280" s="7">
        <f t="shared" si="207"/>
        <v>0</v>
      </c>
    </row>
    <row r="3281" spans="1:13" x14ac:dyDescent="0.25">
      <c r="A3281" s="1">
        <v>945696</v>
      </c>
      <c r="B3281" s="6" t="s">
        <v>3427</v>
      </c>
      <c r="F3281" s="6" t="s">
        <v>9</v>
      </c>
      <c r="G3281" s="6" t="s">
        <v>149</v>
      </c>
      <c r="H3281" s="9" t="s">
        <v>150</v>
      </c>
      <c r="I3281" s="7" t="str">
        <f t="shared" si="204"/>
        <v>61001007000</v>
      </c>
      <c r="J3281" s="7" t="str">
        <f t="shared" si="205"/>
        <v>Материал по ЕГРН</v>
      </c>
      <c r="K3281" s="7">
        <f>VLOOKUP(J3281,Лист2!A$2:B$4,2,FALSE)</f>
        <v>792</v>
      </c>
      <c r="L3281" s="7" t="str">
        <f t="shared" si="206"/>
        <v>ГОТОВ_ИЗМЕНЕН</v>
      </c>
      <c r="M3281" s="7">
        <f t="shared" si="207"/>
        <v>0</v>
      </c>
    </row>
    <row r="3282" spans="1:13" x14ac:dyDescent="0.25">
      <c r="A3282" s="1">
        <v>945708</v>
      </c>
      <c r="B3282" s="6" t="s">
        <v>3428</v>
      </c>
      <c r="F3282" s="6" t="s">
        <v>9</v>
      </c>
      <c r="G3282" s="6" t="s">
        <v>62</v>
      </c>
      <c r="H3282" s="9" t="s">
        <v>63</v>
      </c>
      <c r="I3282" s="7" t="str">
        <f t="shared" si="204"/>
        <v>61001006002</v>
      </c>
      <c r="J3282" s="7" t="str">
        <f t="shared" si="205"/>
        <v>Материал по ЕГРН</v>
      </c>
      <c r="K3282" s="7">
        <f>VLOOKUP(J3282,Лист2!A$2:B$4,2,FALSE)</f>
        <v>792</v>
      </c>
      <c r="L3282" s="7" t="str">
        <f t="shared" si="206"/>
        <v>ГОТОВ_ИЗМЕНЕН</v>
      </c>
      <c r="M3282" s="7">
        <f t="shared" si="207"/>
        <v>0</v>
      </c>
    </row>
    <row r="3283" spans="1:13" x14ac:dyDescent="0.25">
      <c r="A3283" s="1">
        <v>945720</v>
      </c>
      <c r="B3283" s="6" t="s">
        <v>3429</v>
      </c>
      <c r="F3283" s="6" t="s">
        <v>9</v>
      </c>
      <c r="G3283" s="6" t="s">
        <v>34</v>
      </c>
      <c r="H3283" s="9" t="s">
        <v>35</v>
      </c>
      <c r="I3283" s="7" t="str">
        <f t="shared" si="204"/>
        <v>61001002000</v>
      </c>
      <c r="J3283" s="7" t="str">
        <f t="shared" si="205"/>
        <v>Материал по ЕГРН</v>
      </c>
      <c r="K3283" s="7">
        <f>VLOOKUP(J3283,Лист2!A$2:B$4,2,FALSE)</f>
        <v>792</v>
      </c>
      <c r="L3283" s="7" t="str">
        <f t="shared" si="206"/>
        <v>ГОТОВ_ИЗМЕНЕН</v>
      </c>
      <c r="M3283" s="7">
        <f t="shared" si="207"/>
        <v>0</v>
      </c>
    </row>
    <row r="3284" spans="1:13" x14ac:dyDescent="0.25">
      <c r="A3284" s="1">
        <v>945732</v>
      </c>
      <c r="B3284" s="6" t="s">
        <v>3430</v>
      </c>
      <c r="F3284" s="6" t="s">
        <v>9</v>
      </c>
      <c r="G3284" s="6" t="s">
        <v>180</v>
      </c>
      <c r="H3284" s="9" t="s">
        <v>181</v>
      </c>
      <c r="I3284" s="7" t="str">
        <f t="shared" si="204"/>
        <v>61001009000</v>
      </c>
      <c r="J3284" s="7" t="str">
        <f t="shared" si="205"/>
        <v>Материал по ЕГРН</v>
      </c>
      <c r="K3284" s="7">
        <f>VLOOKUP(J3284,Лист2!A$2:B$4,2,FALSE)</f>
        <v>792</v>
      </c>
      <c r="L3284" s="7" t="str">
        <f t="shared" si="206"/>
        <v>ГОТОВ_ИЗМЕНЕН</v>
      </c>
      <c r="M3284" s="7">
        <f t="shared" si="207"/>
        <v>0</v>
      </c>
    </row>
    <row r="3285" spans="1:13" x14ac:dyDescent="0.25">
      <c r="A3285" s="1">
        <v>945744</v>
      </c>
      <c r="B3285" s="6" t="s">
        <v>3431</v>
      </c>
      <c r="F3285" s="6" t="s">
        <v>9</v>
      </c>
      <c r="G3285" s="6" t="s">
        <v>59</v>
      </c>
      <c r="H3285" s="9" t="s">
        <v>60</v>
      </c>
      <c r="I3285" s="7" t="str">
        <f t="shared" si="204"/>
        <v>61001001001</v>
      </c>
      <c r="J3285" s="7" t="str">
        <f t="shared" si="205"/>
        <v>Материал по ЕГРН</v>
      </c>
      <c r="K3285" s="7">
        <f>VLOOKUP(J3285,Лист2!A$2:B$4,2,FALSE)</f>
        <v>792</v>
      </c>
      <c r="L3285" s="7" t="str">
        <f t="shared" si="206"/>
        <v>ГОТОВ_ИЗМЕНЕН</v>
      </c>
      <c r="M3285" s="7">
        <f t="shared" si="207"/>
        <v>0</v>
      </c>
    </row>
    <row r="3286" spans="1:13" x14ac:dyDescent="0.25">
      <c r="A3286" s="1">
        <v>945756</v>
      </c>
      <c r="B3286" s="6" t="s">
        <v>3432</v>
      </c>
      <c r="F3286" s="6" t="s">
        <v>9</v>
      </c>
      <c r="G3286" s="6" t="s">
        <v>34</v>
      </c>
      <c r="H3286" s="9" t="s">
        <v>35</v>
      </c>
      <c r="I3286" s="7" t="str">
        <f t="shared" si="204"/>
        <v>61001002000</v>
      </c>
      <c r="J3286" s="7" t="str">
        <f t="shared" si="205"/>
        <v>Материал по ЕГРН</v>
      </c>
      <c r="K3286" s="7">
        <f>VLOOKUP(J3286,Лист2!A$2:B$4,2,FALSE)</f>
        <v>792</v>
      </c>
      <c r="L3286" s="7" t="str">
        <f t="shared" si="206"/>
        <v>ГОТОВ_ИЗМЕНЕН</v>
      </c>
      <c r="M3286" s="7">
        <f t="shared" si="207"/>
        <v>0</v>
      </c>
    </row>
    <row r="3287" spans="1:13" x14ac:dyDescent="0.25">
      <c r="A3287" s="1">
        <v>945768</v>
      </c>
      <c r="B3287" s="6" t="s">
        <v>3433</v>
      </c>
      <c r="F3287" s="6" t="s">
        <v>9</v>
      </c>
      <c r="G3287" s="6" t="s">
        <v>10</v>
      </c>
      <c r="H3287" s="9" t="s">
        <v>11</v>
      </c>
      <c r="I3287" s="7" t="str">
        <f t="shared" si="204"/>
        <v>61001003000</v>
      </c>
      <c r="J3287" s="7" t="str">
        <f t="shared" si="205"/>
        <v>Материал по ЕГРН</v>
      </c>
      <c r="K3287" s="7">
        <f>VLOOKUP(J3287,Лист2!A$2:B$4,2,FALSE)</f>
        <v>792</v>
      </c>
      <c r="L3287" s="7" t="str">
        <f t="shared" si="206"/>
        <v>ГОТОВ_ИЗМЕНЕН</v>
      </c>
      <c r="M3287" s="7">
        <f t="shared" si="207"/>
        <v>0</v>
      </c>
    </row>
    <row r="3288" spans="1:13" x14ac:dyDescent="0.25">
      <c r="A3288" s="1">
        <v>121029</v>
      </c>
      <c r="B3288" s="6" t="s">
        <v>3434</v>
      </c>
      <c r="C3288" s="9" t="s">
        <v>42</v>
      </c>
      <c r="D3288" s="6" t="s">
        <v>20</v>
      </c>
      <c r="E3288" s="6" t="s">
        <v>8</v>
      </c>
      <c r="F3288" s="6" t="s">
        <v>9</v>
      </c>
      <c r="G3288" s="6" t="s">
        <v>34</v>
      </c>
      <c r="H3288" s="9" t="s">
        <v>35</v>
      </c>
      <c r="I3288" s="7" t="str">
        <f t="shared" si="204"/>
        <v>61001002000</v>
      </c>
      <c r="J3288" s="7" t="str">
        <f t="shared" si="205"/>
        <v>Материал по ЕГРН</v>
      </c>
      <c r="K3288" s="7">
        <f>VLOOKUP(J3288,Лист2!A$2:B$4,2,FALSE)</f>
        <v>792</v>
      </c>
      <c r="L3288" s="7" t="str">
        <f t="shared" si="206"/>
        <v>ГОТОВ_ИЗМЕНЕН</v>
      </c>
      <c r="M3288" s="7" t="str">
        <f t="shared" si="207"/>
        <v>61001002001</v>
      </c>
    </row>
    <row r="3289" spans="1:13" x14ac:dyDescent="0.25">
      <c r="A3289" s="1">
        <v>329494</v>
      </c>
      <c r="B3289" s="6" t="s">
        <v>3435</v>
      </c>
      <c r="C3289" s="9" t="s">
        <v>42</v>
      </c>
      <c r="D3289" s="6" t="s">
        <v>20</v>
      </c>
      <c r="E3289" s="6" t="s">
        <v>37</v>
      </c>
      <c r="F3289" s="6" t="s">
        <v>9</v>
      </c>
      <c r="G3289" s="6" t="s">
        <v>43</v>
      </c>
      <c r="H3289" s="9" t="s">
        <v>42</v>
      </c>
      <c r="I3289" s="7" t="str">
        <f t="shared" si="204"/>
        <v>61001002001</v>
      </c>
      <c r="J3289" s="7" t="str">
        <f t="shared" si="205"/>
        <v>Материал по ЕГРН</v>
      </c>
      <c r="K3289" s="7">
        <f>VLOOKUP(J3289,Лист2!A$2:B$4,2,FALSE)</f>
        <v>792</v>
      </c>
      <c r="L3289" s="7" t="str">
        <f t="shared" si="206"/>
        <v>ГОТОВ</v>
      </c>
      <c r="M3289" s="7" t="str">
        <f t="shared" si="207"/>
        <v>61001002001</v>
      </c>
    </row>
    <row r="3290" spans="1:13" x14ac:dyDescent="0.25">
      <c r="A3290" s="1">
        <v>944279</v>
      </c>
      <c r="B3290" s="6" t="s">
        <v>3436</v>
      </c>
      <c r="F3290" s="6" t="s">
        <v>9</v>
      </c>
      <c r="G3290" s="6" t="s">
        <v>10</v>
      </c>
      <c r="H3290" s="9" t="s">
        <v>11</v>
      </c>
      <c r="I3290" s="7" t="str">
        <f t="shared" si="204"/>
        <v>61001003000</v>
      </c>
      <c r="J3290" s="7" t="str">
        <f t="shared" si="205"/>
        <v>Материал по ЕГРН</v>
      </c>
      <c r="K3290" s="7">
        <f>VLOOKUP(J3290,Лист2!A$2:B$4,2,FALSE)</f>
        <v>792</v>
      </c>
      <c r="L3290" s="7" t="str">
        <f t="shared" si="206"/>
        <v>ГОТОВ_ИЗМЕНЕН</v>
      </c>
      <c r="M3290" s="7">
        <f t="shared" si="207"/>
        <v>0</v>
      </c>
    </row>
    <row r="3291" spans="1:13" x14ac:dyDescent="0.25">
      <c r="A3291" s="1">
        <v>944291</v>
      </c>
      <c r="B3291" s="6" t="s">
        <v>3437</v>
      </c>
      <c r="F3291" s="6" t="s">
        <v>9</v>
      </c>
      <c r="G3291" s="6" t="s">
        <v>59</v>
      </c>
      <c r="H3291" s="9" t="s">
        <v>60</v>
      </c>
      <c r="I3291" s="7" t="str">
        <f t="shared" si="204"/>
        <v>61001001001</v>
      </c>
      <c r="J3291" s="7" t="str">
        <f t="shared" si="205"/>
        <v>Материал по ЕГРН</v>
      </c>
      <c r="K3291" s="7">
        <f>VLOOKUP(J3291,Лист2!A$2:B$4,2,FALSE)</f>
        <v>792</v>
      </c>
      <c r="L3291" s="7" t="str">
        <f t="shared" si="206"/>
        <v>ГОТОВ_ИЗМЕНЕН</v>
      </c>
      <c r="M3291" s="7">
        <f t="shared" si="207"/>
        <v>0</v>
      </c>
    </row>
    <row r="3292" spans="1:13" x14ac:dyDescent="0.25">
      <c r="A3292" s="1">
        <v>944303</v>
      </c>
      <c r="B3292" s="6" t="s">
        <v>3438</v>
      </c>
      <c r="F3292" s="6" t="s">
        <v>9</v>
      </c>
      <c r="G3292" s="6" t="s">
        <v>38</v>
      </c>
      <c r="H3292" s="9" t="s">
        <v>33</v>
      </c>
      <c r="I3292" s="7" t="str">
        <f t="shared" si="204"/>
        <v>61001005000</v>
      </c>
      <c r="J3292" s="7" t="str">
        <f t="shared" si="205"/>
        <v>Материал по ЕГРН</v>
      </c>
      <c r="K3292" s="7">
        <f>VLOOKUP(J3292,Лист2!A$2:B$4,2,FALSE)</f>
        <v>792</v>
      </c>
      <c r="L3292" s="7" t="str">
        <f t="shared" si="206"/>
        <v>ГОТОВ_ИЗМЕНЕН</v>
      </c>
      <c r="M3292" s="7">
        <f t="shared" si="207"/>
        <v>0</v>
      </c>
    </row>
    <row r="3293" spans="1:13" x14ac:dyDescent="0.25">
      <c r="A3293" s="1">
        <v>944315</v>
      </c>
      <c r="B3293" s="6" t="s">
        <v>3439</v>
      </c>
      <c r="F3293" s="6" t="s">
        <v>9</v>
      </c>
      <c r="G3293" s="6" t="s">
        <v>38</v>
      </c>
      <c r="H3293" s="9" t="s">
        <v>33</v>
      </c>
      <c r="I3293" s="7" t="str">
        <f t="shared" si="204"/>
        <v>61001005000</v>
      </c>
      <c r="J3293" s="7" t="str">
        <f t="shared" si="205"/>
        <v>Материал по ЕГРН</v>
      </c>
      <c r="K3293" s="7">
        <f>VLOOKUP(J3293,Лист2!A$2:B$4,2,FALSE)</f>
        <v>792</v>
      </c>
      <c r="L3293" s="7" t="str">
        <f t="shared" si="206"/>
        <v>ГОТОВ_ИЗМЕНЕН</v>
      </c>
      <c r="M3293" s="7">
        <f t="shared" si="207"/>
        <v>0</v>
      </c>
    </row>
    <row r="3294" spans="1:13" x14ac:dyDescent="0.25">
      <c r="A3294" s="1">
        <v>944327</v>
      </c>
      <c r="B3294" s="6" t="s">
        <v>3440</v>
      </c>
      <c r="F3294" s="6" t="s">
        <v>9</v>
      </c>
      <c r="G3294" s="6" t="s">
        <v>510</v>
      </c>
      <c r="H3294" s="9" t="s">
        <v>511</v>
      </c>
      <c r="I3294" s="7" t="str">
        <f t="shared" si="204"/>
        <v>61001003000</v>
      </c>
      <c r="J3294" s="7" t="str">
        <f t="shared" si="205"/>
        <v>Смешанные по допущению</v>
      </c>
      <c r="K3294" s="7">
        <f>VLOOKUP(J3294,Лист2!A$2:B$4,2,FALSE)</f>
        <v>793</v>
      </c>
      <c r="L3294" s="7" t="str">
        <f t="shared" si="206"/>
        <v>ГОТОВ_ИЗМЕНЕН</v>
      </c>
      <c r="M3294" s="7">
        <f t="shared" si="207"/>
        <v>0</v>
      </c>
    </row>
    <row r="3295" spans="1:13" x14ac:dyDescent="0.25">
      <c r="A3295" s="1">
        <v>944339</v>
      </c>
      <c r="B3295" s="6" t="s">
        <v>3441</v>
      </c>
      <c r="F3295" s="6" t="s">
        <v>9</v>
      </c>
      <c r="G3295" s="6" t="s">
        <v>38</v>
      </c>
      <c r="H3295" s="9" t="s">
        <v>33</v>
      </c>
      <c r="I3295" s="7" t="str">
        <f t="shared" si="204"/>
        <v>61001005000</v>
      </c>
      <c r="J3295" s="7" t="str">
        <f t="shared" si="205"/>
        <v>Материал по ЕГРН</v>
      </c>
      <c r="K3295" s="7">
        <f>VLOOKUP(J3295,Лист2!A$2:B$4,2,FALSE)</f>
        <v>792</v>
      </c>
      <c r="L3295" s="7" t="str">
        <f t="shared" si="206"/>
        <v>ГОТОВ_ИЗМЕНЕН</v>
      </c>
      <c r="M3295" s="7">
        <f t="shared" si="207"/>
        <v>0</v>
      </c>
    </row>
    <row r="3296" spans="1:13" x14ac:dyDescent="0.25">
      <c r="A3296" s="1">
        <v>944351</v>
      </c>
      <c r="B3296" s="6" t="s">
        <v>3442</v>
      </c>
      <c r="F3296" s="6" t="s">
        <v>9</v>
      </c>
      <c r="G3296" s="6" t="s">
        <v>38</v>
      </c>
      <c r="H3296" s="9" t="s">
        <v>33</v>
      </c>
      <c r="I3296" s="7" t="str">
        <f t="shared" si="204"/>
        <v>61001005000</v>
      </c>
      <c r="J3296" s="7" t="str">
        <f t="shared" si="205"/>
        <v>Материал по ЕГРН</v>
      </c>
      <c r="K3296" s="7">
        <f>VLOOKUP(J3296,Лист2!A$2:B$4,2,FALSE)</f>
        <v>792</v>
      </c>
      <c r="L3296" s="7" t="str">
        <f t="shared" si="206"/>
        <v>ГОТОВ_ИЗМЕНЕН</v>
      </c>
      <c r="M3296" s="7">
        <f t="shared" si="207"/>
        <v>0</v>
      </c>
    </row>
    <row r="3297" spans="1:13" x14ac:dyDescent="0.25">
      <c r="A3297" s="1">
        <v>944363</v>
      </c>
      <c r="B3297" s="6" t="s">
        <v>3443</v>
      </c>
      <c r="F3297" s="6" t="s">
        <v>9</v>
      </c>
      <c r="G3297" s="6" t="s">
        <v>65</v>
      </c>
      <c r="H3297" s="9" t="s">
        <v>66</v>
      </c>
      <c r="I3297" s="7" t="str">
        <f t="shared" si="204"/>
        <v>61001002003</v>
      </c>
      <c r="J3297" s="7" t="str">
        <f t="shared" si="205"/>
        <v>Материал по ЕГРН</v>
      </c>
      <c r="K3297" s="7">
        <f>VLOOKUP(J3297,Лист2!A$2:B$4,2,FALSE)</f>
        <v>792</v>
      </c>
      <c r="L3297" s="7" t="str">
        <f t="shared" si="206"/>
        <v>ГОТОВ_ИЗМЕНЕН</v>
      </c>
      <c r="M3297" s="7">
        <f t="shared" si="207"/>
        <v>0</v>
      </c>
    </row>
    <row r="3298" spans="1:13" x14ac:dyDescent="0.25">
      <c r="A3298" s="1">
        <v>944375</v>
      </c>
      <c r="B3298" s="6" t="s">
        <v>3444</v>
      </c>
      <c r="F3298" s="6" t="s">
        <v>9</v>
      </c>
      <c r="G3298" s="6" t="s">
        <v>43</v>
      </c>
      <c r="H3298" s="9" t="s">
        <v>42</v>
      </c>
      <c r="I3298" s="7" t="str">
        <f t="shared" si="204"/>
        <v>61001002001</v>
      </c>
      <c r="J3298" s="7" t="str">
        <f t="shared" si="205"/>
        <v>Материал по ЕГРН</v>
      </c>
      <c r="K3298" s="7">
        <f>VLOOKUP(J3298,Лист2!A$2:B$4,2,FALSE)</f>
        <v>792</v>
      </c>
      <c r="L3298" s="7" t="str">
        <f t="shared" si="206"/>
        <v>ГОТОВ_ИЗМЕНЕН</v>
      </c>
      <c r="M3298" s="7">
        <f t="shared" si="207"/>
        <v>0</v>
      </c>
    </row>
    <row r="3299" spans="1:13" x14ac:dyDescent="0.25">
      <c r="A3299" s="1">
        <v>944387</v>
      </c>
      <c r="B3299" s="6" t="s">
        <v>3445</v>
      </c>
      <c r="F3299" s="6" t="s">
        <v>9</v>
      </c>
      <c r="G3299" s="6" t="s">
        <v>38</v>
      </c>
      <c r="H3299" s="9" t="s">
        <v>33</v>
      </c>
      <c r="I3299" s="7" t="str">
        <f t="shared" si="204"/>
        <v>61001005000</v>
      </c>
      <c r="J3299" s="7" t="str">
        <f t="shared" si="205"/>
        <v>Материал по ЕГРН</v>
      </c>
      <c r="K3299" s="7">
        <f>VLOOKUP(J3299,Лист2!A$2:B$4,2,FALSE)</f>
        <v>792</v>
      </c>
      <c r="L3299" s="7" t="str">
        <f t="shared" si="206"/>
        <v>ГОТОВ_ИЗМЕНЕН</v>
      </c>
      <c r="M3299" s="7">
        <f t="shared" si="207"/>
        <v>0</v>
      </c>
    </row>
    <row r="3300" spans="1:13" x14ac:dyDescent="0.25">
      <c r="A3300" s="1">
        <v>944399</v>
      </c>
      <c r="B3300" s="6" t="s">
        <v>3446</v>
      </c>
      <c r="F3300" s="6" t="s">
        <v>9</v>
      </c>
      <c r="G3300" s="6" t="s">
        <v>38</v>
      </c>
      <c r="H3300" s="9" t="s">
        <v>33</v>
      </c>
      <c r="I3300" s="7" t="str">
        <f t="shared" si="204"/>
        <v>61001005000</v>
      </c>
      <c r="J3300" s="7" t="str">
        <f t="shared" si="205"/>
        <v>Материал по ЕГРН</v>
      </c>
      <c r="K3300" s="7">
        <f>VLOOKUP(J3300,Лист2!A$2:B$4,2,FALSE)</f>
        <v>792</v>
      </c>
      <c r="L3300" s="7" t="str">
        <f t="shared" si="206"/>
        <v>ГОТОВ_ИЗМЕНЕН</v>
      </c>
      <c r="M3300" s="7">
        <f t="shared" si="207"/>
        <v>0</v>
      </c>
    </row>
    <row r="3301" spans="1:13" x14ac:dyDescent="0.25">
      <c r="A3301" s="1">
        <v>944411</v>
      </c>
      <c r="B3301" s="6" t="s">
        <v>3447</v>
      </c>
      <c r="F3301" s="6" t="s">
        <v>9</v>
      </c>
      <c r="G3301" s="6" t="s">
        <v>38</v>
      </c>
      <c r="H3301" s="9" t="s">
        <v>33</v>
      </c>
      <c r="I3301" s="7" t="str">
        <f t="shared" si="204"/>
        <v>61001005000</v>
      </c>
      <c r="J3301" s="7" t="str">
        <f t="shared" si="205"/>
        <v>Материал по ЕГРН</v>
      </c>
      <c r="K3301" s="7">
        <f>VLOOKUP(J3301,Лист2!A$2:B$4,2,FALSE)</f>
        <v>792</v>
      </c>
      <c r="L3301" s="7" t="str">
        <f t="shared" si="206"/>
        <v>ГОТОВ_ИЗМЕНЕН</v>
      </c>
      <c r="M3301" s="7">
        <f t="shared" si="207"/>
        <v>0</v>
      </c>
    </row>
    <row r="3302" spans="1:13" x14ac:dyDescent="0.25">
      <c r="A3302" s="1">
        <v>944423</v>
      </c>
      <c r="B3302" s="6" t="s">
        <v>3448</v>
      </c>
      <c r="F3302" s="6" t="s">
        <v>9</v>
      </c>
      <c r="G3302" s="6" t="s">
        <v>34</v>
      </c>
      <c r="H3302" s="9" t="s">
        <v>35</v>
      </c>
      <c r="I3302" s="7" t="str">
        <f t="shared" si="204"/>
        <v>61001002000</v>
      </c>
      <c r="J3302" s="7" t="str">
        <f t="shared" si="205"/>
        <v>Материал по ЕГРН</v>
      </c>
      <c r="K3302" s="7">
        <f>VLOOKUP(J3302,Лист2!A$2:B$4,2,FALSE)</f>
        <v>792</v>
      </c>
      <c r="L3302" s="7" t="str">
        <f t="shared" si="206"/>
        <v>ГОТОВ_ИЗМЕНЕН</v>
      </c>
      <c r="M3302" s="7">
        <f t="shared" si="207"/>
        <v>0</v>
      </c>
    </row>
    <row r="3303" spans="1:13" x14ac:dyDescent="0.25">
      <c r="A3303" s="1">
        <v>944435</v>
      </c>
      <c r="B3303" s="6" t="s">
        <v>3449</v>
      </c>
      <c r="F3303" s="6" t="s">
        <v>9</v>
      </c>
      <c r="G3303" s="6" t="s">
        <v>10</v>
      </c>
      <c r="H3303" s="9" t="s">
        <v>11</v>
      </c>
      <c r="I3303" s="7" t="str">
        <f t="shared" si="204"/>
        <v>61001003000</v>
      </c>
      <c r="J3303" s="7" t="str">
        <f t="shared" si="205"/>
        <v>Материал по ЕГРН</v>
      </c>
      <c r="K3303" s="7">
        <f>VLOOKUP(J3303,Лист2!A$2:B$4,2,FALSE)</f>
        <v>792</v>
      </c>
      <c r="L3303" s="7" t="str">
        <f t="shared" si="206"/>
        <v>ГОТОВ_ИЗМЕНЕН</v>
      </c>
      <c r="M3303" s="7">
        <f t="shared" si="207"/>
        <v>0</v>
      </c>
    </row>
    <row r="3304" spans="1:13" x14ac:dyDescent="0.25">
      <c r="A3304" s="1">
        <v>944447</v>
      </c>
      <c r="B3304" s="6" t="s">
        <v>3450</v>
      </c>
      <c r="F3304" s="6" t="s">
        <v>9</v>
      </c>
      <c r="G3304" s="6" t="s">
        <v>62</v>
      </c>
      <c r="H3304" s="9" t="s">
        <v>63</v>
      </c>
      <c r="I3304" s="7" t="str">
        <f t="shared" si="204"/>
        <v>61001006002</v>
      </c>
      <c r="J3304" s="7" t="str">
        <f t="shared" si="205"/>
        <v>Материал по ЕГРН</v>
      </c>
      <c r="K3304" s="7">
        <f>VLOOKUP(J3304,Лист2!A$2:B$4,2,FALSE)</f>
        <v>792</v>
      </c>
      <c r="L3304" s="7" t="str">
        <f t="shared" si="206"/>
        <v>ГОТОВ_ИЗМЕНЕН</v>
      </c>
      <c r="M3304" s="7">
        <f t="shared" si="207"/>
        <v>0</v>
      </c>
    </row>
    <row r="3305" spans="1:13" x14ac:dyDescent="0.25">
      <c r="A3305" s="1">
        <v>944459</v>
      </c>
      <c r="B3305" s="6" t="s">
        <v>3451</v>
      </c>
      <c r="F3305" s="6" t="s">
        <v>9</v>
      </c>
      <c r="G3305" s="6" t="s">
        <v>10</v>
      </c>
      <c r="H3305" s="9" t="s">
        <v>11</v>
      </c>
      <c r="I3305" s="7" t="str">
        <f t="shared" si="204"/>
        <v>61001003000</v>
      </c>
      <c r="J3305" s="7" t="str">
        <f t="shared" si="205"/>
        <v>Материал по ЕГРН</v>
      </c>
      <c r="K3305" s="7">
        <f>VLOOKUP(J3305,Лист2!A$2:B$4,2,FALSE)</f>
        <v>792</v>
      </c>
      <c r="L3305" s="7" t="str">
        <f t="shared" si="206"/>
        <v>ГОТОВ_ИЗМЕНЕН</v>
      </c>
      <c r="M3305" s="7">
        <f t="shared" si="207"/>
        <v>0</v>
      </c>
    </row>
    <row r="3306" spans="1:13" x14ac:dyDescent="0.25">
      <c r="A3306" s="1">
        <v>944471</v>
      </c>
      <c r="B3306" s="6" t="s">
        <v>3452</v>
      </c>
      <c r="F3306" s="6" t="s">
        <v>9</v>
      </c>
      <c r="G3306" s="6" t="s">
        <v>170</v>
      </c>
      <c r="H3306" s="9" t="s">
        <v>171</v>
      </c>
      <c r="I3306" s="7" t="str">
        <f t="shared" si="204"/>
        <v>61001001000</v>
      </c>
      <c r="J3306" s="7" t="str">
        <f t="shared" si="205"/>
        <v>Материал по ЕГРН</v>
      </c>
      <c r="K3306" s="7">
        <f>VLOOKUP(J3306,Лист2!A$2:B$4,2,FALSE)</f>
        <v>792</v>
      </c>
      <c r="L3306" s="7" t="str">
        <f t="shared" si="206"/>
        <v>ГОТОВ_ИЗМЕНЕН</v>
      </c>
      <c r="M3306" s="7">
        <f t="shared" si="207"/>
        <v>0</v>
      </c>
    </row>
    <row r="3307" spans="1:13" x14ac:dyDescent="0.25">
      <c r="A3307" s="1">
        <v>944483</v>
      </c>
      <c r="B3307" s="6" t="s">
        <v>3453</v>
      </c>
      <c r="F3307" s="6" t="s">
        <v>9</v>
      </c>
      <c r="G3307" s="6" t="s">
        <v>34</v>
      </c>
      <c r="H3307" s="9" t="s">
        <v>35</v>
      </c>
      <c r="I3307" s="7" t="str">
        <f t="shared" si="204"/>
        <v>61001002000</v>
      </c>
      <c r="J3307" s="7" t="str">
        <f t="shared" si="205"/>
        <v>Материал по ЕГРН</v>
      </c>
      <c r="K3307" s="7">
        <f>VLOOKUP(J3307,Лист2!A$2:B$4,2,FALSE)</f>
        <v>792</v>
      </c>
      <c r="L3307" s="7" t="str">
        <f t="shared" si="206"/>
        <v>ГОТОВ_ИЗМЕНЕН</v>
      </c>
      <c r="M3307" s="7">
        <f t="shared" si="207"/>
        <v>0</v>
      </c>
    </row>
    <row r="3308" spans="1:13" x14ac:dyDescent="0.25">
      <c r="A3308" s="1">
        <v>944495</v>
      </c>
      <c r="B3308" s="6" t="s">
        <v>3454</v>
      </c>
      <c r="F3308" s="6" t="s">
        <v>9</v>
      </c>
      <c r="G3308" s="6" t="s">
        <v>170</v>
      </c>
      <c r="H3308" s="9" t="s">
        <v>171</v>
      </c>
      <c r="I3308" s="7" t="str">
        <f t="shared" si="204"/>
        <v>61001001000</v>
      </c>
      <c r="J3308" s="7" t="str">
        <f t="shared" si="205"/>
        <v>Материал по ЕГРН</v>
      </c>
      <c r="K3308" s="7">
        <f>VLOOKUP(J3308,Лист2!A$2:B$4,2,FALSE)</f>
        <v>792</v>
      </c>
      <c r="L3308" s="7" t="str">
        <f t="shared" si="206"/>
        <v>ГОТОВ_ИЗМЕНЕН</v>
      </c>
      <c r="M3308" s="7">
        <f t="shared" si="207"/>
        <v>0</v>
      </c>
    </row>
    <row r="3309" spans="1:13" x14ac:dyDescent="0.25">
      <c r="A3309" s="1">
        <v>944507</v>
      </c>
      <c r="B3309" s="6" t="s">
        <v>3455</v>
      </c>
      <c r="F3309" s="6" t="s">
        <v>9</v>
      </c>
      <c r="G3309" s="6" t="s">
        <v>34</v>
      </c>
      <c r="H3309" s="9" t="s">
        <v>35</v>
      </c>
      <c r="I3309" s="7" t="str">
        <f t="shared" si="204"/>
        <v>61001002000</v>
      </c>
      <c r="J3309" s="7" t="str">
        <f t="shared" si="205"/>
        <v>Материал по ЕГРН</v>
      </c>
      <c r="K3309" s="7">
        <f>VLOOKUP(J3309,Лист2!A$2:B$4,2,FALSE)</f>
        <v>792</v>
      </c>
      <c r="L3309" s="7" t="str">
        <f t="shared" si="206"/>
        <v>ГОТОВ_ИЗМЕНЕН</v>
      </c>
      <c r="M3309" s="7">
        <f t="shared" si="207"/>
        <v>0</v>
      </c>
    </row>
    <row r="3310" spans="1:13" x14ac:dyDescent="0.25">
      <c r="A3310" s="1">
        <v>944519</v>
      </c>
      <c r="B3310" s="6" t="s">
        <v>3456</v>
      </c>
      <c r="F3310" s="6" t="s">
        <v>9</v>
      </c>
      <c r="G3310" s="6" t="s">
        <v>10</v>
      </c>
      <c r="H3310" s="9" t="s">
        <v>11</v>
      </c>
      <c r="I3310" s="7" t="str">
        <f t="shared" si="204"/>
        <v>61001003000</v>
      </c>
      <c r="J3310" s="7" t="str">
        <f t="shared" si="205"/>
        <v>Материал по ЕГРН</v>
      </c>
      <c r="K3310" s="7">
        <f>VLOOKUP(J3310,Лист2!A$2:B$4,2,FALSE)</f>
        <v>792</v>
      </c>
      <c r="L3310" s="7" t="str">
        <f t="shared" si="206"/>
        <v>ГОТОВ_ИЗМЕНЕН</v>
      </c>
      <c r="M3310" s="7">
        <f t="shared" si="207"/>
        <v>0</v>
      </c>
    </row>
    <row r="3311" spans="1:13" x14ac:dyDescent="0.25">
      <c r="A3311" s="1">
        <v>944531</v>
      </c>
      <c r="B3311" s="6" t="s">
        <v>3457</v>
      </c>
      <c r="F3311" s="6" t="s">
        <v>9</v>
      </c>
      <c r="G3311" s="6" t="s">
        <v>86</v>
      </c>
      <c r="H3311" s="9" t="s">
        <v>87</v>
      </c>
      <c r="I3311" s="7" t="str">
        <f t="shared" si="204"/>
        <v>61001003000</v>
      </c>
      <c r="J3311" s="7" t="str">
        <f t="shared" si="205"/>
        <v>Смешанные по допущению</v>
      </c>
      <c r="K3311" s="7">
        <f>VLOOKUP(J3311,Лист2!A$2:B$4,2,FALSE)</f>
        <v>793</v>
      </c>
      <c r="L3311" s="7" t="str">
        <f t="shared" si="206"/>
        <v>ГОТОВ_ИЗМЕНЕН</v>
      </c>
      <c r="M3311" s="7">
        <f t="shared" si="207"/>
        <v>0</v>
      </c>
    </row>
    <row r="3312" spans="1:13" x14ac:dyDescent="0.25">
      <c r="A3312" s="1">
        <v>944543</v>
      </c>
      <c r="B3312" s="6" t="s">
        <v>3458</v>
      </c>
      <c r="F3312" s="6" t="s">
        <v>9</v>
      </c>
      <c r="G3312" s="6" t="s">
        <v>34</v>
      </c>
      <c r="H3312" s="9" t="s">
        <v>35</v>
      </c>
      <c r="I3312" s="7" t="str">
        <f t="shared" si="204"/>
        <v>61001002000</v>
      </c>
      <c r="J3312" s="7" t="str">
        <f t="shared" si="205"/>
        <v>Материал по ЕГРН</v>
      </c>
      <c r="K3312" s="7">
        <f>VLOOKUP(J3312,Лист2!A$2:B$4,2,FALSE)</f>
        <v>792</v>
      </c>
      <c r="L3312" s="7" t="str">
        <f t="shared" si="206"/>
        <v>ГОТОВ_ИЗМЕНЕН</v>
      </c>
      <c r="M3312" s="7">
        <f t="shared" si="207"/>
        <v>0</v>
      </c>
    </row>
    <row r="3313" spans="1:13" x14ac:dyDescent="0.25">
      <c r="A3313" s="1">
        <v>944555</v>
      </c>
      <c r="B3313" s="6" t="s">
        <v>3459</v>
      </c>
      <c r="F3313" s="6" t="s">
        <v>9</v>
      </c>
      <c r="G3313" s="6" t="s">
        <v>38</v>
      </c>
      <c r="H3313" s="9" t="s">
        <v>33</v>
      </c>
      <c r="I3313" s="7" t="str">
        <f t="shared" si="204"/>
        <v>61001005000</v>
      </c>
      <c r="J3313" s="7" t="str">
        <f t="shared" si="205"/>
        <v>Материал по ЕГРН</v>
      </c>
      <c r="K3313" s="7">
        <f>VLOOKUP(J3313,Лист2!A$2:B$4,2,FALSE)</f>
        <v>792</v>
      </c>
      <c r="L3313" s="7" t="str">
        <f t="shared" si="206"/>
        <v>ГОТОВ_ИЗМЕНЕН</v>
      </c>
      <c r="M3313" s="7">
        <f t="shared" si="207"/>
        <v>0</v>
      </c>
    </row>
    <row r="3314" spans="1:13" x14ac:dyDescent="0.25">
      <c r="A3314" s="1">
        <v>944567</v>
      </c>
      <c r="B3314" s="6" t="s">
        <v>3460</v>
      </c>
      <c r="F3314" s="6" t="s">
        <v>9</v>
      </c>
      <c r="G3314" s="6" t="s">
        <v>38</v>
      </c>
      <c r="H3314" s="9" t="s">
        <v>33</v>
      </c>
      <c r="I3314" s="7" t="str">
        <f t="shared" si="204"/>
        <v>61001005000</v>
      </c>
      <c r="J3314" s="7" t="str">
        <f t="shared" si="205"/>
        <v>Материал по ЕГРН</v>
      </c>
      <c r="K3314" s="7">
        <f>VLOOKUP(J3314,Лист2!A$2:B$4,2,FALSE)</f>
        <v>792</v>
      </c>
      <c r="L3314" s="7" t="str">
        <f t="shared" si="206"/>
        <v>ГОТОВ_ИЗМЕНЕН</v>
      </c>
      <c r="M3314" s="7">
        <f t="shared" si="207"/>
        <v>0</v>
      </c>
    </row>
    <row r="3315" spans="1:13" x14ac:dyDescent="0.25">
      <c r="A3315" s="1">
        <v>944579</v>
      </c>
      <c r="B3315" s="6" t="s">
        <v>3461</v>
      </c>
      <c r="F3315" s="6" t="s">
        <v>9</v>
      </c>
      <c r="G3315" s="6" t="s">
        <v>59</v>
      </c>
      <c r="H3315" s="9" t="s">
        <v>60</v>
      </c>
      <c r="I3315" s="7" t="str">
        <f t="shared" si="204"/>
        <v>61001001001</v>
      </c>
      <c r="J3315" s="7" t="str">
        <f t="shared" si="205"/>
        <v>Материал по ЕГРН</v>
      </c>
      <c r="K3315" s="7">
        <f>VLOOKUP(J3315,Лист2!A$2:B$4,2,FALSE)</f>
        <v>792</v>
      </c>
      <c r="L3315" s="7" t="str">
        <f t="shared" si="206"/>
        <v>ГОТОВ_ИЗМЕНЕН</v>
      </c>
      <c r="M3315" s="7">
        <f t="shared" si="207"/>
        <v>0</v>
      </c>
    </row>
    <row r="3316" spans="1:13" ht="25.5" x14ac:dyDescent="0.25">
      <c r="A3316" s="1">
        <v>944591</v>
      </c>
      <c r="B3316" s="6" t="s">
        <v>3462</v>
      </c>
      <c r="F3316" s="6" t="s">
        <v>9</v>
      </c>
      <c r="G3316" s="6" t="s">
        <v>3463</v>
      </c>
      <c r="H3316" s="9" t="s">
        <v>3464</v>
      </c>
      <c r="I3316" s="7" t="str">
        <f t="shared" si="204"/>
        <v>61001003000</v>
      </c>
      <c r="J3316" s="7" t="str">
        <f t="shared" si="205"/>
        <v>Смешанные по допущению</v>
      </c>
      <c r="K3316" s="7">
        <f>VLOOKUP(J3316,Лист2!A$2:B$4,2,FALSE)</f>
        <v>793</v>
      </c>
      <c r="L3316" s="7" t="str">
        <f t="shared" si="206"/>
        <v>ГОТОВ_ИЗМЕНЕН</v>
      </c>
      <c r="M3316" s="7">
        <f t="shared" si="207"/>
        <v>0</v>
      </c>
    </row>
    <row r="3317" spans="1:13" x14ac:dyDescent="0.25">
      <c r="A3317" s="1">
        <v>944603</v>
      </c>
      <c r="B3317" s="6" t="s">
        <v>3465</v>
      </c>
      <c r="F3317" s="6" t="s">
        <v>9</v>
      </c>
      <c r="G3317" s="6" t="s">
        <v>38</v>
      </c>
      <c r="H3317" s="9" t="s">
        <v>33</v>
      </c>
      <c r="I3317" s="7" t="str">
        <f t="shared" si="204"/>
        <v>61001005000</v>
      </c>
      <c r="J3317" s="7" t="str">
        <f t="shared" si="205"/>
        <v>Материал по ЕГРН</v>
      </c>
      <c r="K3317" s="7">
        <f>VLOOKUP(J3317,Лист2!A$2:B$4,2,FALSE)</f>
        <v>792</v>
      </c>
      <c r="L3317" s="7" t="str">
        <f t="shared" si="206"/>
        <v>ГОТОВ_ИЗМЕНЕН</v>
      </c>
      <c r="M3317" s="7">
        <f t="shared" si="207"/>
        <v>0</v>
      </c>
    </row>
    <row r="3318" spans="1:13" x14ac:dyDescent="0.25">
      <c r="A3318" s="1">
        <v>944615</v>
      </c>
      <c r="B3318" s="6" t="s">
        <v>3466</v>
      </c>
      <c r="F3318" s="6" t="s">
        <v>9</v>
      </c>
      <c r="G3318" s="6" t="s">
        <v>10</v>
      </c>
      <c r="H3318" s="9" t="s">
        <v>11</v>
      </c>
      <c r="I3318" s="7" t="str">
        <f t="shared" si="204"/>
        <v>61001003000</v>
      </c>
      <c r="J3318" s="7" t="str">
        <f t="shared" si="205"/>
        <v>Материал по ЕГРН</v>
      </c>
      <c r="K3318" s="7">
        <f>VLOOKUP(J3318,Лист2!A$2:B$4,2,FALSE)</f>
        <v>792</v>
      </c>
      <c r="L3318" s="7" t="str">
        <f t="shared" si="206"/>
        <v>ГОТОВ_ИЗМЕНЕН</v>
      </c>
      <c r="M3318" s="7">
        <f t="shared" si="207"/>
        <v>0</v>
      </c>
    </row>
    <row r="3319" spans="1:13" x14ac:dyDescent="0.25">
      <c r="A3319" s="1">
        <v>944627</v>
      </c>
      <c r="B3319" s="6" t="s">
        <v>3467</v>
      </c>
      <c r="F3319" s="6" t="s">
        <v>9</v>
      </c>
      <c r="G3319" s="6" t="s">
        <v>62</v>
      </c>
      <c r="H3319" s="9" t="s">
        <v>63</v>
      </c>
      <c r="I3319" s="7" t="str">
        <f t="shared" si="204"/>
        <v>61001006002</v>
      </c>
      <c r="J3319" s="7" t="str">
        <f t="shared" si="205"/>
        <v>Материал по ЕГРН</v>
      </c>
      <c r="K3319" s="7">
        <f>VLOOKUP(J3319,Лист2!A$2:B$4,2,FALSE)</f>
        <v>792</v>
      </c>
      <c r="L3319" s="7" t="str">
        <f t="shared" si="206"/>
        <v>ГОТОВ_ИЗМЕНЕН</v>
      </c>
      <c r="M3319" s="7">
        <f t="shared" si="207"/>
        <v>0</v>
      </c>
    </row>
    <row r="3320" spans="1:13" x14ac:dyDescent="0.25">
      <c r="A3320" s="1">
        <v>945826</v>
      </c>
      <c r="B3320" s="6" t="s">
        <v>3468</v>
      </c>
      <c r="F3320" s="6" t="s">
        <v>9</v>
      </c>
      <c r="G3320" s="6" t="s">
        <v>59</v>
      </c>
      <c r="H3320" s="9" t="s">
        <v>60</v>
      </c>
      <c r="I3320" s="7" t="str">
        <f t="shared" si="204"/>
        <v>61001001001</v>
      </c>
      <c r="J3320" s="7" t="str">
        <f t="shared" si="205"/>
        <v>Материал по ЕГРН</v>
      </c>
      <c r="K3320" s="7">
        <f>VLOOKUP(J3320,Лист2!A$2:B$4,2,FALSE)</f>
        <v>792</v>
      </c>
      <c r="L3320" s="7" t="str">
        <f t="shared" si="206"/>
        <v>ГОТОВ_ИЗМЕНЕН</v>
      </c>
      <c r="M3320" s="7">
        <f t="shared" si="207"/>
        <v>0</v>
      </c>
    </row>
    <row r="3321" spans="1:13" x14ac:dyDescent="0.25">
      <c r="A3321" s="1">
        <v>945838</v>
      </c>
      <c r="B3321" s="6" t="s">
        <v>3469</v>
      </c>
      <c r="F3321" s="6" t="s">
        <v>9</v>
      </c>
      <c r="G3321" s="6" t="s">
        <v>73</v>
      </c>
      <c r="H3321" s="9" t="s">
        <v>74</v>
      </c>
      <c r="I3321" s="7" t="str">
        <f t="shared" si="204"/>
        <v>61001006000</v>
      </c>
      <c r="J3321" s="7" t="str">
        <f t="shared" si="205"/>
        <v>Материал по ЕГРН</v>
      </c>
      <c r="K3321" s="7">
        <f>VLOOKUP(J3321,Лист2!A$2:B$4,2,FALSE)</f>
        <v>792</v>
      </c>
      <c r="L3321" s="7" t="str">
        <f t="shared" si="206"/>
        <v>ГОТОВ_ИЗМЕНЕН</v>
      </c>
      <c r="M3321" s="7">
        <f t="shared" si="207"/>
        <v>0</v>
      </c>
    </row>
    <row r="3322" spans="1:13" x14ac:dyDescent="0.25">
      <c r="A3322" s="1">
        <v>945850</v>
      </c>
      <c r="B3322" s="6" t="s">
        <v>3470</v>
      </c>
      <c r="F3322" s="6" t="s">
        <v>9</v>
      </c>
      <c r="G3322" s="6" t="s">
        <v>10</v>
      </c>
      <c r="H3322" s="9" t="s">
        <v>11</v>
      </c>
      <c r="I3322" s="7" t="str">
        <f t="shared" si="204"/>
        <v>61001003000</v>
      </c>
      <c r="J3322" s="7" t="str">
        <f t="shared" si="205"/>
        <v>Материал по ЕГРН</v>
      </c>
      <c r="K3322" s="7">
        <f>VLOOKUP(J3322,Лист2!A$2:B$4,2,FALSE)</f>
        <v>792</v>
      </c>
      <c r="L3322" s="7" t="str">
        <f t="shared" si="206"/>
        <v>ГОТОВ_ИЗМЕНЕН</v>
      </c>
      <c r="M3322" s="7">
        <f t="shared" si="207"/>
        <v>0</v>
      </c>
    </row>
    <row r="3323" spans="1:13" x14ac:dyDescent="0.25">
      <c r="A3323" s="1">
        <v>945862</v>
      </c>
      <c r="B3323" s="6" t="s">
        <v>3471</v>
      </c>
      <c r="F3323" s="6" t="s">
        <v>9</v>
      </c>
      <c r="G3323" s="6" t="s">
        <v>3355</v>
      </c>
      <c r="H3323" s="9" t="s">
        <v>3356</v>
      </c>
      <c r="I3323" s="7" t="str">
        <f t="shared" si="204"/>
        <v>61001003000</v>
      </c>
      <c r="J3323" s="7" t="str">
        <f t="shared" si="205"/>
        <v>Смешанные по допущению</v>
      </c>
      <c r="K3323" s="7">
        <f>VLOOKUP(J3323,Лист2!A$2:B$4,2,FALSE)</f>
        <v>793</v>
      </c>
      <c r="L3323" s="7" t="str">
        <f t="shared" si="206"/>
        <v>ГОТОВ_ИЗМЕНЕН</v>
      </c>
      <c r="M3323" s="7">
        <f t="shared" si="207"/>
        <v>0</v>
      </c>
    </row>
    <row r="3324" spans="1:13" x14ac:dyDescent="0.25">
      <c r="A3324" s="1">
        <v>945874</v>
      </c>
      <c r="B3324" s="6" t="s">
        <v>3472</v>
      </c>
      <c r="F3324" s="6" t="s">
        <v>9</v>
      </c>
      <c r="G3324" s="6" t="s">
        <v>38</v>
      </c>
      <c r="H3324" s="9" t="s">
        <v>33</v>
      </c>
      <c r="I3324" s="7" t="str">
        <f t="shared" si="204"/>
        <v>61001005000</v>
      </c>
      <c r="J3324" s="7" t="str">
        <f t="shared" si="205"/>
        <v>Материал по ЕГРН</v>
      </c>
      <c r="K3324" s="7">
        <f>VLOOKUP(J3324,Лист2!A$2:B$4,2,FALSE)</f>
        <v>792</v>
      </c>
      <c r="L3324" s="7" t="str">
        <f t="shared" si="206"/>
        <v>ГОТОВ_ИЗМЕНЕН</v>
      </c>
      <c r="M3324" s="7">
        <f t="shared" si="207"/>
        <v>0</v>
      </c>
    </row>
    <row r="3325" spans="1:13" x14ac:dyDescent="0.25">
      <c r="A3325" s="1">
        <v>945886</v>
      </c>
      <c r="B3325" s="6" t="s">
        <v>3473</v>
      </c>
      <c r="F3325" s="6" t="s">
        <v>9</v>
      </c>
      <c r="G3325" s="6" t="s">
        <v>38</v>
      </c>
      <c r="H3325" s="9" t="s">
        <v>33</v>
      </c>
      <c r="I3325" s="7" t="str">
        <f t="shared" si="204"/>
        <v>61001005000</v>
      </c>
      <c r="J3325" s="7" t="str">
        <f t="shared" si="205"/>
        <v>Материал по ЕГРН</v>
      </c>
      <c r="K3325" s="7">
        <f>VLOOKUP(J3325,Лист2!A$2:B$4,2,FALSE)</f>
        <v>792</v>
      </c>
      <c r="L3325" s="7" t="str">
        <f t="shared" si="206"/>
        <v>ГОТОВ_ИЗМЕНЕН</v>
      </c>
      <c r="M3325" s="7">
        <f t="shared" si="207"/>
        <v>0</v>
      </c>
    </row>
    <row r="3326" spans="1:13" x14ac:dyDescent="0.25">
      <c r="A3326" s="1">
        <v>945898</v>
      </c>
      <c r="B3326" s="6" t="s">
        <v>3474</v>
      </c>
      <c r="F3326" s="6" t="s">
        <v>9</v>
      </c>
      <c r="G3326" s="6" t="s">
        <v>38</v>
      </c>
      <c r="H3326" s="9" t="s">
        <v>33</v>
      </c>
      <c r="I3326" s="7" t="str">
        <f t="shared" si="204"/>
        <v>61001005000</v>
      </c>
      <c r="J3326" s="7" t="str">
        <f t="shared" si="205"/>
        <v>Материал по ЕГРН</v>
      </c>
      <c r="K3326" s="7">
        <f>VLOOKUP(J3326,Лист2!A$2:B$4,2,FALSE)</f>
        <v>792</v>
      </c>
      <c r="L3326" s="7" t="str">
        <f t="shared" si="206"/>
        <v>ГОТОВ_ИЗМЕНЕН</v>
      </c>
      <c r="M3326" s="7">
        <f t="shared" si="207"/>
        <v>0</v>
      </c>
    </row>
    <row r="3327" spans="1:13" x14ac:dyDescent="0.25">
      <c r="A3327" s="1">
        <v>945910</v>
      </c>
      <c r="B3327" s="6" t="s">
        <v>3475</v>
      </c>
      <c r="F3327" s="6" t="s">
        <v>9</v>
      </c>
      <c r="G3327" s="6" t="s">
        <v>38</v>
      </c>
      <c r="H3327" s="9" t="s">
        <v>33</v>
      </c>
      <c r="I3327" s="7" t="str">
        <f t="shared" si="204"/>
        <v>61001005000</v>
      </c>
      <c r="J3327" s="7" t="str">
        <f t="shared" si="205"/>
        <v>Материал по ЕГРН</v>
      </c>
      <c r="K3327" s="7">
        <f>VLOOKUP(J3327,Лист2!A$2:B$4,2,FALSE)</f>
        <v>792</v>
      </c>
      <c r="L3327" s="7" t="str">
        <f t="shared" si="206"/>
        <v>ГОТОВ_ИЗМЕНЕН</v>
      </c>
      <c r="M3327" s="7">
        <f t="shared" si="207"/>
        <v>0</v>
      </c>
    </row>
    <row r="3328" spans="1:13" x14ac:dyDescent="0.25">
      <c r="A3328" s="1">
        <v>945922</v>
      </c>
      <c r="B3328" s="6" t="s">
        <v>3476</v>
      </c>
      <c r="F3328" s="6" t="s">
        <v>9</v>
      </c>
      <c r="G3328" s="6" t="s">
        <v>43</v>
      </c>
      <c r="H3328" s="9" t="s">
        <v>42</v>
      </c>
      <c r="I3328" s="7" t="str">
        <f t="shared" si="204"/>
        <v>61001002001</v>
      </c>
      <c r="J3328" s="7" t="str">
        <f t="shared" si="205"/>
        <v>Материал по ЕГРН</v>
      </c>
      <c r="K3328" s="7">
        <f>VLOOKUP(J3328,Лист2!A$2:B$4,2,FALSE)</f>
        <v>792</v>
      </c>
      <c r="L3328" s="7" t="str">
        <f t="shared" si="206"/>
        <v>ГОТОВ_ИЗМЕНЕН</v>
      </c>
      <c r="M3328" s="7">
        <f t="shared" si="207"/>
        <v>0</v>
      </c>
    </row>
    <row r="3329" spans="1:13" x14ac:dyDescent="0.25">
      <c r="A3329" s="1">
        <v>945934</v>
      </c>
      <c r="B3329" s="6" t="s">
        <v>3477</v>
      </c>
      <c r="F3329" s="6" t="s">
        <v>9</v>
      </c>
      <c r="G3329" s="6" t="s">
        <v>38</v>
      </c>
      <c r="H3329" s="9" t="s">
        <v>33</v>
      </c>
      <c r="I3329" s="7" t="str">
        <f t="shared" si="204"/>
        <v>61001005000</v>
      </c>
      <c r="J3329" s="7" t="str">
        <f t="shared" si="205"/>
        <v>Материал по ЕГРН</v>
      </c>
      <c r="K3329" s="7">
        <f>VLOOKUP(J3329,Лист2!A$2:B$4,2,FALSE)</f>
        <v>792</v>
      </c>
      <c r="L3329" s="7" t="str">
        <f t="shared" si="206"/>
        <v>ГОТОВ_ИЗМЕНЕН</v>
      </c>
      <c r="M3329" s="7">
        <f t="shared" si="207"/>
        <v>0</v>
      </c>
    </row>
    <row r="3330" spans="1:13" x14ac:dyDescent="0.25">
      <c r="A3330" s="1">
        <v>945946</v>
      </c>
      <c r="B3330" s="6" t="s">
        <v>3478</v>
      </c>
      <c r="F3330" s="6" t="s">
        <v>9</v>
      </c>
      <c r="G3330" s="6" t="s">
        <v>10</v>
      </c>
      <c r="H3330" s="9" t="s">
        <v>11</v>
      </c>
      <c r="I3330" s="7" t="str">
        <f t="shared" si="204"/>
        <v>61001003000</v>
      </c>
      <c r="J3330" s="7" t="str">
        <f t="shared" si="205"/>
        <v>Материал по ЕГРН</v>
      </c>
      <c r="K3330" s="7">
        <f>VLOOKUP(J3330,Лист2!A$2:B$4,2,FALSE)</f>
        <v>792</v>
      </c>
      <c r="L3330" s="7" t="str">
        <f t="shared" si="206"/>
        <v>ГОТОВ_ИЗМЕНЕН</v>
      </c>
      <c r="M3330" s="7">
        <f t="shared" si="207"/>
        <v>0</v>
      </c>
    </row>
    <row r="3331" spans="1:13" x14ac:dyDescent="0.25">
      <c r="A3331" s="1">
        <v>945958</v>
      </c>
      <c r="B3331" s="6" t="s">
        <v>3479</v>
      </c>
      <c r="F3331" s="6" t="s">
        <v>9</v>
      </c>
      <c r="G3331" s="6" t="s">
        <v>34</v>
      </c>
      <c r="H3331" s="9" t="s">
        <v>35</v>
      </c>
      <c r="I3331" s="7" t="str">
        <f t="shared" si="204"/>
        <v>61001002000</v>
      </c>
      <c r="J3331" s="7" t="str">
        <f t="shared" si="205"/>
        <v>Материал по ЕГРН</v>
      </c>
      <c r="K3331" s="7">
        <f>VLOOKUP(J3331,Лист2!A$2:B$4,2,FALSE)</f>
        <v>792</v>
      </c>
      <c r="L3331" s="7" t="str">
        <f t="shared" si="206"/>
        <v>ГОТОВ_ИЗМЕНЕН</v>
      </c>
      <c r="M3331" s="7">
        <f t="shared" si="207"/>
        <v>0</v>
      </c>
    </row>
    <row r="3332" spans="1:13" x14ac:dyDescent="0.25">
      <c r="A3332" s="1">
        <v>945970</v>
      </c>
      <c r="B3332" s="6" t="s">
        <v>3480</v>
      </c>
      <c r="F3332" s="6" t="s">
        <v>9</v>
      </c>
      <c r="G3332" s="6" t="s">
        <v>34</v>
      </c>
      <c r="H3332" s="9" t="s">
        <v>35</v>
      </c>
      <c r="I3332" s="7" t="str">
        <f t="shared" si="204"/>
        <v>61001002000</v>
      </c>
      <c r="J3332" s="7" t="str">
        <f t="shared" si="205"/>
        <v>Материал по ЕГРН</v>
      </c>
      <c r="K3332" s="7">
        <f>VLOOKUP(J3332,Лист2!A$2:B$4,2,FALSE)</f>
        <v>792</v>
      </c>
      <c r="L3332" s="7" t="str">
        <f t="shared" si="206"/>
        <v>ГОТОВ_ИЗМЕНЕН</v>
      </c>
      <c r="M3332" s="7">
        <f t="shared" si="207"/>
        <v>0</v>
      </c>
    </row>
    <row r="3333" spans="1:13" x14ac:dyDescent="0.25">
      <c r="A3333" s="1">
        <v>945982</v>
      </c>
      <c r="B3333" s="6" t="s">
        <v>3481</v>
      </c>
      <c r="F3333" s="6" t="s">
        <v>9</v>
      </c>
      <c r="G3333" s="6" t="s">
        <v>38</v>
      </c>
      <c r="H3333" s="9" t="s">
        <v>33</v>
      </c>
      <c r="I3333" s="7" t="str">
        <f t="shared" ref="I3333:I3396" si="208">IF(LEN(H3333)=11,H3333,IF(LEN(H3333)=0,"61001005000","61001003000"))</f>
        <v>61001005000</v>
      </c>
      <c r="J3333" s="7" t="str">
        <f t="shared" ref="J3333:J3396" si="209">IF(LEN(H3333)=11,"Материал по ЕГРН",IF(LEN(H3333)=0,"Прочие по допущению","Смешанные по допущению"))</f>
        <v>Материал по ЕГРН</v>
      </c>
      <c r="K3333" s="7">
        <f>VLOOKUP(J3333,Лист2!A$2:B$4,2,FALSE)</f>
        <v>792</v>
      </c>
      <c r="L3333" s="7" t="str">
        <f t="shared" ref="L3333:L3396" si="210">IF(I3333=C3333,"ГОТОВ","ГОТОВ_ИЗМЕНЕН")</f>
        <v>ГОТОВ_ИЗМЕНЕН</v>
      </c>
      <c r="M3333" s="7">
        <f t="shared" ref="M3333:M3396" si="211">C3333</f>
        <v>0</v>
      </c>
    </row>
    <row r="3334" spans="1:13" x14ac:dyDescent="0.25">
      <c r="A3334" s="1">
        <v>945994</v>
      </c>
      <c r="B3334" s="6" t="s">
        <v>3482</v>
      </c>
      <c r="F3334" s="6" t="s">
        <v>9</v>
      </c>
      <c r="G3334" s="6" t="s">
        <v>62</v>
      </c>
      <c r="H3334" s="9" t="s">
        <v>63</v>
      </c>
      <c r="I3334" s="7" t="str">
        <f t="shared" si="208"/>
        <v>61001006002</v>
      </c>
      <c r="J3334" s="7" t="str">
        <f t="shared" si="209"/>
        <v>Материал по ЕГРН</v>
      </c>
      <c r="K3334" s="7">
        <f>VLOOKUP(J3334,Лист2!A$2:B$4,2,FALSE)</f>
        <v>792</v>
      </c>
      <c r="L3334" s="7" t="str">
        <f t="shared" si="210"/>
        <v>ГОТОВ_ИЗМЕНЕН</v>
      </c>
      <c r="M3334" s="7">
        <f t="shared" si="211"/>
        <v>0</v>
      </c>
    </row>
    <row r="3335" spans="1:13" x14ac:dyDescent="0.25">
      <c r="A3335" s="1">
        <v>946006</v>
      </c>
      <c r="B3335" s="6" t="s">
        <v>3483</v>
      </c>
      <c r="F3335" s="6" t="s">
        <v>9</v>
      </c>
      <c r="G3335" s="6" t="s">
        <v>139</v>
      </c>
      <c r="H3335" s="9" t="s">
        <v>140</v>
      </c>
      <c r="I3335" s="7" t="str">
        <f t="shared" si="208"/>
        <v>61001999000</v>
      </c>
      <c r="J3335" s="7" t="str">
        <f t="shared" si="209"/>
        <v>Материал по ЕГРН</v>
      </c>
      <c r="K3335" s="7">
        <f>VLOOKUP(J3335,Лист2!A$2:B$4,2,FALSE)</f>
        <v>792</v>
      </c>
      <c r="L3335" s="7" t="str">
        <f t="shared" si="210"/>
        <v>ГОТОВ_ИЗМЕНЕН</v>
      </c>
      <c r="M3335" s="7">
        <f t="shared" si="211"/>
        <v>0</v>
      </c>
    </row>
    <row r="3336" spans="1:13" x14ac:dyDescent="0.25">
      <c r="A3336" s="1">
        <v>946018</v>
      </c>
      <c r="B3336" s="6" t="s">
        <v>3484</v>
      </c>
      <c r="F3336" s="6" t="s">
        <v>9</v>
      </c>
      <c r="G3336" s="6" t="s">
        <v>34</v>
      </c>
      <c r="H3336" s="9" t="s">
        <v>35</v>
      </c>
      <c r="I3336" s="7" t="str">
        <f t="shared" si="208"/>
        <v>61001002000</v>
      </c>
      <c r="J3336" s="7" t="str">
        <f t="shared" si="209"/>
        <v>Материал по ЕГРН</v>
      </c>
      <c r="K3336" s="7">
        <f>VLOOKUP(J3336,Лист2!A$2:B$4,2,FALSE)</f>
        <v>792</v>
      </c>
      <c r="L3336" s="7" t="str">
        <f t="shared" si="210"/>
        <v>ГОТОВ_ИЗМЕНЕН</v>
      </c>
      <c r="M3336" s="7">
        <f t="shared" si="211"/>
        <v>0</v>
      </c>
    </row>
    <row r="3337" spans="1:13" x14ac:dyDescent="0.25">
      <c r="A3337" s="1">
        <v>946030</v>
      </c>
      <c r="B3337" s="6" t="s">
        <v>3485</v>
      </c>
      <c r="F3337" s="6" t="s">
        <v>9</v>
      </c>
      <c r="G3337" s="6" t="s">
        <v>125</v>
      </c>
      <c r="H3337" s="9" t="s">
        <v>126</v>
      </c>
      <c r="I3337" s="7" t="str">
        <f t="shared" si="208"/>
        <v>61001007004</v>
      </c>
      <c r="J3337" s="7" t="str">
        <f t="shared" si="209"/>
        <v>Материал по ЕГРН</v>
      </c>
      <c r="K3337" s="7">
        <f>VLOOKUP(J3337,Лист2!A$2:B$4,2,FALSE)</f>
        <v>792</v>
      </c>
      <c r="L3337" s="7" t="str">
        <f t="shared" si="210"/>
        <v>ГОТОВ_ИЗМЕНЕН</v>
      </c>
      <c r="M3337" s="7">
        <f t="shared" si="211"/>
        <v>0</v>
      </c>
    </row>
    <row r="3338" spans="1:13" x14ac:dyDescent="0.25">
      <c r="A3338" s="1">
        <v>946042</v>
      </c>
      <c r="B3338" s="6" t="s">
        <v>3486</v>
      </c>
      <c r="F3338" s="6" t="s">
        <v>9</v>
      </c>
      <c r="G3338" s="6" t="s">
        <v>90</v>
      </c>
      <c r="H3338" s="9" t="s">
        <v>12</v>
      </c>
      <c r="I3338" s="7" t="str">
        <f t="shared" si="208"/>
        <v>61001008000</v>
      </c>
      <c r="J3338" s="7" t="str">
        <f t="shared" si="209"/>
        <v>Материал по ЕГРН</v>
      </c>
      <c r="K3338" s="7">
        <f>VLOOKUP(J3338,Лист2!A$2:B$4,2,FALSE)</f>
        <v>792</v>
      </c>
      <c r="L3338" s="7" t="str">
        <f t="shared" si="210"/>
        <v>ГОТОВ_ИЗМЕНЕН</v>
      </c>
      <c r="M3338" s="7">
        <f t="shared" si="211"/>
        <v>0</v>
      </c>
    </row>
    <row r="3339" spans="1:13" x14ac:dyDescent="0.25">
      <c r="A3339" s="1">
        <v>946054</v>
      </c>
      <c r="B3339" s="6" t="s">
        <v>3487</v>
      </c>
      <c r="F3339" s="6" t="s">
        <v>9</v>
      </c>
      <c r="G3339" s="6" t="s">
        <v>59</v>
      </c>
      <c r="H3339" s="9" t="s">
        <v>60</v>
      </c>
      <c r="I3339" s="7" t="str">
        <f t="shared" si="208"/>
        <v>61001001001</v>
      </c>
      <c r="J3339" s="7" t="str">
        <f t="shared" si="209"/>
        <v>Материал по ЕГРН</v>
      </c>
      <c r="K3339" s="7">
        <f>VLOOKUP(J3339,Лист2!A$2:B$4,2,FALSE)</f>
        <v>792</v>
      </c>
      <c r="L3339" s="7" t="str">
        <f t="shared" si="210"/>
        <v>ГОТОВ_ИЗМЕНЕН</v>
      </c>
      <c r="M3339" s="7">
        <f t="shared" si="211"/>
        <v>0</v>
      </c>
    </row>
    <row r="3340" spans="1:13" x14ac:dyDescent="0.25">
      <c r="A3340" s="1">
        <v>946066</v>
      </c>
      <c r="B3340" s="6" t="s">
        <v>3488</v>
      </c>
      <c r="F3340" s="6" t="s">
        <v>9</v>
      </c>
      <c r="G3340" s="6" t="s">
        <v>38</v>
      </c>
      <c r="H3340" s="9" t="s">
        <v>33</v>
      </c>
      <c r="I3340" s="7" t="str">
        <f t="shared" si="208"/>
        <v>61001005000</v>
      </c>
      <c r="J3340" s="7" t="str">
        <f t="shared" si="209"/>
        <v>Материал по ЕГРН</v>
      </c>
      <c r="K3340" s="7">
        <f>VLOOKUP(J3340,Лист2!A$2:B$4,2,FALSE)</f>
        <v>792</v>
      </c>
      <c r="L3340" s="7" t="str">
        <f t="shared" si="210"/>
        <v>ГОТОВ_ИЗМЕНЕН</v>
      </c>
      <c r="M3340" s="7">
        <f t="shared" si="211"/>
        <v>0</v>
      </c>
    </row>
    <row r="3341" spans="1:13" x14ac:dyDescent="0.25">
      <c r="A3341" s="1">
        <v>946078</v>
      </c>
      <c r="B3341" s="6" t="s">
        <v>3489</v>
      </c>
      <c r="F3341" s="6" t="s">
        <v>9</v>
      </c>
      <c r="G3341" s="6" t="s">
        <v>34</v>
      </c>
      <c r="H3341" s="9" t="s">
        <v>35</v>
      </c>
      <c r="I3341" s="7" t="str">
        <f t="shared" si="208"/>
        <v>61001002000</v>
      </c>
      <c r="J3341" s="7" t="str">
        <f t="shared" si="209"/>
        <v>Материал по ЕГРН</v>
      </c>
      <c r="K3341" s="7">
        <f>VLOOKUP(J3341,Лист2!A$2:B$4,2,FALSE)</f>
        <v>792</v>
      </c>
      <c r="L3341" s="7" t="str">
        <f t="shared" si="210"/>
        <v>ГОТОВ_ИЗМЕНЕН</v>
      </c>
      <c r="M3341" s="7">
        <f t="shared" si="211"/>
        <v>0</v>
      </c>
    </row>
    <row r="3342" spans="1:13" x14ac:dyDescent="0.25">
      <c r="A3342" s="1">
        <v>946090</v>
      </c>
      <c r="B3342" s="6" t="s">
        <v>3490</v>
      </c>
      <c r="F3342" s="6" t="s">
        <v>9</v>
      </c>
      <c r="G3342" s="6" t="s">
        <v>3491</v>
      </c>
      <c r="H3342" s="9" t="s">
        <v>3492</v>
      </c>
      <c r="I3342" s="7" t="str">
        <f t="shared" si="208"/>
        <v>61001003000</v>
      </c>
      <c r="J3342" s="7" t="str">
        <f t="shared" si="209"/>
        <v>Смешанные по допущению</v>
      </c>
      <c r="K3342" s="7">
        <f>VLOOKUP(J3342,Лист2!A$2:B$4,2,FALSE)</f>
        <v>793</v>
      </c>
      <c r="L3342" s="7" t="str">
        <f t="shared" si="210"/>
        <v>ГОТОВ_ИЗМЕНЕН</v>
      </c>
      <c r="M3342" s="7">
        <f t="shared" si="211"/>
        <v>0</v>
      </c>
    </row>
    <row r="3343" spans="1:13" x14ac:dyDescent="0.25">
      <c r="A3343" s="1">
        <v>946102</v>
      </c>
      <c r="B3343" s="6" t="s">
        <v>3493</v>
      </c>
      <c r="F3343" s="6" t="s">
        <v>9</v>
      </c>
      <c r="G3343" s="6" t="s">
        <v>146</v>
      </c>
      <c r="H3343" s="9" t="s">
        <v>147</v>
      </c>
      <c r="I3343" s="7" t="str">
        <f t="shared" si="208"/>
        <v>61001000000</v>
      </c>
      <c r="J3343" s="7" t="str">
        <f t="shared" si="209"/>
        <v>Материал по ЕГРН</v>
      </c>
      <c r="K3343" s="7">
        <f>VLOOKUP(J3343,Лист2!A$2:B$4,2,FALSE)</f>
        <v>792</v>
      </c>
      <c r="L3343" s="7" t="str">
        <f t="shared" si="210"/>
        <v>ГОТОВ_ИЗМЕНЕН</v>
      </c>
      <c r="M3343" s="7">
        <f t="shared" si="211"/>
        <v>0</v>
      </c>
    </row>
    <row r="3344" spans="1:13" x14ac:dyDescent="0.25">
      <c r="A3344" s="1">
        <v>946114</v>
      </c>
      <c r="B3344" s="6" t="s">
        <v>3494</v>
      </c>
      <c r="F3344" s="6" t="s">
        <v>9</v>
      </c>
      <c r="G3344" s="6" t="s">
        <v>34</v>
      </c>
      <c r="H3344" s="9" t="s">
        <v>35</v>
      </c>
      <c r="I3344" s="7" t="str">
        <f t="shared" si="208"/>
        <v>61001002000</v>
      </c>
      <c r="J3344" s="7" t="str">
        <f t="shared" si="209"/>
        <v>Материал по ЕГРН</v>
      </c>
      <c r="K3344" s="7">
        <f>VLOOKUP(J3344,Лист2!A$2:B$4,2,FALSE)</f>
        <v>792</v>
      </c>
      <c r="L3344" s="7" t="str">
        <f t="shared" si="210"/>
        <v>ГОТОВ_ИЗМЕНЕН</v>
      </c>
      <c r="M3344" s="7">
        <f t="shared" si="211"/>
        <v>0</v>
      </c>
    </row>
    <row r="3345" spans="1:13" x14ac:dyDescent="0.25">
      <c r="A3345" s="1">
        <v>946126</v>
      </c>
      <c r="B3345" s="6" t="s">
        <v>3495</v>
      </c>
      <c r="F3345" s="6" t="s">
        <v>9</v>
      </c>
      <c r="G3345" s="6" t="s">
        <v>59</v>
      </c>
      <c r="H3345" s="9" t="s">
        <v>60</v>
      </c>
      <c r="I3345" s="7" t="str">
        <f t="shared" si="208"/>
        <v>61001001001</v>
      </c>
      <c r="J3345" s="7" t="str">
        <f t="shared" si="209"/>
        <v>Материал по ЕГРН</v>
      </c>
      <c r="K3345" s="7">
        <f>VLOOKUP(J3345,Лист2!A$2:B$4,2,FALSE)</f>
        <v>792</v>
      </c>
      <c r="L3345" s="7" t="str">
        <f t="shared" si="210"/>
        <v>ГОТОВ_ИЗМЕНЕН</v>
      </c>
      <c r="M3345" s="7">
        <f t="shared" si="211"/>
        <v>0</v>
      </c>
    </row>
    <row r="3346" spans="1:13" x14ac:dyDescent="0.25">
      <c r="A3346" s="1">
        <v>946138</v>
      </c>
      <c r="B3346" s="6" t="s">
        <v>3496</v>
      </c>
      <c r="F3346" s="6" t="s">
        <v>9</v>
      </c>
      <c r="G3346" s="6" t="s">
        <v>34</v>
      </c>
      <c r="H3346" s="9" t="s">
        <v>35</v>
      </c>
      <c r="I3346" s="7" t="str">
        <f t="shared" si="208"/>
        <v>61001002000</v>
      </c>
      <c r="J3346" s="7" t="str">
        <f t="shared" si="209"/>
        <v>Материал по ЕГРН</v>
      </c>
      <c r="K3346" s="7">
        <f>VLOOKUP(J3346,Лист2!A$2:B$4,2,FALSE)</f>
        <v>792</v>
      </c>
      <c r="L3346" s="7" t="str">
        <f t="shared" si="210"/>
        <v>ГОТОВ_ИЗМЕНЕН</v>
      </c>
      <c r="M3346" s="7">
        <f t="shared" si="211"/>
        <v>0</v>
      </c>
    </row>
    <row r="3347" spans="1:13" x14ac:dyDescent="0.25">
      <c r="A3347" s="1">
        <v>946150</v>
      </c>
      <c r="B3347" s="6" t="s">
        <v>3497</v>
      </c>
      <c r="F3347" s="6" t="s">
        <v>9</v>
      </c>
      <c r="G3347" s="6" t="s">
        <v>34</v>
      </c>
      <c r="H3347" s="9" t="s">
        <v>35</v>
      </c>
      <c r="I3347" s="7" t="str">
        <f t="shared" si="208"/>
        <v>61001002000</v>
      </c>
      <c r="J3347" s="7" t="str">
        <f t="shared" si="209"/>
        <v>Материал по ЕГРН</v>
      </c>
      <c r="K3347" s="7">
        <f>VLOOKUP(J3347,Лист2!A$2:B$4,2,FALSE)</f>
        <v>792</v>
      </c>
      <c r="L3347" s="7" t="str">
        <f t="shared" si="210"/>
        <v>ГОТОВ_ИЗМЕНЕН</v>
      </c>
      <c r="M3347" s="7">
        <f t="shared" si="211"/>
        <v>0</v>
      </c>
    </row>
    <row r="3348" spans="1:13" x14ac:dyDescent="0.25">
      <c r="A3348" s="1">
        <v>946162</v>
      </c>
      <c r="B3348" s="6" t="s">
        <v>3498</v>
      </c>
      <c r="F3348" s="6" t="s">
        <v>9</v>
      </c>
      <c r="G3348" s="6" t="s">
        <v>10</v>
      </c>
      <c r="H3348" s="9" t="s">
        <v>11</v>
      </c>
      <c r="I3348" s="7" t="str">
        <f t="shared" si="208"/>
        <v>61001003000</v>
      </c>
      <c r="J3348" s="7" t="str">
        <f t="shared" si="209"/>
        <v>Материал по ЕГРН</v>
      </c>
      <c r="K3348" s="7">
        <f>VLOOKUP(J3348,Лист2!A$2:B$4,2,FALSE)</f>
        <v>792</v>
      </c>
      <c r="L3348" s="7" t="str">
        <f t="shared" si="210"/>
        <v>ГОТОВ_ИЗМЕНЕН</v>
      </c>
      <c r="M3348" s="7">
        <f t="shared" si="211"/>
        <v>0</v>
      </c>
    </row>
    <row r="3349" spans="1:13" x14ac:dyDescent="0.25">
      <c r="A3349" s="1">
        <v>193734</v>
      </c>
      <c r="B3349" s="6" t="s">
        <v>3499</v>
      </c>
      <c r="C3349" s="9" t="s">
        <v>33</v>
      </c>
      <c r="D3349" s="6" t="s">
        <v>20</v>
      </c>
      <c r="E3349" s="6" t="s">
        <v>37</v>
      </c>
      <c r="F3349" s="6" t="s">
        <v>9</v>
      </c>
      <c r="G3349" s="6" t="s">
        <v>38</v>
      </c>
      <c r="H3349" s="9" t="s">
        <v>33</v>
      </c>
      <c r="I3349" s="7" t="str">
        <f t="shared" si="208"/>
        <v>61001005000</v>
      </c>
      <c r="J3349" s="7" t="str">
        <f t="shared" si="209"/>
        <v>Материал по ЕГРН</v>
      </c>
      <c r="K3349" s="7">
        <f>VLOOKUP(J3349,Лист2!A$2:B$4,2,FALSE)</f>
        <v>792</v>
      </c>
      <c r="L3349" s="7" t="str">
        <f t="shared" si="210"/>
        <v>ГОТОВ</v>
      </c>
      <c r="M3349" s="7" t="str">
        <f t="shared" si="211"/>
        <v>61001005000</v>
      </c>
    </row>
    <row r="3350" spans="1:13" x14ac:dyDescent="0.25">
      <c r="A3350" s="1">
        <v>412580</v>
      </c>
      <c r="B3350" s="6" t="s">
        <v>3500</v>
      </c>
      <c r="C3350" s="9" t="s">
        <v>42</v>
      </c>
      <c r="D3350" s="6" t="s">
        <v>20</v>
      </c>
      <c r="E3350" s="6" t="s">
        <v>37</v>
      </c>
      <c r="F3350" s="6" t="s">
        <v>9</v>
      </c>
      <c r="G3350" s="6" t="s">
        <v>43</v>
      </c>
      <c r="H3350" s="9" t="s">
        <v>42</v>
      </c>
      <c r="I3350" s="7" t="str">
        <f t="shared" si="208"/>
        <v>61001002001</v>
      </c>
      <c r="J3350" s="7" t="str">
        <f t="shared" si="209"/>
        <v>Материал по ЕГРН</v>
      </c>
      <c r="K3350" s="7">
        <f>VLOOKUP(J3350,Лист2!A$2:B$4,2,FALSE)</f>
        <v>792</v>
      </c>
      <c r="L3350" s="7" t="str">
        <f t="shared" si="210"/>
        <v>ГОТОВ</v>
      </c>
      <c r="M3350" s="7" t="str">
        <f t="shared" si="211"/>
        <v>61001002001</v>
      </c>
    </row>
    <row r="3351" spans="1:13" x14ac:dyDescent="0.25">
      <c r="A3351" s="1">
        <v>831583</v>
      </c>
      <c r="B3351" s="6" t="s">
        <v>3501</v>
      </c>
      <c r="C3351" s="9" t="s">
        <v>60</v>
      </c>
      <c r="D3351" s="6" t="s">
        <v>20</v>
      </c>
      <c r="E3351" s="6" t="s">
        <v>37</v>
      </c>
      <c r="F3351" s="6" t="s">
        <v>9</v>
      </c>
      <c r="G3351" s="6" t="s">
        <v>59</v>
      </c>
      <c r="H3351" s="9" t="s">
        <v>60</v>
      </c>
      <c r="I3351" s="7" t="str">
        <f t="shared" si="208"/>
        <v>61001001001</v>
      </c>
      <c r="J3351" s="7" t="str">
        <f t="shared" si="209"/>
        <v>Материал по ЕГРН</v>
      </c>
      <c r="K3351" s="7">
        <f>VLOOKUP(J3351,Лист2!A$2:B$4,2,FALSE)</f>
        <v>792</v>
      </c>
      <c r="L3351" s="7" t="str">
        <f t="shared" si="210"/>
        <v>ГОТОВ</v>
      </c>
      <c r="M3351" s="7" t="str">
        <f t="shared" si="211"/>
        <v>61001001001</v>
      </c>
    </row>
    <row r="3352" spans="1:13" x14ac:dyDescent="0.25">
      <c r="A3352" s="1">
        <v>945502</v>
      </c>
      <c r="B3352" s="6" t="s">
        <v>3502</v>
      </c>
      <c r="F3352" s="6" t="s">
        <v>9</v>
      </c>
      <c r="G3352" s="6" t="s">
        <v>38</v>
      </c>
      <c r="H3352" s="9" t="s">
        <v>33</v>
      </c>
      <c r="I3352" s="7" t="str">
        <f t="shared" si="208"/>
        <v>61001005000</v>
      </c>
      <c r="J3352" s="7" t="str">
        <f t="shared" si="209"/>
        <v>Материал по ЕГРН</v>
      </c>
      <c r="K3352" s="7">
        <f>VLOOKUP(J3352,Лист2!A$2:B$4,2,FALSE)</f>
        <v>792</v>
      </c>
      <c r="L3352" s="7" t="str">
        <f t="shared" si="210"/>
        <v>ГОТОВ_ИЗМЕНЕН</v>
      </c>
      <c r="M3352" s="7">
        <f t="shared" si="211"/>
        <v>0</v>
      </c>
    </row>
    <row r="3353" spans="1:13" x14ac:dyDescent="0.25">
      <c r="A3353" s="1">
        <v>945514</v>
      </c>
      <c r="B3353" s="6" t="s">
        <v>3503</v>
      </c>
      <c r="F3353" s="6" t="s">
        <v>9</v>
      </c>
      <c r="G3353" s="6" t="s">
        <v>794</v>
      </c>
      <c r="H3353" s="9" t="s">
        <v>795</v>
      </c>
      <c r="I3353" s="7" t="str">
        <f t="shared" si="208"/>
        <v>61001003000</v>
      </c>
      <c r="J3353" s="7" t="str">
        <f t="shared" si="209"/>
        <v>Смешанные по допущению</v>
      </c>
      <c r="K3353" s="7">
        <f>VLOOKUP(J3353,Лист2!A$2:B$4,2,FALSE)</f>
        <v>793</v>
      </c>
      <c r="L3353" s="7" t="str">
        <f t="shared" si="210"/>
        <v>ГОТОВ_ИЗМЕНЕН</v>
      </c>
      <c r="M3353" s="7">
        <f t="shared" si="211"/>
        <v>0</v>
      </c>
    </row>
    <row r="3354" spans="1:13" x14ac:dyDescent="0.25">
      <c r="A3354" s="1">
        <v>945526</v>
      </c>
      <c r="B3354" s="6" t="s">
        <v>3504</v>
      </c>
      <c r="F3354" s="6" t="s">
        <v>9</v>
      </c>
      <c r="G3354" s="6" t="s">
        <v>62</v>
      </c>
      <c r="H3354" s="9" t="s">
        <v>63</v>
      </c>
      <c r="I3354" s="7" t="str">
        <f t="shared" si="208"/>
        <v>61001006002</v>
      </c>
      <c r="J3354" s="7" t="str">
        <f t="shared" si="209"/>
        <v>Материал по ЕГРН</v>
      </c>
      <c r="K3354" s="7">
        <f>VLOOKUP(J3354,Лист2!A$2:B$4,2,FALSE)</f>
        <v>792</v>
      </c>
      <c r="L3354" s="7" t="str">
        <f t="shared" si="210"/>
        <v>ГОТОВ_ИЗМЕНЕН</v>
      </c>
      <c r="M3354" s="7">
        <f t="shared" si="211"/>
        <v>0</v>
      </c>
    </row>
    <row r="3355" spans="1:13" x14ac:dyDescent="0.25">
      <c r="A3355" s="1">
        <v>945538</v>
      </c>
      <c r="B3355" s="6" t="s">
        <v>3505</v>
      </c>
      <c r="F3355" s="6" t="s">
        <v>9</v>
      </c>
      <c r="G3355" s="6" t="s">
        <v>38</v>
      </c>
      <c r="H3355" s="9" t="s">
        <v>33</v>
      </c>
      <c r="I3355" s="7" t="str">
        <f t="shared" si="208"/>
        <v>61001005000</v>
      </c>
      <c r="J3355" s="7" t="str">
        <f t="shared" si="209"/>
        <v>Материал по ЕГРН</v>
      </c>
      <c r="K3355" s="7">
        <f>VLOOKUP(J3355,Лист2!A$2:B$4,2,FALSE)</f>
        <v>792</v>
      </c>
      <c r="L3355" s="7" t="str">
        <f t="shared" si="210"/>
        <v>ГОТОВ_ИЗМЕНЕН</v>
      </c>
      <c r="M3355" s="7">
        <f t="shared" si="211"/>
        <v>0</v>
      </c>
    </row>
    <row r="3356" spans="1:13" x14ac:dyDescent="0.25">
      <c r="A3356" s="1">
        <v>945550</v>
      </c>
      <c r="B3356" s="6" t="s">
        <v>3506</v>
      </c>
      <c r="F3356" s="6" t="s">
        <v>9</v>
      </c>
      <c r="G3356" s="6" t="s">
        <v>10</v>
      </c>
      <c r="H3356" s="9" t="s">
        <v>11</v>
      </c>
      <c r="I3356" s="7" t="str">
        <f t="shared" si="208"/>
        <v>61001003000</v>
      </c>
      <c r="J3356" s="7" t="str">
        <f t="shared" si="209"/>
        <v>Материал по ЕГРН</v>
      </c>
      <c r="K3356" s="7">
        <f>VLOOKUP(J3356,Лист2!A$2:B$4,2,FALSE)</f>
        <v>792</v>
      </c>
      <c r="L3356" s="7" t="str">
        <f t="shared" si="210"/>
        <v>ГОТОВ_ИЗМЕНЕН</v>
      </c>
      <c r="M3356" s="7">
        <f t="shared" si="211"/>
        <v>0</v>
      </c>
    </row>
    <row r="3357" spans="1:13" x14ac:dyDescent="0.25">
      <c r="A3357" s="1">
        <v>945562</v>
      </c>
      <c r="B3357" s="6" t="s">
        <v>3507</v>
      </c>
      <c r="F3357" s="6" t="s">
        <v>9</v>
      </c>
      <c r="G3357" s="6" t="s">
        <v>10</v>
      </c>
      <c r="H3357" s="9" t="s">
        <v>11</v>
      </c>
      <c r="I3357" s="7" t="str">
        <f t="shared" si="208"/>
        <v>61001003000</v>
      </c>
      <c r="J3357" s="7" t="str">
        <f t="shared" si="209"/>
        <v>Материал по ЕГРН</v>
      </c>
      <c r="K3357" s="7">
        <f>VLOOKUP(J3357,Лист2!A$2:B$4,2,FALSE)</f>
        <v>792</v>
      </c>
      <c r="L3357" s="7" t="str">
        <f t="shared" si="210"/>
        <v>ГОТОВ_ИЗМЕНЕН</v>
      </c>
      <c r="M3357" s="7">
        <f t="shared" si="211"/>
        <v>0</v>
      </c>
    </row>
    <row r="3358" spans="1:13" x14ac:dyDescent="0.25">
      <c r="A3358" s="1">
        <v>945574</v>
      </c>
      <c r="B3358" s="6" t="s">
        <v>3508</v>
      </c>
      <c r="F3358" s="6" t="s">
        <v>9</v>
      </c>
      <c r="G3358" s="6" t="s">
        <v>62</v>
      </c>
      <c r="H3358" s="9" t="s">
        <v>63</v>
      </c>
      <c r="I3358" s="7" t="str">
        <f t="shared" si="208"/>
        <v>61001006002</v>
      </c>
      <c r="J3358" s="7" t="str">
        <f t="shared" si="209"/>
        <v>Материал по ЕГРН</v>
      </c>
      <c r="K3358" s="7">
        <f>VLOOKUP(J3358,Лист2!A$2:B$4,2,FALSE)</f>
        <v>792</v>
      </c>
      <c r="L3358" s="7" t="str">
        <f t="shared" si="210"/>
        <v>ГОТОВ_ИЗМЕНЕН</v>
      </c>
      <c r="M3358" s="7">
        <f t="shared" si="211"/>
        <v>0</v>
      </c>
    </row>
    <row r="3359" spans="1:13" x14ac:dyDescent="0.25">
      <c r="A3359" s="1">
        <v>945586</v>
      </c>
      <c r="B3359" s="6" t="s">
        <v>3509</v>
      </c>
      <c r="F3359" s="6" t="s">
        <v>9</v>
      </c>
      <c r="G3359" s="6" t="s">
        <v>38</v>
      </c>
      <c r="H3359" s="9" t="s">
        <v>33</v>
      </c>
      <c r="I3359" s="7" t="str">
        <f t="shared" si="208"/>
        <v>61001005000</v>
      </c>
      <c r="J3359" s="7" t="str">
        <f t="shared" si="209"/>
        <v>Материал по ЕГРН</v>
      </c>
      <c r="K3359" s="7">
        <f>VLOOKUP(J3359,Лист2!A$2:B$4,2,FALSE)</f>
        <v>792</v>
      </c>
      <c r="L3359" s="7" t="str">
        <f t="shared" si="210"/>
        <v>ГОТОВ_ИЗМЕНЕН</v>
      </c>
      <c r="M3359" s="7">
        <f t="shared" si="211"/>
        <v>0</v>
      </c>
    </row>
    <row r="3360" spans="1:13" x14ac:dyDescent="0.25">
      <c r="A3360" s="1">
        <v>945598</v>
      </c>
      <c r="B3360" s="6" t="s">
        <v>3510</v>
      </c>
      <c r="F3360" s="6" t="s">
        <v>9</v>
      </c>
      <c r="G3360" s="6" t="s">
        <v>73</v>
      </c>
      <c r="H3360" s="9" t="s">
        <v>74</v>
      </c>
      <c r="I3360" s="7" t="str">
        <f t="shared" si="208"/>
        <v>61001006000</v>
      </c>
      <c r="J3360" s="7" t="str">
        <f t="shared" si="209"/>
        <v>Материал по ЕГРН</v>
      </c>
      <c r="K3360" s="7">
        <f>VLOOKUP(J3360,Лист2!A$2:B$4,2,FALSE)</f>
        <v>792</v>
      </c>
      <c r="L3360" s="7" t="str">
        <f t="shared" si="210"/>
        <v>ГОТОВ_ИЗМЕНЕН</v>
      </c>
      <c r="M3360" s="7">
        <f t="shared" si="211"/>
        <v>0</v>
      </c>
    </row>
    <row r="3361" spans="1:13" x14ac:dyDescent="0.25">
      <c r="A3361" s="1">
        <v>945610</v>
      </c>
      <c r="B3361" s="6" t="s">
        <v>3511</v>
      </c>
      <c r="F3361" s="6" t="s">
        <v>9</v>
      </c>
      <c r="G3361" s="6" t="s">
        <v>90</v>
      </c>
      <c r="H3361" s="9" t="s">
        <v>12</v>
      </c>
      <c r="I3361" s="7" t="str">
        <f t="shared" si="208"/>
        <v>61001008000</v>
      </c>
      <c r="J3361" s="7" t="str">
        <f t="shared" si="209"/>
        <v>Материал по ЕГРН</v>
      </c>
      <c r="K3361" s="7">
        <f>VLOOKUP(J3361,Лист2!A$2:B$4,2,FALSE)</f>
        <v>792</v>
      </c>
      <c r="L3361" s="7" t="str">
        <f t="shared" si="210"/>
        <v>ГОТОВ_ИЗМЕНЕН</v>
      </c>
      <c r="M3361" s="7">
        <f t="shared" si="211"/>
        <v>0</v>
      </c>
    </row>
    <row r="3362" spans="1:13" x14ac:dyDescent="0.25">
      <c r="A3362" s="1">
        <v>945622</v>
      </c>
      <c r="B3362" s="6" t="s">
        <v>3512</v>
      </c>
      <c r="F3362" s="6" t="s">
        <v>9</v>
      </c>
      <c r="G3362" s="6" t="s">
        <v>34</v>
      </c>
      <c r="H3362" s="9" t="s">
        <v>35</v>
      </c>
      <c r="I3362" s="7" t="str">
        <f t="shared" si="208"/>
        <v>61001002000</v>
      </c>
      <c r="J3362" s="7" t="str">
        <f t="shared" si="209"/>
        <v>Материал по ЕГРН</v>
      </c>
      <c r="K3362" s="7">
        <f>VLOOKUP(J3362,Лист2!A$2:B$4,2,FALSE)</f>
        <v>792</v>
      </c>
      <c r="L3362" s="7" t="str">
        <f t="shared" si="210"/>
        <v>ГОТОВ_ИЗМЕНЕН</v>
      </c>
      <c r="M3362" s="7">
        <f t="shared" si="211"/>
        <v>0</v>
      </c>
    </row>
    <row r="3363" spans="1:13" x14ac:dyDescent="0.25">
      <c r="A3363" s="1">
        <v>945634</v>
      </c>
      <c r="B3363" s="6" t="s">
        <v>3513</v>
      </c>
      <c r="F3363" s="6" t="s">
        <v>9</v>
      </c>
      <c r="G3363" s="6" t="s">
        <v>59</v>
      </c>
      <c r="H3363" s="9" t="s">
        <v>60</v>
      </c>
      <c r="I3363" s="7" t="str">
        <f t="shared" si="208"/>
        <v>61001001001</v>
      </c>
      <c r="J3363" s="7" t="str">
        <f t="shared" si="209"/>
        <v>Материал по ЕГРН</v>
      </c>
      <c r="K3363" s="7">
        <f>VLOOKUP(J3363,Лист2!A$2:B$4,2,FALSE)</f>
        <v>792</v>
      </c>
      <c r="L3363" s="7" t="str">
        <f t="shared" si="210"/>
        <v>ГОТОВ_ИЗМЕНЕН</v>
      </c>
      <c r="M3363" s="7">
        <f t="shared" si="211"/>
        <v>0</v>
      </c>
    </row>
    <row r="3364" spans="1:13" x14ac:dyDescent="0.25">
      <c r="A3364" s="1">
        <v>945646</v>
      </c>
      <c r="B3364" s="6" t="s">
        <v>3514</v>
      </c>
      <c r="F3364" s="6" t="s">
        <v>9</v>
      </c>
      <c r="G3364" s="6" t="s">
        <v>38</v>
      </c>
      <c r="H3364" s="9" t="s">
        <v>33</v>
      </c>
      <c r="I3364" s="7" t="str">
        <f t="shared" si="208"/>
        <v>61001005000</v>
      </c>
      <c r="J3364" s="7" t="str">
        <f t="shared" si="209"/>
        <v>Материал по ЕГРН</v>
      </c>
      <c r="K3364" s="7">
        <f>VLOOKUP(J3364,Лист2!A$2:B$4,2,FALSE)</f>
        <v>792</v>
      </c>
      <c r="L3364" s="7" t="str">
        <f t="shared" si="210"/>
        <v>ГОТОВ_ИЗМЕНЕН</v>
      </c>
      <c r="M3364" s="7">
        <f t="shared" si="211"/>
        <v>0</v>
      </c>
    </row>
    <row r="3365" spans="1:13" x14ac:dyDescent="0.25">
      <c r="A3365" s="1">
        <v>945658</v>
      </c>
      <c r="B3365" s="6" t="s">
        <v>3515</v>
      </c>
      <c r="F3365" s="6" t="s">
        <v>9</v>
      </c>
      <c r="G3365" s="6" t="s">
        <v>34</v>
      </c>
      <c r="H3365" s="9" t="s">
        <v>35</v>
      </c>
      <c r="I3365" s="7" t="str">
        <f t="shared" si="208"/>
        <v>61001002000</v>
      </c>
      <c r="J3365" s="7" t="str">
        <f t="shared" si="209"/>
        <v>Материал по ЕГРН</v>
      </c>
      <c r="K3365" s="7">
        <f>VLOOKUP(J3365,Лист2!A$2:B$4,2,FALSE)</f>
        <v>792</v>
      </c>
      <c r="L3365" s="7" t="str">
        <f t="shared" si="210"/>
        <v>ГОТОВ_ИЗМЕНЕН</v>
      </c>
      <c r="M3365" s="7">
        <f t="shared" si="211"/>
        <v>0</v>
      </c>
    </row>
    <row r="3366" spans="1:13" x14ac:dyDescent="0.25">
      <c r="A3366" s="1">
        <v>945670</v>
      </c>
      <c r="B3366" s="6" t="s">
        <v>3516</v>
      </c>
      <c r="F3366" s="6" t="s">
        <v>9</v>
      </c>
      <c r="G3366" s="6" t="s">
        <v>59</v>
      </c>
      <c r="H3366" s="9" t="s">
        <v>60</v>
      </c>
      <c r="I3366" s="7" t="str">
        <f t="shared" si="208"/>
        <v>61001001001</v>
      </c>
      <c r="J3366" s="7" t="str">
        <f t="shared" si="209"/>
        <v>Материал по ЕГРН</v>
      </c>
      <c r="K3366" s="7">
        <f>VLOOKUP(J3366,Лист2!A$2:B$4,2,FALSE)</f>
        <v>792</v>
      </c>
      <c r="L3366" s="7" t="str">
        <f t="shared" si="210"/>
        <v>ГОТОВ_ИЗМЕНЕН</v>
      </c>
      <c r="M3366" s="7">
        <f t="shared" si="211"/>
        <v>0</v>
      </c>
    </row>
    <row r="3367" spans="1:13" x14ac:dyDescent="0.25">
      <c r="A3367" s="1">
        <v>945682</v>
      </c>
      <c r="B3367" s="6" t="s">
        <v>3517</v>
      </c>
      <c r="F3367" s="6" t="s">
        <v>9</v>
      </c>
      <c r="G3367" s="6" t="s">
        <v>1183</v>
      </c>
      <c r="H3367" s="9" t="s">
        <v>1182</v>
      </c>
      <c r="I3367" s="7" t="str">
        <f t="shared" si="208"/>
        <v>61001002004</v>
      </c>
      <c r="J3367" s="7" t="str">
        <f t="shared" si="209"/>
        <v>Материал по ЕГРН</v>
      </c>
      <c r="K3367" s="7">
        <f>VLOOKUP(J3367,Лист2!A$2:B$4,2,FALSE)</f>
        <v>792</v>
      </c>
      <c r="L3367" s="7" t="str">
        <f t="shared" si="210"/>
        <v>ГОТОВ_ИЗМЕНЕН</v>
      </c>
      <c r="M3367" s="7">
        <f t="shared" si="211"/>
        <v>0</v>
      </c>
    </row>
    <row r="3368" spans="1:13" x14ac:dyDescent="0.25">
      <c r="A3368" s="1">
        <v>945694</v>
      </c>
      <c r="B3368" s="6" t="s">
        <v>3518</v>
      </c>
      <c r="F3368" s="6" t="s">
        <v>9</v>
      </c>
      <c r="G3368" s="6" t="s">
        <v>38</v>
      </c>
      <c r="H3368" s="9" t="s">
        <v>33</v>
      </c>
      <c r="I3368" s="7" t="str">
        <f t="shared" si="208"/>
        <v>61001005000</v>
      </c>
      <c r="J3368" s="7" t="str">
        <f t="shared" si="209"/>
        <v>Материал по ЕГРН</v>
      </c>
      <c r="K3368" s="7">
        <f>VLOOKUP(J3368,Лист2!A$2:B$4,2,FALSE)</f>
        <v>792</v>
      </c>
      <c r="L3368" s="7" t="str">
        <f t="shared" si="210"/>
        <v>ГОТОВ_ИЗМЕНЕН</v>
      </c>
      <c r="M3368" s="7">
        <f t="shared" si="211"/>
        <v>0</v>
      </c>
    </row>
    <row r="3369" spans="1:13" x14ac:dyDescent="0.25">
      <c r="A3369" s="1">
        <v>945706</v>
      </c>
      <c r="B3369" s="6" t="s">
        <v>3519</v>
      </c>
      <c r="F3369" s="6" t="s">
        <v>9</v>
      </c>
      <c r="G3369" s="6" t="s">
        <v>62</v>
      </c>
      <c r="H3369" s="9" t="s">
        <v>63</v>
      </c>
      <c r="I3369" s="7" t="str">
        <f t="shared" si="208"/>
        <v>61001006002</v>
      </c>
      <c r="J3369" s="7" t="str">
        <f t="shared" si="209"/>
        <v>Материал по ЕГРН</v>
      </c>
      <c r="K3369" s="7">
        <f>VLOOKUP(J3369,Лист2!A$2:B$4,2,FALSE)</f>
        <v>792</v>
      </c>
      <c r="L3369" s="7" t="str">
        <f t="shared" si="210"/>
        <v>ГОТОВ_ИЗМЕНЕН</v>
      </c>
      <c r="M3369" s="7">
        <f t="shared" si="211"/>
        <v>0</v>
      </c>
    </row>
    <row r="3370" spans="1:13" x14ac:dyDescent="0.25">
      <c r="A3370" s="1">
        <v>945718</v>
      </c>
      <c r="B3370" s="6" t="s">
        <v>3520</v>
      </c>
      <c r="F3370" s="6" t="s">
        <v>9</v>
      </c>
      <c r="G3370" s="6" t="s">
        <v>34</v>
      </c>
      <c r="H3370" s="9" t="s">
        <v>35</v>
      </c>
      <c r="I3370" s="7" t="str">
        <f t="shared" si="208"/>
        <v>61001002000</v>
      </c>
      <c r="J3370" s="7" t="str">
        <f t="shared" si="209"/>
        <v>Материал по ЕГРН</v>
      </c>
      <c r="K3370" s="7">
        <f>VLOOKUP(J3370,Лист2!A$2:B$4,2,FALSE)</f>
        <v>792</v>
      </c>
      <c r="L3370" s="7" t="str">
        <f t="shared" si="210"/>
        <v>ГОТОВ_ИЗМЕНЕН</v>
      </c>
      <c r="M3370" s="7">
        <f t="shared" si="211"/>
        <v>0</v>
      </c>
    </row>
    <row r="3371" spans="1:13" x14ac:dyDescent="0.25">
      <c r="A3371" s="1">
        <v>945730</v>
      </c>
      <c r="B3371" s="6" t="s">
        <v>3521</v>
      </c>
      <c r="F3371" s="6" t="s">
        <v>9</v>
      </c>
      <c r="G3371" s="6" t="s">
        <v>34</v>
      </c>
      <c r="H3371" s="9" t="s">
        <v>35</v>
      </c>
      <c r="I3371" s="7" t="str">
        <f t="shared" si="208"/>
        <v>61001002000</v>
      </c>
      <c r="J3371" s="7" t="str">
        <f t="shared" si="209"/>
        <v>Материал по ЕГРН</v>
      </c>
      <c r="K3371" s="7">
        <f>VLOOKUP(J3371,Лист2!A$2:B$4,2,FALSE)</f>
        <v>792</v>
      </c>
      <c r="L3371" s="7" t="str">
        <f t="shared" si="210"/>
        <v>ГОТОВ_ИЗМЕНЕН</v>
      </c>
      <c r="M3371" s="7">
        <f t="shared" si="211"/>
        <v>0</v>
      </c>
    </row>
    <row r="3372" spans="1:13" x14ac:dyDescent="0.25">
      <c r="A3372" s="1">
        <v>945742</v>
      </c>
      <c r="B3372" s="6" t="s">
        <v>3522</v>
      </c>
      <c r="F3372" s="6" t="s">
        <v>9</v>
      </c>
      <c r="G3372" s="6" t="s">
        <v>10</v>
      </c>
      <c r="H3372" s="9" t="s">
        <v>11</v>
      </c>
      <c r="I3372" s="7" t="str">
        <f t="shared" si="208"/>
        <v>61001003000</v>
      </c>
      <c r="J3372" s="7" t="str">
        <f t="shared" si="209"/>
        <v>Материал по ЕГРН</v>
      </c>
      <c r="K3372" s="7">
        <f>VLOOKUP(J3372,Лист2!A$2:B$4,2,FALSE)</f>
        <v>792</v>
      </c>
      <c r="L3372" s="7" t="str">
        <f t="shared" si="210"/>
        <v>ГОТОВ_ИЗМЕНЕН</v>
      </c>
      <c r="M3372" s="7">
        <f t="shared" si="211"/>
        <v>0</v>
      </c>
    </row>
    <row r="3373" spans="1:13" x14ac:dyDescent="0.25">
      <c r="A3373" s="1">
        <v>945754</v>
      </c>
      <c r="B3373" s="6" t="s">
        <v>3523</v>
      </c>
      <c r="F3373" s="6" t="s">
        <v>9</v>
      </c>
      <c r="G3373" s="6" t="s">
        <v>43</v>
      </c>
      <c r="H3373" s="9" t="s">
        <v>42</v>
      </c>
      <c r="I3373" s="7" t="str">
        <f t="shared" si="208"/>
        <v>61001002001</v>
      </c>
      <c r="J3373" s="7" t="str">
        <f t="shared" si="209"/>
        <v>Материал по ЕГРН</v>
      </c>
      <c r="K3373" s="7">
        <f>VLOOKUP(J3373,Лист2!A$2:B$4,2,FALSE)</f>
        <v>792</v>
      </c>
      <c r="L3373" s="7" t="str">
        <f t="shared" si="210"/>
        <v>ГОТОВ_ИЗМЕНЕН</v>
      </c>
      <c r="M3373" s="7">
        <f t="shared" si="211"/>
        <v>0</v>
      </c>
    </row>
    <row r="3374" spans="1:13" ht="25.5" x14ac:dyDescent="0.25">
      <c r="A3374" s="1">
        <v>945766</v>
      </c>
      <c r="B3374" s="6" t="s">
        <v>3524</v>
      </c>
      <c r="F3374" s="6" t="s">
        <v>9</v>
      </c>
      <c r="G3374" s="6" t="s">
        <v>3070</v>
      </c>
      <c r="H3374" s="9" t="s">
        <v>3071</v>
      </c>
      <c r="I3374" s="7" t="str">
        <f t="shared" si="208"/>
        <v>61001003000</v>
      </c>
      <c r="J3374" s="7" t="str">
        <f t="shared" si="209"/>
        <v>Смешанные по допущению</v>
      </c>
      <c r="K3374" s="7">
        <f>VLOOKUP(J3374,Лист2!A$2:B$4,2,FALSE)</f>
        <v>793</v>
      </c>
      <c r="L3374" s="7" t="str">
        <f t="shared" si="210"/>
        <v>ГОТОВ_ИЗМЕНЕН</v>
      </c>
      <c r="M3374" s="7">
        <f t="shared" si="211"/>
        <v>0</v>
      </c>
    </row>
    <row r="3375" spans="1:13" x14ac:dyDescent="0.25">
      <c r="A3375" s="1">
        <v>945778</v>
      </c>
      <c r="B3375" s="6" t="s">
        <v>3525</v>
      </c>
      <c r="F3375" s="6" t="s">
        <v>9</v>
      </c>
      <c r="G3375" s="6" t="s">
        <v>10</v>
      </c>
      <c r="H3375" s="9" t="s">
        <v>11</v>
      </c>
      <c r="I3375" s="7" t="str">
        <f t="shared" si="208"/>
        <v>61001003000</v>
      </c>
      <c r="J3375" s="7" t="str">
        <f t="shared" si="209"/>
        <v>Материал по ЕГРН</v>
      </c>
      <c r="K3375" s="7">
        <f>VLOOKUP(J3375,Лист2!A$2:B$4,2,FALSE)</f>
        <v>792</v>
      </c>
      <c r="L3375" s="7" t="str">
        <f t="shared" si="210"/>
        <v>ГОТОВ_ИЗМЕНЕН</v>
      </c>
      <c r="M3375" s="7">
        <f t="shared" si="211"/>
        <v>0</v>
      </c>
    </row>
    <row r="3376" spans="1:13" x14ac:dyDescent="0.25">
      <c r="A3376" s="1">
        <v>10913</v>
      </c>
      <c r="B3376" s="6" t="s">
        <v>3526</v>
      </c>
      <c r="C3376" s="9" t="s">
        <v>74</v>
      </c>
      <c r="D3376" s="6" t="s">
        <v>20</v>
      </c>
      <c r="E3376" s="6" t="s">
        <v>37</v>
      </c>
      <c r="F3376" s="6" t="s">
        <v>9</v>
      </c>
      <c r="G3376" s="6" t="s">
        <v>73</v>
      </c>
      <c r="H3376" s="9" t="s">
        <v>74</v>
      </c>
      <c r="I3376" s="7" t="str">
        <f t="shared" si="208"/>
        <v>61001006000</v>
      </c>
      <c r="J3376" s="7" t="str">
        <f t="shared" si="209"/>
        <v>Материал по ЕГРН</v>
      </c>
      <c r="K3376" s="7">
        <f>VLOOKUP(J3376,Лист2!A$2:B$4,2,FALSE)</f>
        <v>792</v>
      </c>
      <c r="L3376" s="7" t="str">
        <f t="shared" si="210"/>
        <v>ГОТОВ</v>
      </c>
      <c r="M3376" s="7" t="str">
        <f t="shared" si="211"/>
        <v>61001006000</v>
      </c>
    </row>
    <row r="3377" spans="1:13" x14ac:dyDescent="0.25">
      <c r="A3377" s="1">
        <v>306116</v>
      </c>
      <c r="B3377" s="6" t="s">
        <v>3527</v>
      </c>
      <c r="C3377" s="9" t="s">
        <v>42</v>
      </c>
      <c r="D3377" s="6" t="s">
        <v>20</v>
      </c>
      <c r="E3377" s="6" t="s">
        <v>37</v>
      </c>
      <c r="F3377" s="6" t="s">
        <v>9</v>
      </c>
      <c r="G3377" s="6" t="s">
        <v>43</v>
      </c>
      <c r="H3377" s="9" t="s">
        <v>42</v>
      </c>
      <c r="I3377" s="7" t="str">
        <f t="shared" si="208"/>
        <v>61001002001</v>
      </c>
      <c r="J3377" s="7" t="str">
        <f t="shared" si="209"/>
        <v>Материал по ЕГРН</v>
      </c>
      <c r="K3377" s="7">
        <f>VLOOKUP(J3377,Лист2!A$2:B$4,2,FALSE)</f>
        <v>792</v>
      </c>
      <c r="L3377" s="7" t="str">
        <f t="shared" si="210"/>
        <v>ГОТОВ</v>
      </c>
      <c r="M3377" s="7" t="str">
        <f t="shared" si="211"/>
        <v>61001002001</v>
      </c>
    </row>
    <row r="3378" spans="1:13" x14ac:dyDescent="0.25">
      <c r="A3378" s="1">
        <v>930126</v>
      </c>
      <c r="B3378" s="6" t="s">
        <v>3528</v>
      </c>
      <c r="C3378" s="9" t="s">
        <v>33</v>
      </c>
      <c r="D3378" s="6" t="s">
        <v>14</v>
      </c>
      <c r="E3378" s="6" t="s">
        <v>8</v>
      </c>
      <c r="F3378" s="6" t="s">
        <v>9</v>
      </c>
      <c r="G3378" s="6" t="s">
        <v>34</v>
      </c>
      <c r="H3378" s="9" t="s">
        <v>35</v>
      </c>
      <c r="I3378" s="7" t="str">
        <f t="shared" si="208"/>
        <v>61001002000</v>
      </c>
      <c r="J3378" s="7" t="str">
        <f t="shared" si="209"/>
        <v>Материал по ЕГРН</v>
      </c>
      <c r="K3378" s="7">
        <f>VLOOKUP(J3378,Лист2!A$2:B$4,2,FALSE)</f>
        <v>792</v>
      </c>
      <c r="L3378" s="7" t="str">
        <f t="shared" si="210"/>
        <v>ГОТОВ_ИЗМЕНЕН</v>
      </c>
      <c r="M3378" s="7" t="str">
        <f t="shared" si="211"/>
        <v>61001005000</v>
      </c>
    </row>
    <row r="3379" spans="1:13" x14ac:dyDescent="0.25">
      <c r="A3379" s="1">
        <v>944289</v>
      </c>
      <c r="B3379" s="6" t="s">
        <v>3529</v>
      </c>
      <c r="F3379" s="6" t="s">
        <v>9</v>
      </c>
      <c r="G3379" s="6" t="s">
        <v>38</v>
      </c>
      <c r="H3379" s="9" t="s">
        <v>33</v>
      </c>
      <c r="I3379" s="7" t="str">
        <f t="shared" si="208"/>
        <v>61001005000</v>
      </c>
      <c r="J3379" s="7" t="str">
        <f t="shared" si="209"/>
        <v>Материал по ЕГРН</v>
      </c>
      <c r="K3379" s="7">
        <f>VLOOKUP(J3379,Лист2!A$2:B$4,2,FALSE)</f>
        <v>792</v>
      </c>
      <c r="L3379" s="7" t="str">
        <f t="shared" si="210"/>
        <v>ГОТОВ_ИЗМЕНЕН</v>
      </c>
      <c r="M3379" s="7">
        <f t="shared" si="211"/>
        <v>0</v>
      </c>
    </row>
    <row r="3380" spans="1:13" x14ac:dyDescent="0.25">
      <c r="A3380" s="1">
        <v>944301</v>
      </c>
      <c r="B3380" s="6" t="s">
        <v>3530</v>
      </c>
      <c r="F3380" s="6" t="s">
        <v>9</v>
      </c>
      <c r="G3380" s="6" t="s">
        <v>10</v>
      </c>
      <c r="H3380" s="9" t="s">
        <v>11</v>
      </c>
      <c r="I3380" s="7" t="str">
        <f t="shared" si="208"/>
        <v>61001003000</v>
      </c>
      <c r="J3380" s="7" t="str">
        <f t="shared" si="209"/>
        <v>Материал по ЕГРН</v>
      </c>
      <c r="K3380" s="7">
        <f>VLOOKUP(J3380,Лист2!A$2:B$4,2,FALSE)</f>
        <v>792</v>
      </c>
      <c r="L3380" s="7" t="str">
        <f t="shared" si="210"/>
        <v>ГОТОВ_ИЗМЕНЕН</v>
      </c>
      <c r="M3380" s="7">
        <f t="shared" si="211"/>
        <v>0</v>
      </c>
    </row>
    <row r="3381" spans="1:13" x14ac:dyDescent="0.25">
      <c r="A3381" s="1">
        <v>944313</v>
      </c>
      <c r="B3381" s="6" t="s">
        <v>3531</v>
      </c>
      <c r="F3381" s="6" t="s">
        <v>9</v>
      </c>
      <c r="G3381" s="6" t="s">
        <v>38</v>
      </c>
      <c r="H3381" s="9" t="s">
        <v>33</v>
      </c>
      <c r="I3381" s="7" t="str">
        <f t="shared" si="208"/>
        <v>61001005000</v>
      </c>
      <c r="J3381" s="7" t="str">
        <f t="shared" si="209"/>
        <v>Материал по ЕГРН</v>
      </c>
      <c r="K3381" s="7">
        <f>VLOOKUP(J3381,Лист2!A$2:B$4,2,FALSE)</f>
        <v>792</v>
      </c>
      <c r="L3381" s="7" t="str">
        <f t="shared" si="210"/>
        <v>ГОТОВ_ИЗМЕНЕН</v>
      </c>
      <c r="M3381" s="7">
        <f t="shared" si="211"/>
        <v>0</v>
      </c>
    </row>
    <row r="3382" spans="1:13" x14ac:dyDescent="0.25">
      <c r="A3382" s="1">
        <v>944325</v>
      </c>
      <c r="B3382" s="6" t="s">
        <v>3532</v>
      </c>
      <c r="F3382" s="6" t="s">
        <v>9</v>
      </c>
      <c r="G3382" s="6" t="s">
        <v>10</v>
      </c>
      <c r="H3382" s="9" t="s">
        <v>11</v>
      </c>
      <c r="I3382" s="7" t="str">
        <f t="shared" si="208"/>
        <v>61001003000</v>
      </c>
      <c r="J3382" s="7" t="str">
        <f t="shared" si="209"/>
        <v>Материал по ЕГРН</v>
      </c>
      <c r="K3382" s="7">
        <f>VLOOKUP(J3382,Лист2!A$2:B$4,2,FALSE)</f>
        <v>792</v>
      </c>
      <c r="L3382" s="7" t="str">
        <f t="shared" si="210"/>
        <v>ГОТОВ_ИЗМЕНЕН</v>
      </c>
      <c r="M3382" s="7">
        <f t="shared" si="211"/>
        <v>0</v>
      </c>
    </row>
    <row r="3383" spans="1:13" x14ac:dyDescent="0.25">
      <c r="A3383" s="1">
        <v>944337</v>
      </c>
      <c r="B3383" s="6" t="s">
        <v>3533</v>
      </c>
      <c r="F3383" s="6" t="s">
        <v>9</v>
      </c>
      <c r="G3383" s="6" t="s">
        <v>62</v>
      </c>
      <c r="H3383" s="9" t="s">
        <v>63</v>
      </c>
      <c r="I3383" s="7" t="str">
        <f t="shared" si="208"/>
        <v>61001006002</v>
      </c>
      <c r="J3383" s="7" t="str">
        <f t="shared" si="209"/>
        <v>Материал по ЕГРН</v>
      </c>
      <c r="K3383" s="7">
        <f>VLOOKUP(J3383,Лист2!A$2:B$4,2,FALSE)</f>
        <v>792</v>
      </c>
      <c r="L3383" s="7" t="str">
        <f t="shared" si="210"/>
        <v>ГОТОВ_ИЗМЕНЕН</v>
      </c>
      <c r="M3383" s="7">
        <f t="shared" si="211"/>
        <v>0</v>
      </c>
    </row>
    <row r="3384" spans="1:13" x14ac:dyDescent="0.25">
      <c r="A3384" s="1">
        <v>944349</v>
      </c>
      <c r="B3384" s="6" t="s">
        <v>3534</v>
      </c>
      <c r="F3384" s="6" t="s">
        <v>9</v>
      </c>
      <c r="G3384" s="6" t="s">
        <v>38</v>
      </c>
      <c r="H3384" s="9" t="s">
        <v>33</v>
      </c>
      <c r="I3384" s="7" t="str">
        <f t="shared" si="208"/>
        <v>61001005000</v>
      </c>
      <c r="J3384" s="7" t="str">
        <f t="shared" si="209"/>
        <v>Материал по ЕГРН</v>
      </c>
      <c r="K3384" s="7">
        <f>VLOOKUP(J3384,Лист2!A$2:B$4,2,FALSE)</f>
        <v>792</v>
      </c>
      <c r="L3384" s="7" t="str">
        <f t="shared" si="210"/>
        <v>ГОТОВ_ИЗМЕНЕН</v>
      </c>
      <c r="M3384" s="7">
        <f t="shared" si="211"/>
        <v>0</v>
      </c>
    </row>
    <row r="3385" spans="1:13" x14ac:dyDescent="0.25">
      <c r="A3385" s="1">
        <v>944361</v>
      </c>
      <c r="B3385" s="6" t="s">
        <v>3535</v>
      </c>
      <c r="F3385" s="6" t="s">
        <v>9</v>
      </c>
      <c r="G3385" s="6" t="s">
        <v>10</v>
      </c>
      <c r="H3385" s="9" t="s">
        <v>11</v>
      </c>
      <c r="I3385" s="7" t="str">
        <f t="shared" si="208"/>
        <v>61001003000</v>
      </c>
      <c r="J3385" s="7" t="str">
        <f t="shared" si="209"/>
        <v>Материал по ЕГРН</v>
      </c>
      <c r="K3385" s="7">
        <f>VLOOKUP(J3385,Лист2!A$2:B$4,2,FALSE)</f>
        <v>792</v>
      </c>
      <c r="L3385" s="7" t="str">
        <f t="shared" si="210"/>
        <v>ГОТОВ_ИЗМЕНЕН</v>
      </c>
      <c r="M3385" s="7">
        <f t="shared" si="211"/>
        <v>0</v>
      </c>
    </row>
    <row r="3386" spans="1:13" x14ac:dyDescent="0.25">
      <c r="A3386" s="1">
        <v>944373</v>
      </c>
      <c r="B3386" s="6" t="s">
        <v>3536</v>
      </c>
      <c r="F3386" s="6" t="s">
        <v>9</v>
      </c>
      <c r="G3386" s="6" t="s">
        <v>34</v>
      </c>
      <c r="H3386" s="9" t="s">
        <v>35</v>
      </c>
      <c r="I3386" s="7" t="str">
        <f t="shared" si="208"/>
        <v>61001002000</v>
      </c>
      <c r="J3386" s="7" t="str">
        <f t="shared" si="209"/>
        <v>Материал по ЕГРН</v>
      </c>
      <c r="K3386" s="7">
        <f>VLOOKUP(J3386,Лист2!A$2:B$4,2,FALSE)</f>
        <v>792</v>
      </c>
      <c r="L3386" s="7" t="str">
        <f t="shared" si="210"/>
        <v>ГОТОВ_ИЗМЕНЕН</v>
      </c>
      <c r="M3386" s="7">
        <f t="shared" si="211"/>
        <v>0</v>
      </c>
    </row>
    <row r="3387" spans="1:13" x14ac:dyDescent="0.25">
      <c r="A3387" s="1">
        <v>944385</v>
      </c>
      <c r="B3387" s="6" t="s">
        <v>3537</v>
      </c>
      <c r="F3387" s="6" t="s">
        <v>9</v>
      </c>
      <c r="G3387" s="6" t="s">
        <v>90</v>
      </c>
      <c r="H3387" s="9" t="s">
        <v>12</v>
      </c>
      <c r="I3387" s="7" t="str">
        <f t="shared" si="208"/>
        <v>61001008000</v>
      </c>
      <c r="J3387" s="7" t="str">
        <f t="shared" si="209"/>
        <v>Материал по ЕГРН</v>
      </c>
      <c r="K3387" s="7">
        <f>VLOOKUP(J3387,Лист2!A$2:B$4,2,FALSE)</f>
        <v>792</v>
      </c>
      <c r="L3387" s="7" t="str">
        <f t="shared" si="210"/>
        <v>ГОТОВ_ИЗМЕНЕН</v>
      </c>
      <c r="M3387" s="7">
        <f t="shared" si="211"/>
        <v>0</v>
      </c>
    </row>
    <row r="3388" spans="1:13" x14ac:dyDescent="0.25">
      <c r="A3388" s="1">
        <v>944397</v>
      </c>
      <c r="B3388" s="6" t="s">
        <v>3538</v>
      </c>
      <c r="F3388" s="6" t="s">
        <v>9</v>
      </c>
      <c r="G3388" s="6" t="s">
        <v>59</v>
      </c>
      <c r="H3388" s="9" t="s">
        <v>60</v>
      </c>
      <c r="I3388" s="7" t="str">
        <f t="shared" si="208"/>
        <v>61001001001</v>
      </c>
      <c r="J3388" s="7" t="str">
        <f t="shared" si="209"/>
        <v>Материал по ЕГРН</v>
      </c>
      <c r="K3388" s="7">
        <f>VLOOKUP(J3388,Лист2!A$2:B$4,2,FALSE)</f>
        <v>792</v>
      </c>
      <c r="L3388" s="7" t="str">
        <f t="shared" si="210"/>
        <v>ГОТОВ_ИЗМЕНЕН</v>
      </c>
      <c r="M3388" s="7">
        <f t="shared" si="211"/>
        <v>0</v>
      </c>
    </row>
    <row r="3389" spans="1:13" x14ac:dyDescent="0.25">
      <c r="A3389" s="1">
        <v>944409</v>
      </c>
      <c r="B3389" s="6" t="s">
        <v>3539</v>
      </c>
      <c r="F3389" s="6" t="s">
        <v>9</v>
      </c>
      <c r="G3389" s="6" t="s">
        <v>38</v>
      </c>
      <c r="H3389" s="9" t="s">
        <v>33</v>
      </c>
      <c r="I3389" s="7" t="str">
        <f t="shared" si="208"/>
        <v>61001005000</v>
      </c>
      <c r="J3389" s="7" t="str">
        <f t="shared" si="209"/>
        <v>Материал по ЕГРН</v>
      </c>
      <c r="K3389" s="7">
        <f>VLOOKUP(J3389,Лист2!A$2:B$4,2,FALSE)</f>
        <v>792</v>
      </c>
      <c r="L3389" s="7" t="str">
        <f t="shared" si="210"/>
        <v>ГОТОВ_ИЗМЕНЕН</v>
      </c>
      <c r="M3389" s="7">
        <f t="shared" si="211"/>
        <v>0</v>
      </c>
    </row>
    <row r="3390" spans="1:13" x14ac:dyDescent="0.25">
      <c r="A3390" s="1">
        <v>944421</v>
      </c>
      <c r="B3390" s="6" t="s">
        <v>3540</v>
      </c>
      <c r="F3390" s="6" t="s">
        <v>9</v>
      </c>
      <c r="G3390" s="6" t="s">
        <v>38</v>
      </c>
      <c r="H3390" s="9" t="s">
        <v>33</v>
      </c>
      <c r="I3390" s="7" t="str">
        <f t="shared" si="208"/>
        <v>61001005000</v>
      </c>
      <c r="J3390" s="7" t="str">
        <f t="shared" si="209"/>
        <v>Материал по ЕГРН</v>
      </c>
      <c r="K3390" s="7">
        <f>VLOOKUP(J3390,Лист2!A$2:B$4,2,FALSE)</f>
        <v>792</v>
      </c>
      <c r="L3390" s="7" t="str">
        <f t="shared" si="210"/>
        <v>ГОТОВ_ИЗМЕНЕН</v>
      </c>
      <c r="M3390" s="7">
        <f t="shared" si="211"/>
        <v>0</v>
      </c>
    </row>
    <row r="3391" spans="1:13" x14ac:dyDescent="0.25">
      <c r="A3391" s="1">
        <v>944433</v>
      </c>
      <c r="B3391" s="6" t="s">
        <v>3541</v>
      </c>
      <c r="F3391" s="6" t="s">
        <v>9</v>
      </c>
      <c r="G3391" s="6" t="s">
        <v>38</v>
      </c>
      <c r="H3391" s="9" t="s">
        <v>33</v>
      </c>
      <c r="I3391" s="7" t="str">
        <f t="shared" si="208"/>
        <v>61001005000</v>
      </c>
      <c r="J3391" s="7" t="str">
        <f t="shared" si="209"/>
        <v>Материал по ЕГРН</v>
      </c>
      <c r="K3391" s="7">
        <f>VLOOKUP(J3391,Лист2!A$2:B$4,2,FALSE)</f>
        <v>792</v>
      </c>
      <c r="L3391" s="7" t="str">
        <f t="shared" si="210"/>
        <v>ГОТОВ_ИЗМЕНЕН</v>
      </c>
      <c r="M3391" s="7">
        <f t="shared" si="211"/>
        <v>0</v>
      </c>
    </row>
    <row r="3392" spans="1:13" x14ac:dyDescent="0.25">
      <c r="A3392" s="1">
        <v>944445</v>
      </c>
      <c r="B3392" s="6" t="s">
        <v>3542</v>
      </c>
      <c r="F3392" s="6" t="s">
        <v>9</v>
      </c>
      <c r="G3392" s="6" t="s">
        <v>62</v>
      </c>
      <c r="H3392" s="9" t="s">
        <v>63</v>
      </c>
      <c r="I3392" s="7" t="str">
        <f t="shared" si="208"/>
        <v>61001006002</v>
      </c>
      <c r="J3392" s="7" t="str">
        <f t="shared" si="209"/>
        <v>Материал по ЕГРН</v>
      </c>
      <c r="K3392" s="7">
        <f>VLOOKUP(J3392,Лист2!A$2:B$4,2,FALSE)</f>
        <v>792</v>
      </c>
      <c r="L3392" s="7" t="str">
        <f t="shared" si="210"/>
        <v>ГОТОВ_ИЗМЕНЕН</v>
      </c>
      <c r="M3392" s="7">
        <f t="shared" si="211"/>
        <v>0</v>
      </c>
    </row>
    <row r="3393" spans="1:13" x14ac:dyDescent="0.25">
      <c r="A3393" s="1">
        <v>944457</v>
      </c>
      <c r="B3393" s="6" t="s">
        <v>3543</v>
      </c>
      <c r="F3393" s="6" t="s">
        <v>9</v>
      </c>
      <c r="G3393" s="6" t="s">
        <v>149</v>
      </c>
      <c r="H3393" s="9" t="s">
        <v>150</v>
      </c>
      <c r="I3393" s="7" t="str">
        <f t="shared" si="208"/>
        <v>61001007000</v>
      </c>
      <c r="J3393" s="7" t="str">
        <f t="shared" si="209"/>
        <v>Материал по ЕГРН</v>
      </c>
      <c r="K3393" s="7">
        <f>VLOOKUP(J3393,Лист2!A$2:B$4,2,FALSE)</f>
        <v>792</v>
      </c>
      <c r="L3393" s="7" t="str">
        <f t="shared" si="210"/>
        <v>ГОТОВ_ИЗМЕНЕН</v>
      </c>
      <c r="M3393" s="7">
        <f t="shared" si="211"/>
        <v>0</v>
      </c>
    </row>
    <row r="3394" spans="1:13" x14ac:dyDescent="0.25">
      <c r="A3394" s="1">
        <v>944469</v>
      </c>
      <c r="B3394" s="6" t="s">
        <v>3544</v>
      </c>
      <c r="F3394" s="6" t="s">
        <v>9</v>
      </c>
      <c r="G3394" s="6" t="s">
        <v>10</v>
      </c>
      <c r="H3394" s="9" t="s">
        <v>11</v>
      </c>
      <c r="I3394" s="7" t="str">
        <f t="shared" si="208"/>
        <v>61001003000</v>
      </c>
      <c r="J3394" s="7" t="str">
        <f t="shared" si="209"/>
        <v>Материал по ЕГРН</v>
      </c>
      <c r="K3394" s="7">
        <f>VLOOKUP(J3394,Лист2!A$2:B$4,2,FALSE)</f>
        <v>792</v>
      </c>
      <c r="L3394" s="7" t="str">
        <f t="shared" si="210"/>
        <v>ГОТОВ_ИЗМЕНЕН</v>
      </c>
      <c r="M3394" s="7">
        <f t="shared" si="211"/>
        <v>0</v>
      </c>
    </row>
    <row r="3395" spans="1:13" x14ac:dyDescent="0.25">
      <c r="A3395" s="1">
        <v>944481</v>
      </c>
      <c r="B3395" s="6" t="s">
        <v>3545</v>
      </c>
      <c r="F3395" s="6" t="s">
        <v>9</v>
      </c>
      <c r="G3395" s="6" t="s">
        <v>34</v>
      </c>
      <c r="H3395" s="9" t="s">
        <v>35</v>
      </c>
      <c r="I3395" s="7" t="str">
        <f t="shared" si="208"/>
        <v>61001002000</v>
      </c>
      <c r="J3395" s="7" t="str">
        <f t="shared" si="209"/>
        <v>Материал по ЕГРН</v>
      </c>
      <c r="K3395" s="7">
        <f>VLOOKUP(J3395,Лист2!A$2:B$4,2,FALSE)</f>
        <v>792</v>
      </c>
      <c r="L3395" s="7" t="str">
        <f t="shared" si="210"/>
        <v>ГОТОВ_ИЗМЕНЕН</v>
      </c>
      <c r="M3395" s="7">
        <f t="shared" si="211"/>
        <v>0</v>
      </c>
    </row>
    <row r="3396" spans="1:13" x14ac:dyDescent="0.25">
      <c r="A3396" s="1">
        <v>944493</v>
      </c>
      <c r="B3396" s="6" t="s">
        <v>3546</v>
      </c>
      <c r="F3396" s="6" t="s">
        <v>9</v>
      </c>
      <c r="G3396" s="6" t="s">
        <v>38</v>
      </c>
      <c r="H3396" s="9" t="s">
        <v>33</v>
      </c>
      <c r="I3396" s="7" t="str">
        <f t="shared" si="208"/>
        <v>61001005000</v>
      </c>
      <c r="J3396" s="7" t="str">
        <f t="shared" si="209"/>
        <v>Материал по ЕГРН</v>
      </c>
      <c r="K3396" s="7">
        <f>VLOOKUP(J3396,Лист2!A$2:B$4,2,FALSE)</f>
        <v>792</v>
      </c>
      <c r="L3396" s="7" t="str">
        <f t="shared" si="210"/>
        <v>ГОТОВ_ИЗМЕНЕН</v>
      </c>
      <c r="M3396" s="7">
        <f t="shared" si="211"/>
        <v>0</v>
      </c>
    </row>
    <row r="3397" spans="1:13" x14ac:dyDescent="0.25">
      <c r="A3397" s="1">
        <v>944505</v>
      </c>
      <c r="B3397" s="6" t="s">
        <v>3547</v>
      </c>
      <c r="F3397" s="6" t="s">
        <v>9</v>
      </c>
      <c r="G3397" s="6" t="s">
        <v>34</v>
      </c>
      <c r="H3397" s="9" t="s">
        <v>35</v>
      </c>
      <c r="I3397" s="7" t="str">
        <f t="shared" ref="I3397:I3460" si="212">IF(LEN(H3397)=11,H3397,IF(LEN(H3397)=0,"61001005000","61001003000"))</f>
        <v>61001002000</v>
      </c>
      <c r="J3397" s="7" t="str">
        <f t="shared" ref="J3397:J3460" si="213">IF(LEN(H3397)=11,"Материал по ЕГРН",IF(LEN(H3397)=0,"Прочие по допущению","Смешанные по допущению"))</f>
        <v>Материал по ЕГРН</v>
      </c>
      <c r="K3397" s="7">
        <f>VLOOKUP(J3397,Лист2!A$2:B$4,2,FALSE)</f>
        <v>792</v>
      </c>
      <c r="L3397" s="7" t="str">
        <f t="shared" ref="L3397:L3460" si="214">IF(I3397=C3397,"ГОТОВ","ГОТОВ_ИЗМЕНЕН")</f>
        <v>ГОТОВ_ИЗМЕНЕН</v>
      </c>
      <c r="M3397" s="7">
        <f t="shared" ref="M3397:M3460" si="215">C3397</f>
        <v>0</v>
      </c>
    </row>
    <row r="3398" spans="1:13" x14ac:dyDescent="0.25">
      <c r="A3398" s="1">
        <v>944517</v>
      </c>
      <c r="B3398" s="6" t="s">
        <v>3548</v>
      </c>
      <c r="F3398" s="6" t="s">
        <v>9</v>
      </c>
      <c r="G3398" s="6" t="s">
        <v>62</v>
      </c>
      <c r="H3398" s="9" t="s">
        <v>63</v>
      </c>
      <c r="I3398" s="7" t="str">
        <f t="shared" si="212"/>
        <v>61001006002</v>
      </c>
      <c r="J3398" s="7" t="str">
        <f t="shared" si="213"/>
        <v>Материал по ЕГРН</v>
      </c>
      <c r="K3398" s="7">
        <f>VLOOKUP(J3398,Лист2!A$2:B$4,2,FALSE)</f>
        <v>792</v>
      </c>
      <c r="L3398" s="7" t="str">
        <f t="shared" si="214"/>
        <v>ГОТОВ_ИЗМЕНЕН</v>
      </c>
      <c r="M3398" s="7">
        <f t="shared" si="215"/>
        <v>0</v>
      </c>
    </row>
    <row r="3399" spans="1:13" x14ac:dyDescent="0.25">
      <c r="A3399" s="1">
        <v>944529</v>
      </c>
      <c r="B3399" s="6" t="s">
        <v>3549</v>
      </c>
      <c r="F3399" s="6" t="s">
        <v>9</v>
      </c>
      <c r="G3399" s="6" t="s">
        <v>139</v>
      </c>
      <c r="H3399" s="9" t="s">
        <v>140</v>
      </c>
      <c r="I3399" s="7" t="str">
        <f t="shared" si="212"/>
        <v>61001999000</v>
      </c>
      <c r="J3399" s="7" t="str">
        <f t="shared" si="213"/>
        <v>Материал по ЕГРН</v>
      </c>
      <c r="K3399" s="7">
        <f>VLOOKUP(J3399,Лист2!A$2:B$4,2,FALSE)</f>
        <v>792</v>
      </c>
      <c r="L3399" s="7" t="str">
        <f t="shared" si="214"/>
        <v>ГОТОВ_ИЗМЕНЕН</v>
      </c>
      <c r="M3399" s="7">
        <f t="shared" si="215"/>
        <v>0</v>
      </c>
    </row>
    <row r="3400" spans="1:13" x14ac:dyDescent="0.25">
      <c r="A3400" s="1">
        <v>944541</v>
      </c>
      <c r="B3400" s="6" t="s">
        <v>3550</v>
      </c>
      <c r="F3400" s="6" t="s">
        <v>9</v>
      </c>
      <c r="G3400" s="6" t="s">
        <v>38</v>
      </c>
      <c r="H3400" s="9" t="s">
        <v>33</v>
      </c>
      <c r="I3400" s="7" t="str">
        <f t="shared" si="212"/>
        <v>61001005000</v>
      </c>
      <c r="J3400" s="7" t="str">
        <f t="shared" si="213"/>
        <v>Материал по ЕГРН</v>
      </c>
      <c r="K3400" s="7">
        <f>VLOOKUP(J3400,Лист2!A$2:B$4,2,FALSE)</f>
        <v>792</v>
      </c>
      <c r="L3400" s="7" t="str">
        <f t="shared" si="214"/>
        <v>ГОТОВ_ИЗМЕНЕН</v>
      </c>
      <c r="M3400" s="7">
        <f t="shared" si="215"/>
        <v>0</v>
      </c>
    </row>
    <row r="3401" spans="1:13" x14ac:dyDescent="0.25">
      <c r="A3401" s="1">
        <v>944553</v>
      </c>
      <c r="B3401" s="6" t="s">
        <v>3551</v>
      </c>
      <c r="F3401" s="6" t="s">
        <v>9</v>
      </c>
      <c r="G3401" s="6" t="s">
        <v>10</v>
      </c>
      <c r="H3401" s="9" t="s">
        <v>11</v>
      </c>
      <c r="I3401" s="7" t="str">
        <f t="shared" si="212"/>
        <v>61001003000</v>
      </c>
      <c r="J3401" s="7" t="str">
        <f t="shared" si="213"/>
        <v>Материал по ЕГРН</v>
      </c>
      <c r="K3401" s="7">
        <f>VLOOKUP(J3401,Лист2!A$2:B$4,2,FALSE)</f>
        <v>792</v>
      </c>
      <c r="L3401" s="7" t="str">
        <f t="shared" si="214"/>
        <v>ГОТОВ_ИЗМЕНЕН</v>
      </c>
      <c r="M3401" s="7">
        <f t="shared" si="215"/>
        <v>0</v>
      </c>
    </row>
    <row r="3402" spans="1:13" x14ac:dyDescent="0.25">
      <c r="A3402" s="1">
        <v>944565</v>
      </c>
      <c r="B3402" s="6" t="s">
        <v>3552</v>
      </c>
      <c r="F3402" s="6" t="s">
        <v>9</v>
      </c>
      <c r="G3402" s="6" t="s">
        <v>34</v>
      </c>
      <c r="H3402" s="9" t="s">
        <v>35</v>
      </c>
      <c r="I3402" s="7" t="str">
        <f t="shared" si="212"/>
        <v>61001002000</v>
      </c>
      <c r="J3402" s="7" t="str">
        <f t="shared" si="213"/>
        <v>Материал по ЕГРН</v>
      </c>
      <c r="K3402" s="7">
        <f>VLOOKUP(J3402,Лист2!A$2:B$4,2,FALSE)</f>
        <v>792</v>
      </c>
      <c r="L3402" s="7" t="str">
        <f t="shared" si="214"/>
        <v>ГОТОВ_ИЗМЕНЕН</v>
      </c>
      <c r="M3402" s="7">
        <f t="shared" si="215"/>
        <v>0</v>
      </c>
    </row>
    <row r="3403" spans="1:13" x14ac:dyDescent="0.25">
      <c r="A3403" s="1">
        <v>944577</v>
      </c>
      <c r="B3403" s="6" t="s">
        <v>3553</v>
      </c>
      <c r="F3403" s="6" t="s">
        <v>9</v>
      </c>
      <c r="G3403" s="6" t="s">
        <v>10</v>
      </c>
      <c r="H3403" s="9" t="s">
        <v>11</v>
      </c>
      <c r="I3403" s="7" t="str">
        <f t="shared" si="212"/>
        <v>61001003000</v>
      </c>
      <c r="J3403" s="7" t="str">
        <f t="shared" si="213"/>
        <v>Материал по ЕГРН</v>
      </c>
      <c r="K3403" s="7">
        <f>VLOOKUP(J3403,Лист2!A$2:B$4,2,FALSE)</f>
        <v>792</v>
      </c>
      <c r="L3403" s="7" t="str">
        <f t="shared" si="214"/>
        <v>ГОТОВ_ИЗМЕНЕН</v>
      </c>
      <c r="M3403" s="7">
        <f t="shared" si="215"/>
        <v>0</v>
      </c>
    </row>
    <row r="3404" spans="1:13" x14ac:dyDescent="0.25">
      <c r="A3404" s="1">
        <v>944589</v>
      </c>
      <c r="B3404" s="6" t="s">
        <v>3554</v>
      </c>
      <c r="F3404" s="6" t="s">
        <v>9</v>
      </c>
      <c r="G3404" s="6" t="s">
        <v>65</v>
      </c>
      <c r="H3404" s="9" t="s">
        <v>66</v>
      </c>
      <c r="I3404" s="7" t="str">
        <f t="shared" si="212"/>
        <v>61001002003</v>
      </c>
      <c r="J3404" s="7" t="str">
        <f t="shared" si="213"/>
        <v>Материал по ЕГРН</v>
      </c>
      <c r="K3404" s="7">
        <f>VLOOKUP(J3404,Лист2!A$2:B$4,2,FALSE)</f>
        <v>792</v>
      </c>
      <c r="L3404" s="7" t="str">
        <f t="shared" si="214"/>
        <v>ГОТОВ_ИЗМЕНЕН</v>
      </c>
      <c r="M3404" s="7">
        <f t="shared" si="215"/>
        <v>0</v>
      </c>
    </row>
    <row r="3405" spans="1:13" x14ac:dyDescent="0.25">
      <c r="A3405" s="1">
        <v>944601</v>
      </c>
      <c r="B3405" s="6" t="s">
        <v>3555</v>
      </c>
      <c r="F3405" s="6" t="s">
        <v>9</v>
      </c>
      <c r="G3405" s="6" t="s">
        <v>38</v>
      </c>
      <c r="H3405" s="9" t="s">
        <v>33</v>
      </c>
      <c r="I3405" s="7" t="str">
        <f t="shared" si="212"/>
        <v>61001005000</v>
      </c>
      <c r="J3405" s="7" t="str">
        <f t="shared" si="213"/>
        <v>Материал по ЕГРН</v>
      </c>
      <c r="K3405" s="7">
        <f>VLOOKUP(J3405,Лист2!A$2:B$4,2,FALSE)</f>
        <v>792</v>
      </c>
      <c r="L3405" s="7" t="str">
        <f t="shared" si="214"/>
        <v>ГОТОВ_ИЗМЕНЕН</v>
      </c>
      <c r="M3405" s="7">
        <f t="shared" si="215"/>
        <v>0</v>
      </c>
    </row>
    <row r="3406" spans="1:13" x14ac:dyDescent="0.25">
      <c r="A3406" s="1">
        <v>944613</v>
      </c>
      <c r="B3406" s="6" t="s">
        <v>3556</v>
      </c>
      <c r="F3406" s="6" t="s">
        <v>9</v>
      </c>
      <c r="G3406" s="6" t="s">
        <v>34</v>
      </c>
      <c r="H3406" s="9" t="s">
        <v>35</v>
      </c>
      <c r="I3406" s="7" t="str">
        <f t="shared" si="212"/>
        <v>61001002000</v>
      </c>
      <c r="J3406" s="7" t="str">
        <f t="shared" si="213"/>
        <v>Материал по ЕГРН</v>
      </c>
      <c r="K3406" s="7">
        <f>VLOOKUP(J3406,Лист2!A$2:B$4,2,FALSE)</f>
        <v>792</v>
      </c>
      <c r="L3406" s="7" t="str">
        <f t="shared" si="214"/>
        <v>ГОТОВ_ИЗМЕНЕН</v>
      </c>
      <c r="M3406" s="7">
        <f t="shared" si="215"/>
        <v>0</v>
      </c>
    </row>
    <row r="3407" spans="1:13" x14ac:dyDescent="0.25">
      <c r="A3407" s="1">
        <v>944625</v>
      </c>
      <c r="B3407" s="6" t="s">
        <v>3557</v>
      </c>
      <c r="F3407" s="6" t="s">
        <v>9</v>
      </c>
      <c r="G3407" s="6" t="s">
        <v>34</v>
      </c>
      <c r="H3407" s="9" t="s">
        <v>35</v>
      </c>
      <c r="I3407" s="7" t="str">
        <f t="shared" si="212"/>
        <v>61001002000</v>
      </c>
      <c r="J3407" s="7" t="str">
        <f t="shared" si="213"/>
        <v>Материал по ЕГРН</v>
      </c>
      <c r="K3407" s="7">
        <f>VLOOKUP(J3407,Лист2!A$2:B$4,2,FALSE)</f>
        <v>792</v>
      </c>
      <c r="L3407" s="7" t="str">
        <f t="shared" si="214"/>
        <v>ГОТОВ_ИЗМЕНЕН</v>
      </c>
      <c r="M3407" s="7">
        <f t="shared" si="215"/>
        <v>0</v>
      </c>
    </row>
    <row r="3408" spans="1:13" x14ac:dyDescent="0.25">
      <c r="A3408" s="1">
        <v>944637</v>
      </c>
      <c r="B3408" s="6" t="s">
        <v>3558</v>
      </c>
      <c r="F3408" s="6" t="s">
        <v>9</v>
      </c>
      <c r="G3408" s="6" t="s">
        <v>62</v>
      </c>
      <c r="H3408" s="9" t="s">
        <v>63</v>
      </c>
      <c r="I3408" s="7" t="str">
        <f t="shared" si="212"/>
        <v>61001006002</v>
      </c>
      <c r="J3408" s="7" t="str">
        <f t="shared" si="213"/>
        <v>Материал по ЕГРН</v>
      </c>
      <c r="K3408" s="7">
        <f>VLOOKUP(J3408,Лист2!A$2:B$4,2,FALSE)</f>
        <v>792</v>
      </c>
      <c r="L3408" s="7" t="str">
        <f t="shared" si="214"/>
        <v>ГОТОВ_ИЗМЕНЕН</v>
      </c>
      <c r="M3408" s="7">
        <f t="shared" si="215"/>
        <v>0</v>
      </c>
    </row>
    <row r="3409" spans="1:13" x14ac:dyDescent="0.25">
      <c r="A3409" s="1">
        <v>945799</v>
      </c>
      <c r="B3409" s="6" t="s">
        <v>3559</v>
      </c>
      <c r="F3409" s="6" t="s">
        <v>9</v>
      </c>
      <c r="G3409" s="6" t="s">
        <v>111</v>
      </c>
      <c r="H3409" s="9" t="s">
        <v>110</v>
      </c>
      <c r="I3409" s="7" t="str">
        <f t="shared" si="212"/>
        <v>61001007001</v>
      </c>
      <c r="J3409" s="7" t="str">
        <f t="shared" si="213"/>
        <v>Материал по ЕГРН</v>
      </c>
      <c r="K3409" s="7">
        <f>VLOOKUP(J3409,Лист2!A$2:B$4,2,FALSE)</f>
        <v>792</v>
      </c>
      <c r="L3409" s="7" t="str">
        <f t="shared" si="214"/>
        <v>ГОТОВ_ИЗМЕНЕН</v>
      </c>
      <c r="M3409" s="7">
        <f t="shared" si="215"/>
        <v>0</v>
      </c>
    </row>
    <row r="3410" spans="1:13" x14ac:dyDescent="0.25">
      <c r="A3410" s="1">
        <v>945811</v>
      </c>
      <c r="B3410" s="6" t="s">
        <v>3560</v>
      </c>
      <c r="F3410" s="6" t="s">
        <v>9</v>
      </c>
      <c r="G3410" s="6" t="s">
        <v>38</v>
      </c>
      <c r="H3410" s="9" t="s">
        <v>33</v>
      </c>
      <c r="I3410" s="7" t="str">
        <f t="shared" si="212"/>
        <v>61001005000</v>
      </c>
      <c r="J3410" s="7" t="str">
        <f t="shared" si="213"/>
        <v>Материал по ЕГРН</v>
      </c>
      <c r="K3410" s="7">
        <f>VLOOKUP(J3410,Лист2!A$2:B$4,2,FALSE)</f>
        <v>792</v>
      </c>
      <c r="L3410" s="7" t="str">
        <f t="shared" si="214"/>
        <v>ГОТОВ_ИЗМЕНЕН</v>
      </c>
      <c r="M3410" s="7">
        <f t="shared" si="215"/>
        <v>0</v>
      </c>
    </row>
    <row r="3411" spans="1:13" x14ac:dyDescent="0.25">
      <c r="A3411" s="1">
        <v>945823</v>
      </c>
      <c r="B3411" s="6" t="s">
        <v>3561</v>
      </c>
      <c r="F3411" s="6" t="s">
        <v>9</v>
      </c>
      <c r="G3411" s="6" t="s">
        <v>38</v>
      </c>
      <c r="H3411" s="9" t="s">
        <v>33</v>
      </c>
      <c r="I3411" s="7" t="str">
        <f t="shared" si="212"/>
        <v>61001005000</v>
      </c>
      <c r="J3411" s="7" t="str">
        <f t="shared" si="213"/>
        <v>Материал по ЕГРН</v>
      </c>
      <c r="K3411" s="7">
        <f>VLOOKUP(J3411,Лист2!A$2:B$4,2,FALSE)</f>
        <v>792</v>
      </c>
      <c r="L3411" s="7" t="str">
        <f t="shared" si="214"/>
        <v>ГОТОВ_ИЗМЕНЕН</v>
      </c>
      <c r="M3411" s="7">
        <f t="shared" si="215"/>
        <v>0</v>
      </c>
    </row>
    <row r="3412" spans="1:13" x14ac:dyDescent="0.25">
      <c r="A3412" s="1">
        <v>945835</v>
      </c>
      <c r="B3412" s="6" t="s">
        <v>3562</v>
      </c>
      <c r="F3412" s="6" t="s">
        <v>9</v>
      </c>
      <c r="G3412" s="6" t="s">
        <v>10</v>
      </c>
      <c r="H3412" s="9" t="s">
        <v>11</v>
      </c>
      <c r="I3412" s="7" t="str">
        <f t="shared" si="212"/>
        <v>61001003000</v>
      </c>
      <c r="J3412" s="7" t="str">
        <f t="shared" si="213"/>
        <v>Материал по ЕГРН</v>
      </c>
      <c r="K3412" s="7">
        <f>VLOOKUP(J3412,Лист2!A$2:B$4,2,FALSE)</f>
        <v>792</v>
      </c>
      <c r="L3412" s="7" t="str">
        <f t="shared" si="214"/>
        <v>ГОТОВ_ИЗМЕНЕН</v>
      </c>
      <c r="M3412" s="7">
        <f t="shared" si="215"/>
        <v>0</v>
      </c>
    </row>
    <row r="3413" spans="1:13" x14ac:dyDescent="0.25">
      <c r="A3413" s="1">
        <v>945847</v>
      </c>
      <c r="B3413" s="6" t="s">
        <v>3563</v>
      </c>
      <c r="F3413" s="6" t="s">
        <v>9</v>
      </c>
      <c r="G3413" s="6" t="s">
        <v>10</v>
      </c>
      <c r="H3413" s="9" t="s">
        <v>11</v>
      </c>
      <c r="I3413" s="7" t="str">
        <f t="shared" si="212"/>
        <v>61001003000</v>
      </c>
      <c r="J3413" s="7" t="str">
        <f t="shared" si="213"/>
        <v>Материал по ЕГРН</v>
      </c>
      <c r="K3413" s="7">
        <f>VLOOKUP(J3413,Лист2!A$2:B$4,2,FALSE)</f>
        <v>792</v>
      </c>
      <c r="L3413" s="7" t="str">
        <f t="shared" si="214"/>
        <v>ГОТОВ_ИЗМЕНЕН</v>
      </c>
      <c r="M3413" s="7">
        <f t="shared" si="215"/>
        <v>0</v>
      </c>
    </row>
    <row r="3414" spans="1:13" x14ac:dyDescent="0.25">
      <c r="A3414" s="1">
        <v>945859</v>
      </c>
      <c r="B3414" s="6" t="s">
        <v>3564</v>
      </c>
      <c r="F3414" s="6" t="s">
        <v>9</v>
      </c>
      <c r="G3414" s="6" t="s">
        <v>59</v>
      </c>
      <c r="H3414" s="9" t="s">
        <v>60</v>
      </c>
      <c r="I3414" s="7" t="str">
        <f t="shared" si="212"/>
        <v>61001001001</v>
      </c>
      <c r="J3414" s="7" t="str">
        <f t="shared" si="213"/>
        <v>Материал по ЕГРН</v>
      </c>
      <c r="K3414" s="7">
        <f>VLOOKUP(J3414,Лист2!A$2:B$4,2,FALSE)</f>
        <v>792</v>
      </c>
      <c r="L3414" s="7" t="str">
        <f t="shared" si="214"/>
        <v>ГОТОВ_ИЗМЕНЕН</v>
      </c>
      <c r="M3414" s="7">
        <f t="shared" si="215"/>
        <v>0</v>
      </c>
    </row>
    <row r="3415" spans="1:13" x14ac:dyDescent="0.25">
      <c r="A3415" s="1">
        <v>945871</v>
      </c>
      <c r="B3415" s="6" t="s">
        <v>3565</v>
      </c>
      <c r="F3415" s="6" t="s">
        <v>9</v>
      </c>
      <c r="G3415" s="6" t="s">
        <v>38</v>
      </c>
      <c r="H3415" s="9" t="s">
        <v>33</v>
      </c>
      <c r="I3415" s="7" t="str">
        <f t="shared" si="212"/>
        <v>61001005000</v>
      </c>
      <c r="J3415" s="7" t="str">
        <f t="shared" si="213"/>
        <v>Материал по ЕГРН</v>
      </c>
      <c r="K3415" s="7">
        <f>VLOOKUP(J3415,Лист2!A$2:B$4,2,FALSE)</f>
        <v>792</v>
      </c>
      <c r="L3415" s="7" t="str">
        <f t="shared" si="214"/>
        <v>ГОТОВ_ИЗМЕНЕН</v>
      </c>
      <c r="M3415" s="7">
        <f t="shared" si="215"/>
        <v>0</v>
      </c>
    </row>
    <row r="3416" spans="1:13" x14ac:dyDescent="0.25">
      <c r="A3416" s="1">
        <v>945883</v>
      </c>
      <c r="B3416" s="6" t="s">
        <v>3566</v>
      </c>
      <c r="F3416" s="6" t="s">
        <v>9</v>
      </c>
      <c r="G3416" s="6" t="s">
        <v>38</v>
      </c>
      <c r="H3416" s="9" t="s">
        <v>33</v>
      </c>
      <c r="I3416" s="7" t="str">
        <f t="shared" si="212"/>
        <v>61001005000</v>
      </c>
      <c r="J3416" s="7" t="str">
        <f t="shared" si="213"/>
        <v>Материал по ЕГРН</v>
      </c>
      <c r="K3416" s="7">
        <f>VLOOKUP(J3416,Лист2!A$2:B$4,2,FALSE)</f>
        <v>792</v>
      </c>
      <c r="L3416" s="7" t="str">
        <f t="shared" si="214"/>
        <v>ГОТОВ_ИЗМЕНЕН</v>
      </c>
      <c r="M3416" s="7">
        <f t="shared" si="215"/>
        <v>0</v>
      </c>
    </row>
    <row r="3417" spans="1:13" x14ac:dyDescent="0.25">
      <c r="A3417" s="1">
        <v>945895</v>
      </c>
      <c r="B3417" s="6" t="s">
        <v>3567</v>
      </c>
      <c r="F3417" s="6" t="s">
        <v>9</v>
      </c>
      <c r="G3417" s="6" t="s">
        <v>10</v>
      </c>
      <c r="H3417" s="9" t="s">
        <v>11</v>
      </c>
      <c r="I3417" s="7" t="str">
        <f t="shared" si="212"/>
        <v>61001003000</v>
      </c>
      <c r="J3417" s="7" t="str">
        <f t="shared" si="213"/>
        <v>Материал по ЕГРН</v>
      </c>
      <c r="K3417" s="7">
        <f>VLOOKUP(J3417,Лист2!A$2:B$4,2,FALSE)</f>
        <v>792</v>
      </c>
      <c r="L3417" s="7" t="str">
        <f t="shared" si="214"/>
        <v>ГОТОВ_ИЗМЕНЕН</v>
      </c>
      <c r="M3417" s="7">
        <f t="shared" si="215"/>
        <v>0</v>
      </c>
    </row>
    <row r="3418" spans="1:13" x14ac:dyDescent="0.25">
      <c r="A3418" s="1">
        <v>945907</v>
      </c>
      <c r="B3418" s="6" t="s">
        <v>3568</v>
      </c>
      <c r="F3418" s="6" t="s">
        <v>9</v>
      </c>
      <c r="G3418" s="6" t="s">
        <v>10</v>
      </c>
      <c r="H3418" s="9" t="s">
        <v>11</v>
      </c>
      <c r="I3418" s="7" t="str">
        <f t="shared" si="212"/>
        <v>61001003000</v>
      </c>
      <c r="J3418" s="7" t="str">
        <f t="shared" si="213"/>
        <v>Материал по ЕГРН</v>
      </c>
      <c r="K3418" s="7">
        <f>VLOOKUP(J3418,Лист2!A$2:B$4,2,FALSE)</f>
        <v>792</v>
      </c>
      <c r="L3418" s="7" t="str">
        <f t="shared" si="214"/>
        <v>ГОТОВ_ИЗМЕНЕН</v>
      </c>
      <c r="M3418" s="7">
        <f t="shared" si="215"/>
        <v>0</v>
      </c>
    </row>
    <row r="3419" spans="1:13" x14ac:dyDescent="0.25">
      <c r="A3419" s="1">
        <v>945919</v>
      </c>
      <c r="B3419" s="6" t="s">
        <v>3569</v>
      </c>
      <c r="F3419" s="6" t="s">
        <v>9</v>
      </c>
      <c r="G3419" s="6" t="s">
        <v>34</v>
      </c>
      <c r="H3419" s="9" t="s">
        <v>35</v>
      </c>
      <c r="I3419" s="7" t="str">
        <f t="shared" si="212"/>
        <v>61001002000</v>
      </c>
      <c r="J3419" s="7" t="str">
        <f t="shared" si="213"/>
        <v>Материал по ЕГРН</v>
      </c>
      <c r="K3419" s="7">
        <f>VLOOKUP(J3419,Лист2!A$2:B$4,2,FALSE)</f>
        <v>792</v>
      </c>
      <c r="L3419" s="7" t="str">
        <f t="shared" si="214"/>
        <v>ГОТОВ_ИЗМЕНЕН</v>
      </c>
      <c r="M3419" s="7">
        <f t="shared" si="215"/>
        <v>0</v>
      </c>
    </row>
    <row r="3420" spans="1:13" x14ac:dyDescent="0.25">
      <c r="A3420" s="1">
        <v>945931</v>
      </c>
      <c r="B3420" s="6" t="s">
        <v>3570</v>
      </c>
      <c r="F3420" s="6" t="s">
        <v>9</v>
      </c>
      <c r="G3420" s="6" t="s">
        <v>73</v>
      </c>
      <c r="H3420" s="9" t="s">
        <v>74</v>
      </c>
      <c r="I3420" s="7" t="str">
        <f t="shared" si="212"/>
        <v>61001006000</v>
      </c>
      <c r="J3420" s="7" t="str">
        <f t="shared" si="213"/>
        <v>Материал по ЕГРН</v>
      </c>
      <c r="K3420" s="7">
        <f>VLOOKUP(J3420,Лист2!A$2:B$4,2,FALSE)</f>
        <v>792</v>
      </c>
      <c r="L3420" s="7" t="str">
        <f t="shared" si="214"/>
        <v>ГОТОВ_ИЗМЕНЕН</v>
      </c>
      <c r="M3420" s="7">
        <f t="shared" si="215"/>
        <v>0</v>
      </c>
    </row>
    <row r="3421" spans="1:13" x14ac:dyDescent="0.25">
      <c r="A3421" s="1">
        <v>945943</v>
      </c>
      <c r="B3421" s="6" t="s">
        <v>3571</v>
      </c>
      <c r="F3421" s="6" t="s">
        <v>9</v>
      </c>
      <c r="G3421" s="6" t="s">
        <v>843</v>
      </c>
      <c r="H3421" s="9" t="s">
        <v>844</v>
      </c>
      <c r="I3421" s="7" t="str">
        <f t="shared" si="212"/>
        <v>61001003001</v>
      </c>
      <c r="J3421" s="7" t="str">
        <f t="shared" si="213"/>
        <v>Материал по ЕГРН</v>
      </c>
      <c r="K3421" s="7">
        <f>VLOOKUP(J3421,Лист2!A$2:B$4,2,FALSE)</f>
        <v>792</v>
      </c>
      <c r="L3421" s="7" t="str">
        <f t="shared" si="214"/>
        <v>ГОТОВ_ИЗМЕНЕН</v>
      </c>
      <c r="M3421" s="7">
        <f t="shared" si="215"/>
        <v>0</v>
      </c>
    </row>
    <row r="3422" spans="1:13" x14ac:dyDescent="0.25">
      <c r="A3422" s="1">
        <v>945955</v>
      </c>
      <c r="B3422" s="6" t="s">
        <v>3572</v>
      </c>
      <c r="F3422" s="6" t="s">
        <v>9</v>
      </c>
      <c r="G3422" s="6" t="s">
        <v>62</v>
      </c>
      <c r="H3422" s="9" t="s">
        <v>63</v>
      </c>
      <c r="I3422" s="7" t="str">
        <f t="shared" si="212"/>
        <v>61001006002</v>
      </c>
      <c r="J3422" s="7" t="str">
        <f t="shared" si="213"/>
        <v>Материал по ЕГРН</v>
      </c>
      <c r="K3422" s="7">
        <f>VLOOKUP(J3422,Лист2!A$2:B$4,2,FALSE)</f>
        <v>792</v>
      </c>
      <c r="L3422" s="7" t="str">
        <f t="shared" si="214"/>
        <v>ГОТОВ_ИЗМЕНЕН</v>
      </c>
      <c r="M3422" s="7">
        <f t="shared" si="215"/>
        <v>0</v>
      </c>
    </row>
    <row r="3423" spans="1:13" x14ac:dyDescent="0.25">
      <c r="A3423" s="1">
        <v>945967</v>
      </c>
      <c r="B3423" s="6" t="s">
        <v>3573</v>
      </c>
      <c r="F3423" s="6" t="s">
        <v>9</v>
      </c>
      <c r="G3423" s="6" t="s">
        <v>38</v>
      </c>
      <c r="H3423" s="9" t="s">
        <v>33</v>
      </c>
      <c r="I3423" s="7" t="str">
        <f t="shared" si="212"/>
        <v>61001005000</v>
      </c>
      <c r="J3423" s="7" t="str">
        <f t="shared" si="213"/>
        <v>Материал по ЕГРН</v>
      </c>
      <c r="K3423" s="7">
        <f>VLOOKUP(J3423,Лист2!A$2:B$4,2,FALSE)</f>
        <v>792</v>
      </c>
      <c r="L3423" s="7" t="str">
        <f t="shared" si="214"/>
        <v>ГОТОВ_ИЗМЕНЕН</v>
      </c>
      <c r="M3423" s="7">
        <f t="shared" si="215"/>
        <v>0</v>
      </c>
    </row>
    <row r="3424" spans="1:13" x14ac:dyDescent="0.25">
      <c r="A3424" s="1">
        <v>945979</v>
      </c>
      <c r="B3424" s="6" t="s">
        <v>3574</v>
      </c>
      <c r="F3424" s="6" t="s">
        <v>9</v>
      </c>
      <c r="G3424" s="6" t="s">
        <v>62</v>
      </c>
      <c r="H3424" s="9" t="s">
        <v>63</v>
      </c>
      <c r="I3424" s="7" t="str">
        <f t="shared" si="212"/>
        <v>61001006002</v>
      </c>
      <c r="J3424" s="7" t="str">
        <f t="shared" si="213"/>
        <v>Материал по ЕГРН</v>
      </c>
      <c r="K3424" s="7">
        <f>VLOOKUP(J3424,Лист2!A$2:B$4,2,FALSE)</f>
        <v>792</v>
      </c>
      <c r="L3424" s="7" t="str">
        <f t="shared" si="214"/>
        <v>ГОТОВ_ИЗМЕНЕН</v>
      </c>
      <c r="M3424" s="7">
        <f t="shared" si="215"/>
        <v>0</v>
      </c>
    </row>
    <row r="3425" spans="1:13" x14ac:dyDescent="0.25">
      <c r="A3425" s="1">
        <v>945991</v>
      </c>
      <c r="B3425" s="6" t="s">
        <v>3575</v>
      </c>
      <c r="F3425" s="6" t="s">
        <v>9</v>
      </c>
      <c r="G3425" s="6" t="s">
        <v>38</v>
      </c>
      <c r="H3425" s="9" t="s">
        <v>33</v>
      </c>
      <c r="I3425" s="7" t="str">
        <f t="shared" si="212"/>
        <v>61001005000</v>
      </c>
      <c r="J3425" s="7" t="str">
        <f t="shared" si="213"/>
        <v>Материал по ЕГРН</v>
      </c>
      <c r="K3425" s="7">
        <f>VLOOKUP(J3425,Лист2!A$2:B$4,2,FALSE)</f>
        <v>792</v>
      </c>
      <c r="L3425" s="7" t="str">
        <f t="shared" si="214"/>
        <v>ГОТОВ_ИЗМЕНЕН</v>
      </c>
      <c r="M3425" s="7">
        <f t="shared" si="215"/>
        <v>0</v>
      </c>
    </row>
    <row r="3426" spans="1:13" x14ac:dyDescent="0.25">
      <c r="A3426" s="1">
        <v>946003</v>
      </c>
      <c r="B3426" s="6" t="s">
        <v>3576</v>
      </c>
      <c r="F3426" s="6" t="s">
        <v>9</v>
      </c>
      <c r="G3426" s="6" t="s">
        <v>139</v>
      </c>
      <c r="H3426" s="9" t="s">
        <v>140</v>
      </c>
      <c r="I3426" s="7" t="str">
        <f t="shared" si="212"/>
        <v>61001999000</v>
      </c>
      <c r="J3426" s="7" t="str">
        <f t="shared" si="213"/>
        <v>Материал по ЕГРН</v>
      </c>
      <c r="K3426" s="7">
        <f>VLOOKUP(J3426,Лист2!A$2:B$4,2,FALSE)</f>
        <v>792</v>
      </c>
      <c r="L3426" s="7" t="str">
        <f t="shared" si="214"/>
        <v>ГОТОВ_ИЗМЕНЕН</v>
      </c>
      <c r="M3426" s="7">
        <f t="shared" si="215"/>
        <v>0</v>
      </c>
    </row>
    <row r="3427" spans="1:13" x14ac:dyDescent="0.25">
      <c r="A3427" s="1">
        <v>946015</v>
      </c>
      <c r="B3427" s="6" t="s">
        <v>3577</v>
      </c>
      <c r="F3427" s="6" t="s">
        <v>9</v>
      </c>
      <c r="G3427" s="6" t="s">
        <v>38</v>
      </c>
      <c r="H3427" s="9" t="s">
        <v>33</v>
      </c>
      <c r="I3427" s="7" t="str">
        <f t="shared" si="212"/>
        <v>61001005000</v>
      </c>
      <c r="J3427" s="7" t="str">
        <f t="shared" si="213"/>
        <v>Материал по ЕГРН</v>
      </c>
      <c r="K3427" s="7">
        <f>VLOOKUP(J3427,Лист2!A$2:B$4,2,FALSE)</f>
        <v>792</v>
      </c>
      <c r="L3427" s="7" t="str">
        <f t="shared" si="214"/>
        <v>ГОТОВ_ИЗМЕНЕН</v>
      </c>
      <c r="M3427" s="7">
        <f t="shared" si="215"/>
        <v>0</v>
      </c>
    </row>
    <row r="3428" spans="1:13" x14ac:dyDescent="0.25">
      <c r="A3428" s="1">
        <v>946027</v>
      </c>
      <c r="B3428" s="6" t="s">
        <v>3578</v>
      </c>
      <c r="F3428" s="6" t="s">
        <v>9</v>
      </c>
      <c r="G3428" s="6" t="s">
        <v>90</v>
      </c>
      <c r="H3428" s="9" t="s">
        <v>12</v>
      </c>
      <c r="I3428" s="7" t="str">
        <f t="shared" si="212"/>
        <v>61001008000</v>
      </c>
      <c r="J3428" s="7" t="str">
        <f t="shared" si="213"/>
        <v>Материал по ЕГРН</v>
      </c>
      <c r="K3428" s="7">
        <f>VLOOKUP(J3428,Лист2!A$2:B$4,2,FALSE)</f>
        <v>792</v>
      </c>
      <c r="L3428" s="7" t="str">
        <f t="shared" si="214"/>
        <v>ГОТОВ_ИЗМЕНЕН</v>
      </c>
      <c r="M3428" s="7">
        <f t="shared" si="215"/>
        <v>0</v>
      </c>
    </row>
    <row r="3429" spans="1:13" x14ac:dyDescent="0.25">
      <c r="A3429" s="1">
        <v>946039</v>
      </c>
      <c r="B3429" s="6" t="s">
        <v>3579</v>
      </c>
      <c r="F3429" s="6" t="s">
        <v>9</v>
      </c>
      <c r="G3429" s="6" t="s">
        <v>10</v>
      </c>
      <c r="H3429" s="9" t="s">
        <v>11</v>
      </c>
      <c r="I3429" s="7" t="str">
        <f t="shared" si="212"/>
        <v>61001003000</v>
      </c>
      <c r="J3429" s="7" t="str">
        <f t="shared" si="213"/>
        <v>Материал по ЕГРН</v>
      </c>
      <c r="K3429" s="7">
        <f>VLOOKUP(J3429,Лист2!A$2:B$4,2,FALSE)</f>
        <v>792</v>
      </c>
      <c r="L3429" s="7" t="str">
        <f t="shared" si="214"/>
        <v>ГОТОВ_ИЗМЕНЕН</v>
      </c>
      <c r="M3429" s="7">
        <f t="shared" si="215"/>
        <v>0</v>
      </c>
    </row>
    <row r="3430" spans="1:13" x14ac:dyDescent="0.25">
      <c r="A3430" s="1">
        <v>946051</v>
      </c>
      <c r="B3430" s="6" t="s">
        <v>3580</v>
      </c>
      <c r="F3430" s="6" t="s">
        <v>9</v>
      </c>
      <c r="G3430" s="6" t="s">
        <v>90</v>
      </c>
      <c r="H3430" s="9" t="s">
        <v>12</v>
      </c>
      <c r="I3430" s="7" t="str">
        <f t="shared" si="212"/>
        <v>61001008000</v>
      </c>
      <c r="J3430" s="7" t="str">
        <f t="shared" si="213"/>
        <v>Материал по ЕГРН</v>
      </c>
      <c r="K3430" s="7">
        <f>VLOOKUP(J3430,Лист2!A$2:B$4,2,FALSE)</f>
        <v>792</v>
      </c>
      <c r="L3430" s="7" t="str">
        <f t="shared" si="214"/>
        <v>ГОТОВ_ИЗМЕНЕН</v>
      </c>
      <c r="M3430" s="7">
        <f t="shared" si="215"/>
        <v>0</v>
      </c>
    </row>
    <row r="3431" spans="1:13" x14ac:dyDescent="0.25">
      <c r="A3431" s="1">
        <v>946063</v>
      </c>
      <c r="B3431" s="6" t="s">
        <v>3581</v>
      </c>
      <c r="F3431" s="6" t="s">
        <v>9</v>
      </c>
      <c r="G3431" s="6" t="s">
        <v>62</v>
      </c>
      <c r="H3431" s="9" t="s">
        <v>63</v>
      </c>
      <c r="I3431" s="7" t="str">
        <f t="shared" si="212"/>
        <v>61001006002</v>
      </c>
      <c r="J3431" s="7" t="str">
        <f t="shared" si="213"/>
        <v>Материал по ЕГРН</v>
      </c>
      <c r="K3431" s="7">
        <f>VLOOKUP(J3431,Лист2!A$2:B$4,2,FALSE)</f>
        <v>792</v>
      </c>
      <c r="L3431" s="7" t="str">
        <f t="shared" si="214"/>
        <v>ГОТОВ_ИЗМЕНЕН</v>
      </c>
      <c r="M3431" s="7">
        <f t="shared" si="215"/>
        <v>0</v>
      </c>
    </row>
    <row r="3432" spans="1:13" x14ac:dyDescent="0.25">
      <c r="A3432" s="1">
        <v>946075</v>
      </c>
      <c r="B3432" s="6" t="s">
        <v>3582</v>
      </c>
      <c r="F3432" s="6" t="s">
        <v>9</v>
      </c>
      <c r="G3432" s="6" t="s">
        <v>62</v>
      </c>
      <c r="H3432" s="9" t="s">
        <v>63</v>
      </c>
      <c r="I3432" s="7" t="str">
        <f t="shared" si="212"/>
        <v>61001006002</v>
      </c>
      <c r="J3432" s="7" t="str">
        <f t="shared" si="213"/>
        <v>Материал по ЕГРН</v>
      </c>
      <c r="K3432" s="7">
        <f>VLOOKUP(J3432,Лист2!A$2:B$4,2,FALSE)</f>
        <v>792</v>
      </c>
      <c r="L3432" s="7" t="str">
        <f t="shared" si="214"/>
        <v>ГОТОВ_ИЗМЕНЕН</v>
      </c>
      <c r="M3432" s="7">
        <f t="shared" si="215"/>
        <v>0</v>
      </c>
    </row>
    <row r="3433" spans="1:13" x14ac:dyDescent="0.25">
      <c r="A3433" s="1">
        <v>946087</v>
      </c>
      <c r="B3433" s="6" t="s">
        <v>3583</v>
      </c>
      <c r="F3433" s="6" t="s">
        <v>9</v>
      </c>
      <c r="G3433" s="6" t="s">
        <v>34</v>
      </c>
      <c r="H3433" s="9" t="s">
        <v>35</v>
      </c>
      <c r="I3433" s="7" t="str">
        <f t="shared" si="212"/>
        <v>61001002000</v>
      </c>
      <c r="J3433" s="7" t="str">
        <f t="shared" si="213"/>
        <v>Материал по ЕГРН</v>
      </c>
      <c r="K3433" s="7">
        <f>VLOOKUP(J3433,Лист2!A$2:B$4,2,FALSE)</f>
        <v>792</v>
      </c>
      <c r="L3433" s="7" t="str">
        <f t="shared" si="214"/>
        <v>ГОТОВ_ИЗМЕНЕН</v>
      </c>
      <c r="M3433" s="7">
        <f t="shared" si="215"/>
        <v>0</v>
      </c>
    </row>
    <row r="3434" spans="1:13" x14ac:dyDescent="0.25">
      <c r="A3434" s="1">
        <v>946099</v>
      </c>
      <c r="B3434" s="6" t="s">
        <v>3584</v>
      </c>
      <c r="F3434" s="6" t="s">
        <v>9</v>
      </c>
      <c r="G3434" s="6" t="s">
        <v>38</v>
      </c>
      <c r="H3434" s="9" t="s">
        <v>33</v>
      </c>
      <c r="I3434" s="7" t="str">
        <f t="shared" si="212"/>
        <v>61001005000</v>
      </c>
      <c r="J3434" s="7" t="str">
        <f t="shared" si="213"/>
        <v>Материал по ЕГРН</v>
      </c>
      <c r="K3434" s="7">
        <f>VLOOKUP(J3434,Лист2!A$2:B$4,2,FALSE)</f>
        <v>792</v>
      </c>
      <c r="L3434" s="7" t="str">
        <f t="shared" si="214"/>
        <v>ГОТОВ_ИЗМЕНЕН</v>
      </c>
      <c r="M3434" s="7">
        <f t="shared" si="215"/>
        <v>0</v>
      </c>
    </row>
    <row r="3435" spans="1:13" x14ac:dyDescent="0.25">
      <c r="A3435" s="1">
        <v>946111</v>
      </c>
      <c r="B3435" s="6" t="s">
        <v>3585</v>
      </c>
      <c r="F3435" s="6" t="s">
        <v>9</v>
      </c>
      <c r="G3435" s="6" t="s">
        <v>10</v>
      </c>
      <c r="H3435" s="9" t="s">
        <v>11</v>
      </c>
      <c r="I3435" s="7" t="str">
        <f t="shared" si="212"/>
        <v>61001003000</v>
      </c>
      <c r="J3435" s="7" t="str">
        <f t="shared" si="213"/>
        <v>Материал по ЕГРН</v>
      </c>
      <c r="K3435" s="7">
        <f>VLOOKUP(J3435,Лист2!A$2:B$4,2,FALSE)</f>
        <v>792</v>
      </c>
      <c r="L3435" s="7" t="str">
        <f t="shared" si="214"/>
        <v>ГОТОВ_ИЗМЕНЕН</v>
      </c>
      <c r="M3435" s="7">
        <f t="shared" si="215"/>
        <v>0</v>
      </c>
    </row>
    <row r="3436" spans="1:13" x14ac:dyDescent="0.25">
      <c r="A3436" s="1">
        <v>946123</v>
      </c>
      <c r="B3436" s="6" t="s">
        <v>3586</v>
      </c>
      <c r="F3436" s="6" t="s">
        <v>9</v>
      </c>
      <c r="G3436" s="6" t="s">
        <v>62</v>
      </c>
      <c r="H3436" s="9" t="s">
        <v>63</v>
      </c>
      <c r="I3436" s="7" t="str">
        <f t="shared" si="212"/>
        <v>61001006002</v>
      </c>
      <c r="J3436" s="7" t="str">
        <f t="shared" si="213"/>
        <v>Материал по ЕГРН</v>
      </c>
      <c r="K3436" s="7">
        <f>VLOOKUP(J3436,Лист2!A$2:B$4,2,FALSE)</f>
        <v>792</v>
      </c>
      <c r="L3436" s="7" t="str">
        <f t="shared" si="214"/>
        <v>ГОТОВ_ИЗМЕНЕН</v>
      </c>
      <c r="M3436" s="7">
        <f t="shared" si="215"/>
        <v>0</v>
      </c>
    </row>
    <row r="3437" spans="1:13" x14ac:dyDescent="0.25">
      <c r="A3437" s="1">
        <v>946135</v>
      </c>
      <c r="B3437" s="6" t="s">
        <v>3587</v>
      </c>
      <c r="F3437" s="6" t="s">
        <v>9</v>
      </c>
      <c r="G3437" s="6" t="s">
        <v>34</v>
      </c>
      <c r="H3437" s="9" t="s">
        <v>35</v>
      </c>
      <c r="I3437" s="7" t="str">
        <f t="shared" si="212"/>
        <v>61001002000</v>
      </c>
      <c r="J3437" s="7" t="str">
        <f t="shared" si="213"/>
        <v>Материал по ЕГРН</v>
      </c>
      <c r="K3437" s="7">
        <f>VLOOKUP(J3437,Лист2!A$2:B$4,2,FALSE)</f>
        <v>792</v>
      </c>
      <c r="L3437" s="7" t="str">
        <f t="shared" si="214"/>
        <v>ГОТОВ_ИЗМЕНЕН</v>
      </c>
      <c r="M3437" s="7">
        <f t="shared" si="215"/>
        <v>0</v>
      </c>
    </row>
    <row r="3438" spans="1:13" x14ac:dyDescent="0.25">
      <c r="A3438" s="1">
        <v>946147</v>
      </c>
      <c r="B3438" s="6" t="s">
        <v>3588</v>
      </c>
      <c r="F3438" s="6" t="s">
        <v>9</v>
      </c>
      <c r="G3438" s="6" t="s">
        <v>59</v>
      </c>
      <c r="H3438" s="9" t="s">
        <v>60</v>
      </c>
      <c r="I3438" s="7" t="str">
        <f t="shared" si="212"/>
        <v>61001001001</v>
      </c>
      <c r="J3438" s="7" t="str">
        <f t="shared" si="213"/>
        <v>Материал по ЕГРН</v>
      </c>
      <c r="K3438" s="7">
        <f>VLOOKUP(J3438,Лист2!A$2:B$4,2,FALSE)</f>
        <v>792</v>
      </c>
      <c r="L3438" s="7" t="str">
        <f t="shared" si="214"/>
        <v>ГОТОВ_ИЗМЕНЕН</v>
      </c>
      <c r="M3438" s="7">
        <f t="shared" si="215"/>
        <v>0</v>
      </c>
    </row>
    <row r="3439" spans="1:13" x14ac:dyDescent="0.25">
      <c r="A3439" s="1">
        <v>946159</v>
      </c>
      <c r="B3439" s="6" t="s">
        <v>3589</v>
      </c>
      <c r="F3439" s="6" t="s">
        <v>9</v>
      </c>
      <c r="G3439" s="6" t="s">
        <v>38</v>
      </c>
      <c r="H3439" s="9" t="s">
        <v>33</v>
      </c>
      <c r="I3439" s="7" t="str">
        <f t="shared" si="212"/>
        <v>61001005000</v>
      </c>
      <c r="J3439" s="7" t="str">
        <f t="shared" si="213"/>
        <v>Материал по ЕГРН</v>
      </c>
      <c r="K3439" s="7">
        <f>VLOOKUP(J3439,Лист2!A$2:B$4,2,FALSE)</f>
        <v>792</v>
      </c>
      <c r="L3439" s="7" t="str">
        <f t="shared" si="214"/>
        <v>ГОТОВ_ИЗМЕНЕН</v>
      </c>
      <c r="M3439" s="7">
        <f t="shared" si="215"/>
        <v>0</v>
      </c>
    </row>
    <row r="3440" spans="1:13" x14ac:dyDescent="0.25">
      <c r="A3440" s="1">
        <v>320379</v>
      </c>
      <c r="B3440" s="6" t="s">
        <v>3590</v>
      </c>
      <c r="C3440" s="9" t="s">
        <v>33</v>
      </c>
      <c r="D3440" s="6" t="s">
        <v>20</v>
      </c>
      <c r="E3440" s="6" t="s">
        <v>37</v>
      </c>
      <c r="F3440" s="6" t="s">
        <v>9</v>
      </c>
      <c r="G3440" s="6" t="s">
        <v>38</v>
      </c>
      <c r="H3440" s="9" t="s">
        <v>33</v>
      </c>
      <c r="I3440" s="7" t="str">
        <f t="shared" si="212"/>
        <v>61001005000</v>
      </c>
      <c r="J3440" s="7" t="str">
        <f t="shared" si="213"/>
        <v>Материал по ЕГРН</v>
      </c>
      <c r="K3440" s="7">
        <f>VLOOKUP(J3440,Лист2!A$2:B$4,2,FALSE)</f>
        <v>792</v>
      </c>
      <c r="L3440" s="7" t="str">
        <f t="shared" si="214"/>
        <v>ГОТОВ</v>
      </c>
      <c r="M3440" s="7" t="str">
        <f t="shared" si="215"/>
        <v>61001005000</v>
      </c>
    </row>
    <row r="3441" spans="1:13" x14ac:dyDescent="0.25">
      <c r="A3441" s="1">
        <v>805749</v>
      </c>
      <c r="B3441" s="6" t="s">
        <v>3591</v>
      </c>
      <c r="C3441" s="9" t="s">
        <v>33</v>
      </c>
      <c r="D3441" s="6" t="s">
        <v>20</v>
      </c>
      <c r="E3441" s="6" t="s">
        <v>37</v>
      </c>
      <c r="F3441" s="6" t="s">
        <v>9</v>
      </c>
      <c r="G3441" s="6" t="s">
        <v>38</v>
      </c>
      <c r="H3441" s="9" t="s">
        <v>33</v>
      </c>
      <c r="I3441" s="7" t="str">
        <f t="shared" si="212"/>
        <v>61001005000</v>
      </c>
      <c r="J3441" s="7" t="str">
        <f t="shared" si="213"/>
        <v>Материал по ЕГРН</v>
      </c>
      <c r="K3441" s="7">
        <f>VLOOKUP(J3441,Лист2!A$2:B$4,2,FALSE)</f>
        <v>792</v>
      </c>
      <c r="L3441" s="7" t="str">
        <f t="shared" si="214"/>
        <v>ГОТОВ</v>
      </c>
      <c r="M3441" s="7" t="str">
        <f t="shared" si="215"/>
        <v>61001005000</v>
      </c>
    </row>
    <row r="3442" spans="1:13" x14ac:dyDescent="0.25">
      <c r="A3442" s="1">
        <v>945499</v>
      </c>
      <c r="B3442" s="6" t="s">
        <v>3592</v>
      </c>
      <c r="F3442" s="6" t="s">
        <v>9</v>
      </c>
      <c r="G3442" s="6" t="s">
        <v>38</v>
      </c>
      <c r="H3442" s="9" t="s">
        <v>33</v>
      </c>
      <c r="I3442" s="7" t="str">
        <f t="shared" si="212"/>
        <v>61001005000</v>
      </c>
      <c r="J3442" s="7" t="str">
        <f t="shared" si="213"/>
        <v>Материал по ЕГРН</v>
      </c>
      <c r="K3442" s="7">
        <f>VLOOKUP(J3442,Лист2!A$2:B$4,2,FALSE)</f>
        <v>792</v>
      </c>
      <c r="L3442" s="7" t="str">
        <f t="shared" si="214"/>
        <v>ГОТОВ_ИЗМЕНЕН</v>
      </c>
      <c r="M3442" s="7">
        <f t="shared" si="215"/>
        <v>0</v>
      </c>
    </row>
    <row r="3443" spans="1:13" x14ac:dyDescent="0.25">
      <c r="A3443" s="1">
        <v>945511</v>
      </c>
      <c r="B3443" s="6" t="s">
        <v>3593</v>
      </c>
      <c r="F3443" s="6" t="s">
        <v>9</v>
      </c>
      <c r="G3443" s="6" t="s">
        <v>10</v>
      </c>
      <c r="H3443" s="9" t="s">
        <v>11</v>
      </c>
      <c r="I3443" s="7" t="str">
        <f t="shared" si="212"/>
        <v>61001003000</v>
      </c>
      <c r="J3443" s="7" t="str">
        <f t="shared" si="213"/>
        <v>Материал по ЕГРН</v>
      </c>
      <c r="K3443" s="7">
        <f>VLOOKUP(J3443,Лист2!A$2:B$4,2,FALSE)</f>
        <v>792</v>
      </c>
      <c r="L3443" s="7" t="str">
        <f t="shared" si="214"/>
        <v>ГОТОВ_ИЗМЕНЕН</v>
      </c>
      <c r="M3443" s="7">
        <f t="shared" si="215"/>
        <v>0</v>
      </c>
    </row>
    <row r="3444" spans="1:13" x14ac:dyDescent="0.25">
      <c r="A3444" s="1">
        <v>945523</v>
      </c>
      <c r="B3444" s="6" t="s">
        <v>3594</v>
      </c>
      <c r="F3444" s="6" t="s">
        <v>9</v>
      </c>
      <c r="G3444" s="6" t="s">
        <v>34</v>
      </c>
      <c r="H3444" s="9" t="s">
        <v>35</v>
      </c>
      <c r="I3444" s="7" t="str">
        <f t="shared" si="212"/>
        <v>61001002000</v>
      </c>
      <c r="J3444" s="7" t="str">
        <f t="shared" si="213"/>
        <v>Материал по ЕГРН</v>
      </c>
      <c r="K3444" s="7">
        <f>VLOOKUP(J3444,Лист2!A$2:B$4,2,FALSE)</f>
        <v>792</v>
      </c>
      <c r="L3444" s="7" t="str">
        <f t="shared" si="214"/>
        <v>ГОТОВ_ИЗМЕНЕН</v>
      </c>
      <c r="M3444" s="7">
        <f t="shared" si="215"/>
        <v>0</v>
      </c>
    </row>
    <row r="3445" spans="1:13" x14ac:dyDescent="0.25">
      <c r="A3445" s="1">
        <v>945535</v>
      </c>
      <c r="B3445" s="6" t="s">
        <v>3595</v>
      </c>
      <c r="F3445" s="6" t="s">
        <v>9</v>
      </c>
      <c r="G3445" s="6" t="s">
        <v>10</v>
      </c>
      <c r="H3445" s="9" t="s">
        <v>11</v>
      </c>
      <c r="I3445" s="7" t="str">
        <f t="shared" si="212"/>
        <v>61001003000</v>
      </c>
      <c r="J3445" s="7" t="str">
        <f t="shared" si="213"/>
        <v>Материал по ЕГРН</v>
      </c>
      <c r="K3445" s="7">
        <f>VLOOKUP(J3445,Лист2!A$2:B$4,2,FALSE)</f>
        <v>792</v>
      </c>
      <c r="L3445" s="7" t="str">
        <f t="shared" si="214"/>
        <v>ГОТОВ_ИЗМЕНЕН</v>
      </c>
      <c r="M3445" s="7">
        <f t="shared" si="215"/>
        <v>0</v>
      </c>
    </row>
    <row r="3446" spans="1:13" x14ac:dyDescent="0.25">
      <c r="A3446" s="1">
        <v>945547</v>
      </c>
      <c r="B3446" s="6" t="s">
        <v>3596</v>
      </c>
      <c r="F3446" s="6" t="s">
        <v>9</v>
      </c>
      <c r="G3446" s="6" t="s">
        <v>10</v>
      </c>
      <c r="H3446" s="9" t="s">
        <v>11</v>
      </c>
      <c r="I3446" s="7" t="str">
        <f t="shared" si="212"/>
        <v>61001003000</v>
      </c>
      <c r="J3446" s="7" t="str">
        <f t="shared" si="213"/>
        <v>Материал по ЕГРН</v>
      </c>
      <c r="K3446" s="7">
        <f>VLOOKUP(J3446,Лист2!A$2:B$4,2,FALSE)</f>
        <v>792</v>
      </c>
      <c r="L3446" s="7" t="str">
        <f t="shared" si="214"/>
        <v>ГОТОВ_ИЗМЕНЕН</v>
      </c>
      <c r="M3446" s="7">
        <f t="shared" si="215"/>
        <v>0</v>
      </c>
    </row>
    <row r="3447" spans="1:13" x14ac:dyDescent="0.25">
      <c r="A3447" s="1">
        <v>945559</v>
      </c>
      <c r="B3447" s="6" t="s">
        <v>3597</v>
      </c>
      <c r="F3447" s="6" t="s">
        <v>9</v>
      </c>
      <c r="G3447" s="6" t="s">
        <v>38</v>
      </c>
      <c r="H3447" s="9" t="s">
        <v>33</v>
      </c>
      <c r="I3447" s="7" t="str">
        <f t="shared" si="212"/>
        <v>61001005000</v>
      </c>
      <c r="J3447" s="7" t="str">
        <f t="shared" si="213"/>
        <v>Материал по ЕГРН</v>
      </c>
      <c r="K3447" s="7">
        <f>VLOOKUP(J3447,Лист2!A$2:B$4,2,FALSE)</f>
        <v>792</v>
      </c>
      <c r="L3447" s="7" t="str">
        <f t="shared" si="214"/>
        <v>ГОТОВ_ИЗМЕНЕН</v>
      </c>
      <c r="M3447" s="7">
        <f t="shared" si="215"/>
        <v>0</v>
      </c>
    </row>
    <row r="3448" spans="1:13" x14ac:dyDescent="0.25">
      <c r="A3448" s="1">
        <v>945571</v>
      </c>
      <c r="B3448" s="6" t="s">
        <v>3598</v>
      </c>
      <c r="F3448" s="6" t="s">
        <v>9</v>
      </c>
      <c r="G3448" s="6" t="s">
        <v>10</v>
      </c>
      <c r="H3448" s="9" t="s">
        <v>11</v>
      </c>
      <c r="I3448" s="7" t="str">
        <f t="shared" si="212"/>
        <v>61001003000</v>
      </c>
      <c r="J3448" s="7" t="str">
        <f t="shared" si="213"/>
        <v>Материал по ЕГРН</v>
      </c>
      <c r="K3448" s="7">
        <f>VLOOKUP(J3448,Лист2!A$2:B$4,2,FALSE)</f>
        <v>792</v>
      </c>
      <c r="L3448" s="7" t="str">
        <f t="shared" si="214"/>
        <v>ГОТОВ_ИЗМЕНЕН</v>
      </c>
      <c r="M3448" s="7">
        <f t="shared" si="215"/>
        <v>0</v>
      </c>
    </row>
    <row r="3449" spans="1:13" x14ac:dyDescent="0.25">
      <c r="A3449" s="1">
        <v>945583</v>
      </c>
      <c r="B3449" s="6" t="s">
        <v>3599</v>
      </c>
      <c r="F3449" s="6" t="s">
        <v>9</v>
      </c>
      <c r="G3449" s="6" t="s">
        <v>59</v>
      </c>
      <c r="H3449" s="9" t="s">
        <v>60</v>
      </c>
      <c r="I3449" s="7" t="str">
        <f t="shared" si="212"/>
        <v>61001001001</v>
      </c>
      <c r="J3449" s="7" t="str">
        <f t="shared" si="213"/>
        <v>Материал по ЕГРН</v>
      </c>
      <c r="K3449" s="7">
        <f>VLOOKUP(J3449,Лист2!A$2:B$4,2,FALSE)</f>
        <v>792</v>
      </c>
      <c r="L3449" s="7" t="str">
        <f t="shared" si="214"/>
        <v>ГОТОВ_ИЗМЕНЕН</v>
      </c>
      <c r="M3449" s="7">
        <f t="shared" si="215"/>
        <v>0</v>
      </c>
    </row>
    <row r="3450" spans="1:13" x14ac:dyDescent="0.25">
      <c r="A3450" s="1">
        <v>945595</v>
      </c>
      <c r="B3450" s="6" t="s">
        <v>3600</v>
      </c>
      <c r="F3450" s="6" t="s">
        <v>9</v>
      </c>
      <c r="G3450" s="6" t="s">
        <v>38</v>
      </c>
      <c r="H3450" s="9" t="s">
        <v>33</v>
      </c>
      <c r="I3450" s="7" t="str">
        <f t="shared" si="212"/>
        <v>61001005000</v>
      </c>
      <c r="J3450" s="7" t="str">
        <f t="shared" si="213"/>
        <v>Материал по ЕГРН</v>
      </c>
      <c r="K3450" s="7">
        <f>VLOOKUP(J3450,Лист2!A$2:B$4,2,FALSE)</f>
        <v>792</v>
      </c>
      <c r="L3450" s="7" t="str">
        <f t="shared" si="214"/>
        <v>ГОТОВ_ИЗМЕНЕН</v>
      </c>
      <c r="M3450" s="7">
        <f t="shared" si="215"/>
        <v>0</v>
      </c>
    </row>
    <row r="3451" spans="1:13" x14ac:dyDescent="0.25">
      <c r="A3451" s="1">
        <v>945607</v>
      </c>
      <c r="B3451" s="6" t="s">
        <v>3601</v>
      </c>
      <c r="F3451" s="6" t="s">
        <v>9</v>
      </c>
      <c r="G3451" s="6" t="s">
        <v>90</v>
      </c>
      <c r="H3451" s="9" t="s">
        <v>12</v>
      </c>
      <c r="I3451" s="7" t="str">
        <f t="shared" si="212"/>
        <v>61001008000</v>
      </c>
      <c r="J3451" s="7" t="str">
        <f t="shared" si="213"/>
        <v>Материал по ЕГРН</v>
      </c>
      <c r="K3451" s="7">
        <f>VLOOKUP(J3451,Лист2!A$2:B$4,2,FALSE)</f>
        <v>792</v>
      </c>
      <c r="L3451" s="7" t="str">
        <f t="shared" si="214"/>
        <v>ГОТОВ_ИЗМЕНЕН</v>
      </c>
      <c r="M3451" s="7">
        <f t="shared" si="215"/>
        <v>0</v>
      </c>
    </row>
    <row r="3452" spans="1:13" x14ac:dyDescent="0.25">
      <c r="A3452" s="1">
        <v>945619</v>
      </c>
      <c r="B3452" s="6" t="s">
        <v>3602</v>
      </c>
      <c r="F3452" s="6" t="s">
        <v>9</v>
      </c>
      <c r="G3452" s="6" t="s">
        <v>38</v>
      </c>
      <c r="H3452" s="9" t="s">
        <v>33</v>
      </c>
      <c r="I3452" s="7" t="str">
        <f t="shared" si="212"/>
        <v>61001005000</v>
      </c>
      <c r="J3452" s="7" t="str">
        <f t="shared" si="213"/>
        <v>Материал по ЕГРН</v>
      </c>
      <c r="K3452" s="7">
        <f>VLOOKUP(J3452,Лист2!A$2:B$4,2,FALSE)</f>
        <v>792</v>
      </c>
      <c r="L3452" s="7" t="str">
        <f t="shared" si="214"/>
        <v>ГОТОВ_ИЗМЕНЕН</v>
      </c>
      <c r="M3452" s="7">
        <f t="shared" si="215"/>
        <v>0</v>
      </c>
    </row>
    <row r="3453" spans="1:13" x14ac:dyDescent="0.25">
      <c r="A3453" s="1">
        <v>945631</v>
      </c>
      <c r="B3453" s="6" t="s">
        <v>3603</v>
      </c>
      <c r="F3453" s="6" t="s">
        <v>9</v>
      </c>
      <c r="G3453" s="6" t="s">
        <v>59</v>
      </c>
      <c r="H3453" s="9" t="s">
        <v>60</v>
      </c>
      <c r="I3453" s="7" t="str">
        <f t="shared" si="212"/>
        <v>61001001001</v>
      </c>
      <c r="J3453" s="7" t="str">
        <f t="shared" si="213"/>
        <v>Материал по ЕГРН</v>
      </c>
      <c r="K3453" s="7">
        <f>VLOOKUP(J3453,Лист2!A$2:B$4,2,FALSE)</f>
        <v>792</v>
      </c>
      <c r="L3453" s="7" t="str">
        <f t="shared" si="214"/>
        <v>ГОТОВ_ИЗМЕНЕН</v>
      </c>
      <c r="M3453" s="7">
        <f t="shared" si="215"/>
        <v>0</v>
      </c>
    </row>
    <row r="3454" spans="1:13" x14ac:dyDescent="0.25">
      <c r="A3454" s="1">
        <v>945643</v>
      </c>
      <c r="B3454" s="6" t="s">
        <v>3604</v>
      </c>
      <c r="F3454" s="6" t="s">
        <v>9</v>
      </c>
      <c r="G3454" s="6" t="s">
        <v>34</v>
      </c>
      <c r="H3454" s="9" t="s">
        <v>35</v>
      </c>
      <c r="I3454" s="7" t="str">
        <f t="shared" si="212"/>
        <v>61001002000</v>
      </c>
      <c r="J3454" s="7" t="str">
        <f t="shared" si="213"/>
        <v>Материал по ЕГРН</v>
      </c>
      <c r="K3454" s="7">
        <f>VLOOKUP(J3454,Лист2!A$2:B$4,2,FALSE)</f>
        <v>792</v>
      </c>
      <c r="L3454" s="7" t="str">
        <f t="shared" si="214"/>
        <v>ГОТОВ_ИЗМЕНЕН</v>
      </c>
      <c r="M3454" s="7">
        <f t="shared" si="215"/>
        <v>0</v>
      </c>
    </row>
    <row r="3455" spans="1:13" x14ac:dyDescent="0.25">
      <c r="A3455" s="1">
        <v>945655</v>
      </c>
      <c r="B3455" s="6" t="s">
        <v>3605</v>
      </c>
      <c r="F3455" s="6" t="s">
        <v>9</v>
      </c>
      <c r="G3455" s="6" t="s">
        <v>38</v>
      </c>
      <c r="H3455" s="9" t="s">
        <v>33</v>
      </c>
      <c r="I3455" s="7" t="str">
        <f t="shared" si="212"/>
        <v>61001005000</v>
      </c>
      <c r="J3455" s="7" t="str">
        <f t="shared" si="213"/>
        <v>Материал по ЕГРН</v>
      </c>
      <c r="K3455" s="7">
        <f>VLOOKUP(J3455,Лист2!A$2:B$4,2,FALSE)</f>
        <v>792</v>
      </c>
      <c r="L3455" s="7" t="str">
        <f t="shared" si="214"/>
        <v>ГОТОВ_ИЗМЕНЕН</v>
      </c>
      <c r="M3455" s="7">
        <f t="shared" si="215"/>
        <v>0</v>
      </c>
    </row>
    <row r="3456" spans="1:13" x14ac:dyDescent="0.25">
      <c r="A3456" s="1">
        <v>945667</v>
      </c>
      <c r="B3456" s="6" t="s">
        <v>3606</v>
      </c>
      <c r="F3456" s="6" t="s">
        <v>9</v>
      </c>
      <c r="G3456" s="6" t="s">
        <v>34</v>
      </c>
      <c r="H3456" s="9" t="s">
        <v>35</v>
      </c>
      <c r="I3456" s="7" t="str">
        <f t="shared" si="212"/>
        <v>61001002000</v>
      </c>
      <c r="J3456" s="7" t="str">
        <f t="shared" si="213"/>
        <v>Материал по ЕГРН</v>
      </c>
      <c r="K3456" s="7">
        <f>VLOOKUP(J3456,Лист2!A$2:B$4,2,FALSE)</f>
        <v>792</v>
      </c>
      <c r="L3456" s="7" t="str">
        <f t="shared" si="214"/>
        <v>ГОТОВ_ИЗМЕНЕН</v>
      </c>
      <c r="M3456" s="7">
        <f t="shared" si="215"/>
        <v>0</v>
      </c>
    </row>
    <row r="3457" spans="1:13" x14ac:dyDescent="0.25">
      <c r="A3457" s="1">
        <v>945679</v>
      </c>
      <c r="B3457" s="6" t="s">
        <v>3607</v>
      </c>
      <c r="F3457" s="6" t="s">
        <v>9</v>
      </c>
      <c r="G3457" s="6" t="s">
        <v>34</v>
      </c>
      <c r="H3457" s="9" t="s">
        <v>35</v>
      </c>
      <c r="I3457" s="7" t="str">
        <f t="shared" si="212"/>
        <v>61001002000</v>
      </c>
      <c r="J3457" s="7" t="str">
        <f t="shared" si="213"/>
        <v>Материал по ЕГРН</v>
      </c>
      <c r="K3457" s="7">
        <f>VLOOKUP(J3457,Лист2!A$2:B$4,2,FALSE)</f>
        <v>792</v>
      </c>
      <c r="L3457" s="7" t="str">
        <f t="shared" si="214"/>
        <v>ГОТОВ_ИЗМЕНЕН</v>
      </c>
      <c r="M3457" s="7">
        <f t="shared" si="215"/>
        <v>0</v>
      </c>
    </row>
    <row r="3458" spans="1:13" x14ac:dyDescent="0.25">
      <c r="A3458" s="1">
        <v>945691</v>
      </c>
      <c r="B3458" s="6" t="s">
        <v>3608</v>
      </c>
      <c r="F3458" s="6" t="s">
        <v>9</v>
      </c>
      <c r="G3458" s="6" t="s">
        <v>38</v>
      </c>
      <c r="H3458" s="9" t="s">
        <v>33</v>
      </c>
      <c r="I3458" s="7" t="str">
        <f t="shared" si="212"/>
        <v>61001005000</v>
      </c>
      <c r="J3458" s="7" t="str">
        <f t="shared" si="213"/>
        <v>Материал по ЕГРН</v>
      </c>
      <c r="K3458" s="7">
        <f>VLOOKUP(J3458,Лист2!A$2:B$4,2,FALSE)</f>
        <v>792</v>
      </c>
      <c r="L3458" s="7" t="str">
        <f t="shared" si="214"/>
        <v>ГОТОВ_ИЗМЕНЕН</v>
      </c>
      <c r="M3458" s="7">
        <f t="shared" si="215"/>
        <v>0</v>
      </c>
    </row>
    <row r="3459" spans="1:13" x14ac:dyDescent="0.25">
      <c r="A3459" s="1">
        <v>945703</v>
      </c>
      <c r="B3459" s="6" t="s">
        <v>3609</v>
      </c>
      <c r="F3459" s="6" t="s">
        <v>9</v>
      </c>
      <c r="G3459" s="6" t="s">
        <v>38</v>
      </c>
      <c r="H3459" s="9" t="s">
        <v>33</v>
      </c>
      <c r="I3459" s="7" t="str">
        <f t="shared" si="212"/>
        <v>61001005000</v>
      </c>
      <c r="J3459" s="7" t="str">
        <f t="shared" si="213"/>
        <v>Материал по ЕГРН</v>
      </c>
      <c r="K3459" s="7">
        <f>VLOOKUP(J3459,Лист2!A$2:B$4,2,FALSE)</f>
        <v>792</v>
      </c>
      <c r="L3459" s="7" t="str">
        <f t="shared" si="214"/>
        <v>ГОТОВ_ИЗМЕНЕН</v>
      </c>
      <c r="M3459" s="7">
        <f t="shared" si="215"/>
        <v>0</v>
      </c>
    </row>
    <row r="3460" spans="1:13" x14ac:dyDescent="0.25">
      <c r="A3460" s="1">
        <v>945715</v>
      </c>
      <c r="B3460" s="6" t="s">
        <v>3610</v>
      </c>
      <c r="F3460" s="6" t="s">
        <v>9</v>
      </c>
      <c r="G3460" s="6" t="s">
        <v>59</v>
      </c>
      <c r="H3460" s="9" t="s">
        <v>60</v>
      </c>
      <c r="I3460" s="7" t="str">
        <f t="shared" si="212"/>
        <v>61001001001</v>
      </c>
      <c r="J3460" s="7" t="str">
        <f t="shared" si="213"/>
        <v>Материал по ЕГРН</v>
      </c>
      <c r="K3460" s="7">
        <f>VLOOKUP(J3460,Лист2!A$2:B$4,2,FALSE)</f>
        <v>792</v>
      </c>
      <c r="L3460" s="7" t="str">
        <f t="shared" si="214"/>
        <v>ГОТОВ_ИЗМЕНЕН</v>
      </c>
      <c r="M3460" s="7">
        <f t="shared" si="215"/>
        <v>0</v>
      </c>
    </row>
    <row r="3461" spans="1:13" x14ac:dyDescent="0.25">
      <c r="A3461" s="1">
        <v>945727</v>
      </c>
      <c r="B3461" s="6" t="s">
        <v>3611</v>
      </c>
      <c r="F3461" s="6" t="s">
        <v>9</v>
      </c>
      <c r="G3461" s="6" t="s">
        <v>62</v>
      </c>
      <c r="H3461" s="9" t="s">
        <v>63</v>
      </c>
      <c r="I3461" s="7" t="str">
        <f t="shared" ref="I3461:I3497" si="216">IF(LEN(H3461)=11,H3461,IF(LEN(H3461)=0,"61001005000","61001003000"))</f>
        <v>61001006002</v>
      </c>
      <c r="J3461" s="7" t="str">
        <f t="shared" ref="J3461:J3497" si="217">IF(LEN(H3461)=11,"Материал по ЕГРН",IF(LEN(H3461)=0,"Прочие по допущению","Смешанные по допущению"))</f>
        <v>Материал по ЕГРН</v>
      </c>
      <c r="K3461" s="7">
        <f>VLOOKUP(J3461,Лист2!A$2:B$4,2,FALSE)</f>
        <v>792</v>
      </c>
      <c r="L3461" s="7" t="str">
        <f t="shared" ref="L3461:L3497" si="218">IF(I3461=C3461,"ГОТОВ","ГОТОВ_ИЗМЕНЕН")</f>
        <v>ГОТОВ_ИЗМЕНЕН</v>
      </c>
      <c r="M3461" s="7">
        <f t="shared" ref="M3461:M3497" si="219">C3461</f>
        <v>0</v>
      </c>
    </row>
    <row r="3462" spans="1:13" x14ac:dyDescent="0.25">
      <c r="A3462" s="1">
        <v>945739</v>
      </c>
      <c r="B3462" s="6" t="s">
        <v>3612</v>
      </c>
      <c r="F3462" s="6" t="s">
        <v>9</v>
      </c>
      <c r="G3462" s="6" t="s">
        <v>10</v>
      </c>
      <c r="H3462" s="9" t="s">
        <v>11</v>
      </c>
      <c r="I3462" s="7" t="str">
        <f t="shared" si="216"/>
        <v>61001003000</v>
      </c>
      <c r="J3462" s="7" t="str">
        <f t="shared" si="217"/>
        <v>Материал по ЕГРН</v>
      </c>
      <c r="K3462" s="7">
        <f>VLOOKUP(J3462,Лист2!A$2:B$4,2,FALSE)</f>
        <v>792</v>
      </c>
      <c r="L3462" s="7" t="str">
        <f t="shared" si="218"/>
        <v>ГОТОВ_ИЗМЕНЕН</v>
      </c>
      <c r="M3462" s="7">
        <f t="shared" si="219"/>
        <v>0</v>
      </c>
    </row>
    <row r="3463" spans="1:13" x14ac:dyDescent="0.25">
      <c r="A3463" s="1">
        <v>945751</v>
      </c>
      <c r="B3463" s="6" t="s">
        <v>3613</v>
      </c>
      <c r="F3463" s="6" t="s">
        <v>9</v>
      </c>
      <c r="G3463" s="6" t="s">
        <v>34</v>
      </c>
      <c r="H3463" s="9" t="s">
        <v>35</v>
      </c>
      <c r="I3463" s="7" t="str">
        <f t="shared" si="216"/>
        <v>61001002000</v>
      </c>
      <c r="J3463" s="7" t="str">
        <f t="shared" si="217"/>
        <v>Материал по ЕГРН</v>
      </c>
      <c r="K3463" s="7">
        <f>VLOOKUP(J3463,Лист2!A$2:B$4,2,FALSE)</f>
        <v>792</v>
      </c>
      <c r="L3463" s="7" t="str">
        <f t="shared" si="218"/>
        <v>ГОТОВ_ИЗМЕНЕН</v>
      </c>
      <c r="M3463" s="7">
        <f t="shared" si="219"/>
        <v>0</v>
      </c>
    </row>
    <row r="3464" spans="1:13" x14ac:dyDescent="0.25">
      <c r="A3464" s="1">
        <v>945763</v>
      </c>
      <c r="B3464" s="6" t="s">
        <v>3614</v>
      </c>
      <c r="F3464" s="6" t="s">
        <v>9</v>
      </c>
      <c r="G3464" s="6" t="s">
        <v>149</v>
      </c>
      <c r="H3464" s="9" t="s">
        <v>150</v>
      </c>
      <c r="I3464" s="7" t="str">
        <f t="shared" si="216"/>
        <v>61001007000</v>
      </c>
      <c r="J3464" s="7" t="str">
        <f t="shared" si="217"/>
        <v>Материал по ЕГРН</v>
      </c>
      <c r="K3464" s="7">
        <f>VLOOKUP(J3464,Лист2!A$2:B$4,2,FALSE)</f>
        <v>792</v>
      </c>
      <c r="L3464" s="7" t="str">
        <f t="shared" si="218"/>
        <v>ГОТОВ_ИЗМЕНЕН</v>
      </c>
      <c r="M3464" s="7">
        <f t="shared" si="219"/>
        <v>0</v>
      </c>
    </row>
    <row r="3465" spans="1:13" x14ac:dyDescent="0.25">
      <c r="A3465" s="1">
        <v>945775</v>
      </c>
      <c r="B3465" s="6" t="s">
        <v>3615</v>
      </c>
      <c r="F3465" s="6" t="s">
        <v>9</v>
      </c>
      <c r="G3465" s="6" t="s">
        <v>38</v>
      </c>
      <c r="H3465" s="9" t="s">
        <v>33</v>
      </c>
      <c r="I3465" s="7" t="str">
        <f t="shared" si="216"/>
        <v>61001005000</v>
      </c>
      <c r="J3465" s="7" t="str">
        <f t="shared" si="217"/>
        <v>Материал по ЕГРН</v>
      </c>
      <c r="K3465" s="7">
        <f>VLOOKUP(J3465,Лист2!A$2:B$4,2,FALSE)</f>
        <v>792</v>
      </c>
      <c r="L3465" s="7" t="str">
        <f t="shared" si="218"/>
        <v>ГОТОВ_ИЗМЕНЕН</v>
      </c>
      <c r="M3465" s="7">
        <f t="shared" si="219"/>
        <v>0</v>
      </c>
    </row>
    <row r="3466" spans="1:13" x14ac:dyDescent="0.25">
      <c r="A3466" s="1">
        <v>257478</v>
      </c>
      <c r="B3466" s="6" t="s">
        <v>3616</v>
      </c>
      <c r="C3466" s="9" t="s">
        <v>35</v>
      </c>
      <c r="D3466" s="6" t="s">
        <v>20</v>
      </c>
      <c r="E3466" s="6" t="s">
        <v>8</v>
      </c>
      <c r="F3466" s="6" t="s">
        <v>9</v>
      </c>
      <c r="G3466" s="6" t="s">
        <v>38</v>
      </c>
      <c r="H3466" s="9" t="s">
        <v>33</v>
      </c>
      <c r="I3466" s="7" t="str">
        <f t="shared" si="216"/>
        <v>61001005000</v>
      </c>
      <c r="J3466" s="7" t="str">
        <f t="shared" si="217"/>
        <v>Материал по ЕГРН</v>
      </c>
      <c r="K3466" s="7">
        <f>VLOOKUP(J3466,Лист2!A$2:B$4,2,FALSE)</f>
        <v>792</v>
      </c>
      <c r="L3466" s="7" t="str">
        <f t="shared" si="218"/>
        <v>ГОТОВ_ИЗМЕНЕН</v>
      </c>
      <c r="M3466" s="7" t="str">
        <f t="shared" si="219"/>
        <v>61001002000</v>
      </c>
    </row>
    <row r="3467" spans="1:13" x14ac:dyDescent="0.25">
      <c r="A3467" s="1">
        <v>741994</v>
      </c>
      <c r="B3467" s="6" t="s">
        <v>3617</v>
      </c>
      <c r="C3467" s="9" t="s">
        <v>60</v>
      </c>
      <c r="D3467" s="6" t="s">
        <v>20</v>
      </c>
      <c r="E3467" s="6" t="s">
        <v>37</v>
      </c>
      <c r="F3467" s="6" t="s">
        <v>9</v>
      </c>
      <c r="G3467" s="6" t="s">
        <v>59</v>
      </c>
      <c r="H3467" s="9" t="s">
        <v>60</v>
      </c>
      <c r="I3467" s="7" t="str">
        <f t="shared" si="216"/>
        <v>61001001001</v>
      </c>
      <c r="J3467" s="7" t="str">
        <f t="shared" si="217"/>
        <v>Материал по ЕГРН</v>
      </c>
      <c r="K3467" s="7">
        <f>VLOOKUP(J3467,Лист2!A$2:B$4,2,FALSE)</f>
        <v>792</v>
      </c>
      <c r="L3467" s="7" t="str">
        <f t="shared" si="218"/>
        <v>ГОТОВ</v>
      </c>
      <c r="M3467" s="7" t="str">
        <f t="shared" si="219"/>
        <v>61001001001</v>
      </c>
    </row>
    <row r="3468" spans="1:13" x14ac:dyDescent="0.25">
      <c r="A3468" s="1">
        <v>944286</v>
      </c>
      <c r="B3468" s="6" t="s">
        <v>3618</v>
      </c>
      <c r="F3468" s="6" t="s">
        <v>9</v>
      </c>
      <c r="G3468" s="6" t="s">
        <v>10</v>
      </c>
      <c r="H3468" s="9" t="s">
        <v>11</v>
      </c>
      <c r="I3468" s="7" t="str">
        <f t="shared" si="216"/>
        <v>61001003000</v>
      </c>
      <c r="J3468" s="7" t="str">
        <f t="shared" si="217"/>
        <v>Материал по ЕГРН</v>
      </c>
      <c r="K3468" s="7">
        <f>VLOOKUP(J3468,Лист2!A$2:B$4,2,FALSE)</f>
        <v>792</v>
      </c>
      <c r="L3468" s="7" t="str">
        <f t="shared" si="218"/>
        <v>ГОТОВ_ИЗМЕНЕН</v>
      </c>
      <c r="M3468" s="7">
        <f t="shared" si="219"/>
        <v>0</v>
      </c>
    </row>
    <row r="3469" spans="1:13" x14ac:dyDescent="0.25">
      <c r="A3469" s="1">
        <v>944298</v>
      </c>
      <c r="B3469" s="6" t="s">
        <v>3619</v>
      </c>
      <c r="F3469" s="6" t="s">
        <v>9</v>
      </c>
      <c r="G3469" s="6" t="s">
        <v>62</v>
      </c>
      <c r="H3469" s="9" t="s">
        <v>63</v>
      </c>
      <c r="I3469" s="7" t="str">
        <f t="shared" si="216"/>
        <v>61001006002</v>
      </c>
      <c r="J3469" s="7" t="str">
        <f t="shared" si="217"/>
        <v>Материал по ЕГРН</v>
      </c>
      <c r="K3469" s="7">
        <f>VLOOKUP(J3469,Лист2!A$2:B$4,2,FALSE)</f>
        <v>792</v>
      </c>
      <c r="L3469" s="7" t="str">
        <f t="shared" si="218"/>
        <v>ГОТОВ_ИЗМЕНЕН</v>
      </c>
      <c r="M3469" s="7">
        <f t="shared" si="219"/>
        <v>0</v>
      </c>
    </row>
    <row r="3470" spans="1:13" x14ac:dyDescent="0.25">
      <c r="A3470" s="1">
        <v>944310</v>
      </c>
      <c r="B3470" s="6" t="s">
        <v>3620</v>
      </c>
      <c r="F3470" s="6" t="s">
        <v>9</v>
      </c>
      <c r="G3470" s="6" t="s">
        <v>180</v>
      </c>
      <c r="H3470" s="9" t="s">
        <v>181</v>
      </c>
      <c r="I3470" s="7" t="str">
        <f t="shared" si="216"/>
        <v>61001009000</v>
      </c>
      <c r="J3470" s="7" t="str">
        <f t="shared" si="217"/>
        <v>Материал по ЕГРН</v>
      </c>
      <c r="K3470" s="7">
        <f>VLOOKUP(J3470,Лист2!A$2:B$4,2,FALSE)</f>
        <v>792</v>
      </c>
      <c r="L3470" s="7" t="str">
        <f t="shared" si="218"/>
        <v>ГОТОВ_ИЗМЕНЕН</v>
      </c>
      <c r="M3470" s="7">
        <f t="shared" si="219"/>
        <v>0</v>
      </c>
    </row>
    <row r="3471" spans="1:13" x14ac:dyDescent="0.25">
      <c r="A3471" s="1">
        <v>944322</v>
      </c>
      <c r="B3471" s="6" t="s">
        <v>3621</v>
      </c>
      <c r="F3471" s="6" t="s">
        <v>9</v>
      </c>
      <c r="G3471" s="6" t="s">
        <v>34</v>
      </c>
      <c r="H3471" s="9" t="s">
        <v>35</v>
      </c>
      <c r="I3471" s="7" t="str">
        <f t="shared" si="216"/>
        <v>61001002000</v>
      </c>
      <c r="J3471" s="7" t="str">
        <f t="shared" si="217"/>
        <v>Материал по ЕГРН</v>
      </c>
      <c r="K3471" s="7">
        <f>VLOOKUP(J3471,Лист2!A$2:B$4,2,FALSE)</f>
        <v>792</v>
      </c>
      <c r="L3471" s="7" t="str">
        <f t="shared" si="218"/>
        <v>ГОТОВ_ИЗМЕНЕН</v>
      </c>
      <c r="M3471" s="7">
        <f t="shared" si="219"/>
        <v>0</v>
      </c>
    </row>
    <row r="3472" spans="1:13" x14ac:dyDescent="0.25">
      <c r="A3472" s="1">
        <v>944334</v>
      </c>
      <c r="B3472" s="6" t="s">
        <v>3622</v>
      </c>
      <c r="F3472" s="6" t="s">
        <v>9</v>
      </c>
      <c r="G3472" s="6" t="s">
        <v>62</v>
      </c>
      <c r="H3472" s="9" t="s">
        <v>63</v>
      </c>
      <c r="I3472" s="7" t="str">
        <f t="shared" si="216"/>
        <v>61001006002</v>
      </c>
      <c r="J3472" s="7" t="str">
        <f t="shared" si="217"/>
        <v>Материал по ЕГРН</v>
      </c>
      <c r="K3472" s="7">
        <f>VLOOKUP(J3472,Лист2!A$2:B$4,2,FALSE)</f>
        <v>792</v>
      </c>
      <c r="L3472" s="7" t="str">
        <f t="shared" si="218"/>
        <v>ГОТОВ_ИЗМЕНЕН</v>
      </c>
      <c r="M3472" s="7">
        <f t="shared" si="219"/>
        <v>0</v>
      </c>
    </row>
    <row r="3473" spans="1:13" x14ac:dyDescent="0.25">
      <c r="A3473" s="1">
        <v>944346</v>
      </c>
      <c r="B3473" s="6" t="s">
        <v>3623</v>
      </c>
      <c r="F3473" s="6" t="s">
        <v>9</v>
      </c>
      <c r="G3473" s="6" t="s">
        <v>38</v>
      </c>
      <c r="H3473" s="9" t="s">
        <v>33</v>
      </c>
      <c r="I3473" s="7" t="str">
        <f t="shared" si="216"/>
        <v>61001005000</v>
      </c>
      <c r="J3473" s="7" t="str">
        <f t="shared" si="217"/>
        <v>Материал по ЕГРН</v>
      </c>
      <c r="K3473" s="7">
        <f>VLOOKUP(J3473,Лист2!A$2:B$4,2,FALSE)</f>
        <v>792</v>
      </c>
      <c r="L3473" s="7" t="str">
        <f t="shared" si="218"/>
        <v>ГОТОВ_ИЗМЕНЕН</v>
      </c>
      <c r="M3473" s="7">
        <f t="shared" si="219"/>
        <v>0</v>
      </c>
    </row>
    <row r="3474" spans="1:13" x14ac:dyDescent="0.25">
      <c r="A3474" s="1">
        <v>944358</v>
      </c>
      <c r="B3474" s="6" t="s">
        <v>3624</v>
      </c>
      <c r="F3474" s="6" t="s">
        <v>9</v>
      </c>
      <c r="G3474" s="6" t="s">
        <v>38</v>
      </c>
      <c r="H3474" s="9" t="s">
        <v>33</v>
      </c>
      <c r="I3474" s="7" t="str">
        <f t="shared" si="216"/>
        <v>61001005000</v>
      </c>
      <c r="J3474" s="7" t="str">
        <f t="shared" si="217"/>
        <v>Материал по ЕГРН</v>
      </c>
      <c r="K3474" s="7">
        <f>VLOOKUP(J3474,Лист2!A$2:B$4,2,FALSE)</f>
        <v>792</v>
      </c>
      <c r="L3474" s="7" t="str">
        <f t="shared" si="218"/>
        <v>ГОТОВ_ИЗМЕНЕН</v>
      </c>
      <c r="M3474" s="7">
        <f t="shared" si="219"/>
        <v>0</v>
      </c>
    </row>
    <row r="3475" spans="1:13" x14ac:dyDescent="0.25">
      <c r="A3475" s="1">
        <v>944370</v>
      </c>
      <c r="B3475" s="6" t="s">
        <v>3625</v>
      </c>
      <c r="F3475" s="6" t="s">
        <v>9</v>
      </c>
      <c r="G3475" s="6" t="s">
        <v>38</v>
      </c>
      <c r="H3475" s="9" t="s">
        <v>33</v>
      </c>
      <c r="I3475" s="7" t="str">
        <f t="shared" si="216"/>
        <v>61001005000</v>
      </c>
      <c r="J3475" s="7" t="str">
        <f t="shared" si="217"/>
        <v>Материал по ЕГРН</v>
      </c>
      <c r="K3475" s="7">
        <f>VLOOKUP(J3475,Лист2!A$2:B$4,2,FALSE)</f>
        <v>792</v>
      </c>
      <c r="L3475" s="7" t="str">
        <f t="shared" si="218"/>
        <v>ГОТОВ_ИЗМЕНЕН</v>
      </c>
      <c r="M3475" s="7">
        <f t="shared" si="219"/>
        <v>0</v>
      </c>
    </row>
    <row r="3476" spans="1:13" x14ac:dyDescent="0.25">
      <c r="A3476" s="1">
        <v>944382</v>
      </c>
      <c r="B3476" s="6" t="s">
        <v>3626</v>
      </c>
      <c r="F3476" s="6" t="s">
        <v>9</v>
      </c>
      <c r="G3476" s="6" t="s">
        <v>3109</v>
      </c>
      <c r="H3476" s="9" t="s">
        <v>3110</v>
      </c>
      <c r="I3476" s="7" t="str">
        <f t="shared" si="216"/>
        <v>61001003000</v>
      </c>
      <c r="J3476" s="7" t="str">
        <f t="shared" si="217"/>
        <v>Смешанные по допущению</v>
      </c>
      <c r="K3476" s="7">
        <f>VLOOKUP(J3476,Лист2!A$2:B$4,2,FALSE)</f>
        <v>793</v>
      </c>
      <c r="L3476" s="7" t="str">
        <f t="shared" si="218"/>
        <v>ГОТОВ_ИЗМЕНЕН</v>
      </c>
      <c r="M3476" s="7">
        <f t="shared" si="219"/>
        <v>0</v>
      </c>
    </row>
    <row r="3477" spans="1:13" x14ac:dyDescent="0.25">
      <c r="A3477" s="1">
        <v>944394</v>
      </c>
      <c r="B3477" s="6" t="s">
        <v>3627</v>
      </c>
      <c r="F3477" s="6" t="s">
        <v>9</v>
      </c>
      <c r="G3477" s="6" t="s">
        <v>73</v>
      </c>
      <c r="H3477" s="9" t="s">
        <v>74</v>
      </c>
      <c r="I3477" s="7" t="str">
        <f t="shared" si="216"/>
        <v>61001006000</v>
      </c>
      <c r="J3477" s="7" t="str">
        <f t="shared" si="217"/>
        <v>Материал по ЕГРН</v>
      </c>
      <c r="K3477" s="7">
        <f>VLOOKUP(J3477,Лист2!A$2:B$4,2,FALSE)</f>
        <v>792</v>
      </c>
      <c r="L3477" s="7" t="str">
        <f t="shared" si="218"/>
        <v>ГОТОВ_ИЗМЕНЕН</v>
      </c>
      <c r="M3477" s="7">
        <f t="shared" si="219"/>
        <v>0</v>
      </c>
    </row>
    <row r="3478" spans="1:13" x14ac:dyDescent="0.25">
      <c r="A3478" s="1">
        <v>944406</v>
      </c>
      <c r="B3478" s="6" t="s">
        <v>3628</v>
      </c>
      <c r="F3478" s="6" t="s">
        <v>9</v>
      </c>
      <c r="G3478" s="6" t="s">
        <v>10</v>
      </c>
      <c r="H3478" s="9" t="s">
        <v>11</v>
      </c>
      <c r="I3478" s="7" t="str">
        <f t="shared" si="216"/>
        <v>61001003000</v>
      </c>
      <c r="J3478" s="7" t="str">
        <f t="shared" si="217"/>
        <v>Материал по ЕГРН</v>
      </c>
      <c r="K3478" s="7">
        <f>VLOOKUP(J3478,Лист2!A$2:B$4,2,FALSE)</f>
        <v>792</v>
      </c>
      <c r="L3478" s="7" t="str">
        <f t="shared" si="218"/>
        <v>ГОТОВ_ИЗМЕНЕН</v>
      </c>
      <c r="M3478" s="7">
        <f t="shared" si="219"/>
        <v>0</v>
      </c>
    </row>
    <row r="3479" spans="1:13" x14ac:dyDescent="0.25">
      <c r="A3479" s="1">
        <v>944418</v>
      </c>
      <c r="B3479" s="6" t="s">
        <v>3629</v>
      </c>
      <c r="F3479" s="6" t="s">
        <v>9</v>
      </c>
      <c r="G3479" s="6" t="s">
        <v>90</v>
      </c>
      <c r="H3479" s="9" t="s">
        <v>12</v>
      </c>
      <c r="I3479" s="7" t="str">
        <f t="shared" si="216"/>
        <v>61001008000</v>
      </c>
      <c r="J3479" s="7" t="str">
        <f t="shared" si="217"/>
        <v>Материал по ЕГРН</v>
      </c>
      <c r="K3479" s="7">
        <f>VLOOKUP(J3479,Лист2!A$2:B$4,2,FALSE)</f>
        <v>792</v>
      </c>
      <c r="L3479" s="7" t="str">
        <f t="shared" si="218"/>
        <v>ГОТОВ_ИЗМЕНЕН</v>
      </c>
      <c r="M3479" s="7">
        <f t="shared" si="219"/>
        <v>0</v>
      </c>
    </row>
    <row r="3480" spans="1:13" x14ac:dyDescent="0.25">
      <c r="A3480" s="1">
        <v>944430</v>
      </c>
      <c r="B3480" s="6" t="s">
        <v>3630</v>
      </c>
      <c r="F3480" s="6" t="s">
        <v>9</v>
      </c>
      <c r="G3480" s="6" t="s">
        <v>38</v>
      </c>
      <c r="H3480" s="9" t="s">
        <v>33</v>
      </c>
      <c r="I3480" s="7" t="str">
        <f t="shared" si="216"/>
        <v>61001005000</v>
      </c>
      <c r="J3480" s="7" t="str">
        <f t="shared" si="217"/>
        <v>Материал по ЕГРН</v>
      </c>
      <c r="K3480" s="7">
        <f>VLOOKUP(J3480,Лист2!A$2:B$4,2,FALSE)</f>
        <v>792</v>
      </c>
      <c r="L3480" s="7" t="str">
        <f t="shared" si="218"/>
        <v>ГОТОВ_ИЗМЕНЕН</v>
      </c>
      <c r="M3480" s="7">
        <f t="shared" si="219"/>
        <v>0</v>
      </c>
    </row>
    <row r="3481" spans="1:13" x14ac:dyDescent="0.25">
      <c r="A3481" s="1">
        <v>944442</v>
      </c>
      <c r="B3481" s="6" t="s">
        <v>3631</v>
      </c>
      <c r="F3481" s="6" t="s">
        <v>9</v>
      </c>
      <c r="G3481" s="6" t="s">
        <v>34</v>
      </c>
      <c r="H3481" s="9" t="s">
        <v>35</v>
      </c>
      <c r="I3481" s="7" t="str">
        <f t="shared" si="216"/>
        <v>61001002000</v>
      </c>
      <c r="J3481" s="7" t="str">
        <f t="shared" si="217"/>
        <v>Материал по ЕГРН</v>
      </c>
      <c r="K3481" s="7">
        <f>VLOOKUP(J3481,Лист2!A$2:B$4,2,FALSE)</f>
        <v>792</v>
      </c>
      <c r="L3481" s="7" t="str">
        <f t="shared" si="218"/>
        <v>ГОТОВ_ИЗМЕНЕН</v>
      </c>
      <c r="M3481" s="7">
        <f t="shared" si="219"/>
        <v>0</v>
      </c>
    </row>
    <row r="3482" spans="1:13" x14ac:dyDescent="0.25">
      <c r="A3482" s="1">
        <v>944454</v>
      </c>
      <c r="B3482" s="6" t="s">
        <v>3632</v>
      </c>
      <c r="F3482" s="6" t="s">
        <v>9</v>
      </c>
      <c r="G3482" s="6" t="s">
        <v>10</v>
      </c>
      <c r="H3482" s="9" t="s">
        <v>11</v>
      </c>
      <c r="I3482" s="7" t="str">
        <f t="shared" si="216"/>
        <v>61001003000</v>
      </c>
      <c r="J3482" s="7" t="str">
        <f t="shared" si="217"/>
        <v>Материал по ЕГРН</v>
      </c>
      <c r="K3482" s="7">
        <f>VLOOKUP(J3482,Лист2!A$2:B$4,2,FALSE)</f>
        <v>792</v>
      </c>
      <c r="L3482" s="7" t="str">
        <f t="shared" si="218"/>
        <v>ГОТОВ_ИЗМЕНЕН</v>
      </c>
      <c r="M3482" s="7">
        <f t="shared" si="219"/>
        <v>0</v>
      </c>
    </row>
    <row r="3483" spans="1:13" x14ac:dyDescent="0.25">
      <c r="A3483" s="1">
        <v>944466</v>
      </c>
      <c r="B3483" s="6" t="s">
        <v>3633</v>
      </c>
      <c r="F3483" s="6" t="s">
        <v>9</v>
      </c>
      <c r="G3483" s="6" t="s">
        <v>59</v>
      </c>
      <c r="H3483" s="9" t="s">
        <v>60</v>
      </c>
      <c r="I3483" s="7" t="str">
        <f t="shared" si="216"/>
        <v>61001001001</v>
      </c>
      <c r="J3483" s="7" t="str">
        <f t="shared" si="217"/>
        <v>Материал по ЕГРН</v>
      </c>
      <c r="K3483" s="7">
        <f>VLOOKUP(J3483,Лист2!A$2:B$4,2,FALSE)</f>
        <v>792</v>
      </c>
      <c r="L3483" s="7" t="str">
        <f t="shared" si="218"/>
        <v>ГОТОВ_ИЗМЕНЕН</v>
      </c>
      <c r="M3483" s="7">
        <f t="shared" si="219"/>
        <v>0</v>
      </c>
    </row>
    <row r="3484" spans="1:13" x14ac:dyDescent="0.25">
      <c r="A3484" s="1">
        <v>944478</v>
      </c>
      <c r="B3484" s="6" t="s">
        <v>3634</v>
      </c>
      <c r="F3484" s="6" t="s">
        <v>9</v>
      </c>
      <c r="G3484" s="6" t="s">
        <v>90</v>
      </c>
      <c r="H3484" s="9" t="s">
        <v>12</v>
      </c>
      <c r="I3484" s="7" t="str">
        <f t="shared" si="216"/>
        <v>61001008000</v>
      </c>
      <c r="J3484" s="7" t="str">
        <f t="shared" si="217"/>
        <v>Материал по ЕГРН</v>
      </c>
      <c r="K3484" s="7">
        <f>VLOOKUP(J3484,Лист2!A$2:B$4,2,FALSE)</f>
        <v>792</v>
      </c>
      <c r="L3484" s="7" t="str">
        <f t="shared" si="218"/>
        <v>ГОТОВ_ИЗМЕНЕН</v>
      </c>
      <c r="M3484" s="7">
        <f t="shared" si="219"/>
        <v>0</v>
      </c>
    </row>
    <row r="3485" spans="1:13" x14ac:dyDescent="0.25">
      <c r="A3485" s="1">
        <v>944490</v>
      </c>
      <c r="B3485" s="6" t="s">
        <v>3635</v>
      </c>
      <c r="F3485" s="6" t="s">
        <v>9</v>
      </c>
      <c r="G3485" s="6" t="s">
        <v>38</v>
      </c>
      <c r="H3485" s="9" t="s">
        <v>33</v>
      </c>
      <c r="I3485" s="7" t="str">
        <f t="shared" si="216"/>
        <v>61001005000</v>
      </c>
      <c r="J3485" s="7" t="str">
        <f t="shared" si="217"/>
        <v>Материал по ЕГРН</v>
      </c>
      <c r="K3485" s="7">
        <f>VLOOKUP(J3485,Лист2!A$2:B$4,2,FALSE)</f>
        <v>792</v>
      </c>
      <c r="L3485" s="7" t="str">
        <f t="shared" si="218"/>
        <v>ГОТОВ_ИЗМЕНЕН</v>
      </c>
      <c r="M3485" s="7">
        <f t="shared" si="219"/>
        <v>0</v>
      </c>
    </row>
    <row r="3486" spans="1:13" x14ac:dyDescent="0.25">
      <c r="A3486" s="1">
        <v>944502</v>
      </c>
      <c r="B3486" s="6" t="s">
        <v>3636</v>
      </c>
      <c r="F3486" s="6" t="s">
        <v>9</v>
      </c>
      <c r="G3486" s="6" t="s">
        <v>10</v>
      </c>
      <c r="H3486" s="9" t="s">
        <v>11</v>
      </c>
      <c r="I3486" s="7" t="str">
        <f t="shared" si="216"/>
        <v>61001003000</v>
      </c>
      <c r="J3486" s="7" t="str">
        <f t="shared" si="217"/>
        <v>Материал по ЕГРН</v>
      </c>
      <c r="K3486" s="7">
        <f>VLOOKUP(J3486,Лист2!A$2:B$4,2,FALSE)</f>
        <v>792</v>
      </c>
      <c r="L3486" s="7" t="str">
        <f t="shared" si="218"/>
        <v>ГОТОВ_ИЗМЕНЕН</v>
      </c>
      <c r="M3486" s="7">
        <f t="shared" si="219"/>
        <v>0</v>
      </c>
    </row>
    <row r="3487" spans="1:13" x14ac:dyDescent="0.25">
      <c r="A3487" s="1">
        <v>944514</v>
      </c>
      <c r="B3487" s="6" t="s">
        <v>3637</v>
      </c>
      <c r="F3487" s="6" t="s">
        <v>9</v>
      </c>
      <c r="G3487" s="6" t="s">
        <v>38</v>
      </c>
      <c r="H3487" s="9" t="s">
        <v>33</v>
      </c>
      <c r="I3487" s="7" t="str">
        <f t="shared" si="216"/>
        <v>61001005000</v>
      </c>
      <c r="J3487" s="7" t="str">
        <f t="shared" si="217"/>
        <v>Материал по ЕГРН</v>
      </c>
      <c r="K3487" s="7">
        <f>VLOOKUP(J3487,Лист2!A$2:B$4,2,FALSE)</f>
        <v>792</v>
      </c>
      <c r="L3487" s="7" t="str">
        <f t="shared" si="218"/>
        <v>ГОТОВ_ИЗМЕНЕН</v>
      </c>
      <c r="M3487" s="7">
        <f t="shared" si="219"/>
        <v>0</v>
      </c>
    </row>
    <row r="3488" spans="1:13" x14ac:dyDescent="0.25">
      <c r="A3488" s="1">
        <v>944526</v>
      </c>
      <c r="B3488" s="6" t="s">
        <v>3638</v>
      </c>
      <c r="F3488" s="6" t="s">
        <v>9</v>
      </c>
      <c r="G3488" s="6" t="s">
        <v>59</v>
      </c>
      <c r="H3488" s="9" t="s">
        <v>60</v>
      </c>
      <c r="I3488" s="7" t="str">
        <f t="shared" si="216"/>
        <v>61001001001</v>
      </c>
      <c r="J3488" s="7" t="str">
        <f t="shared" si="217"/>
        <v>Материал по ЕГРН</v>
      </c>
      <c r="K3488" s="7">
        <f>VLOOKUP(J3488,Лист2!A$2:B$4,2,FALSE)</f>
        <v>792</v>
      </c>
      <c r="L3488" s="7" t="str">
        <f t="shared" si="218"/>
        <v>ГОТОВ_ИЗМЕНЕН</v>
      </c>
      <c r="M3488" s="7">
        <f t="shared" si="219"/>
        <v>0</v>
      </c>
    </row>
    <row r="3489" spans="1:13" x14ac:dyDescent="0.25">
      <c r="A3489" s="1">
        <v>944538</v>
      </c>
      <c r="B3489" s="6" t="s">
        <v>3639</v>
      </c>
      <c r="F3489" s="6" t="s">
        <v>9</v>
      </c>
      <c r="G3489" s="6" t="s">
        <v>59</v>
      </c>
      <c r="H3489" s="9" t="s">
        <v>60</v>
      </c>
      <c r="I3489" s="7" t="str">
        <f t="shared" si="216"/>
        <v>61001001001</v>
      </c>
      <c r="J3489" s="7" t="str">
        <f t="shared" si="217"/>
        <v>Материал по ЕГРН</v>
      </c>
      <c r="K3489" s="7">
        <f>VLOOKUP(J3489,Лист2!A$2:B$4,2,FALSE)</f>
        <v>792</v>
      </c>
      <c r="L3489" s="7" t="str">
        <f t="shared" si="218"/>
        <v>ГОТОВ_ИЗМЕНЕН</v>
      </c>
      <c r="M3489" s="7">
        <f t="shared" si="219"/>
        <v>0</v>
      </c>
    </row>
    <row r="3490" spans="1:13" x14ac:dyDescent="0.25">
      <c r="A3490" s="1">
        <v>944550</v>
      </c>
      <c r="B3490" s="6" t="s">
        <v>3640</v>
      </c>
      <c r="F3490" s="6" t="s">
        <v>9</v>
      </c>
      <c r="G3490" s="6" t="s">
        <v>139</v>
      </c>
      <c r="H3490" s="9" t="s">
        <v>140</v>
      </c>
      <c r="I3490" s="7" t="str">
        <f t="shared" si="216"/>
        <v>61001999000</v>
      </c>
      <c r="J3490" s="7" t="str">
        <f t="shared" si="217"/>
        <v>Материал по ЕГРН</v>
      </c>
      <c r="K3490" s="7">
        <f>VLOOKUP(J3490,Лист2!A$2:B$4,2,FALSE)</f>
        <v>792</v>
      </c>
      <c r="L3490" s="7" t="str">
        <f t="shared" si="218"/>
        <v>ГОТОВ_ИЗМЕНЕН</v>
      </c>
      <c r="M3490" s="7">
        <f t="shared" si="219"/>
        <v>0</v>
      </c>
    </row>
    <row r="3491" spans="1:13" x14ac:dyDescent="0.25">
      <c r="A3491" s="1">
        <v>944562</v>
      </c>
      <c r="B3491" s="6" t="s">
        <v>3641</v>
      </c>
      <c r="F3491" s="6" t="s">
        <v>9</v>
      </c>
      <c r="G3491" s="6" t="s">
        <v>59</v>
      </c>
      <c r="H3491" s="9" t="s">
        <v>60</v>
      </c>
      <c r="I3491" s="7" t="str">
        <f t="shared" si="216"/>
        <v>61001001001</v>
      </c>
      <c r="J3491" s="7" t="str">
        <f t="shared" si="217"/>
        <v>Материал по ЕГРН</v>
      </c>
      <c r="K3491" s="7">
        <f>VLOOKUP(J3491,Лист2!A$2:B$4,2,FALSE)</f>
        <v>792</v>
      </c>
      <c r="L3491" s="7" t="str">
        <f t="shared" si="218"/>
        <v>ГОТОВ_ИЗМЕНЕН</v>
      </c>
      <c r="M3491" s="7">
        <f t="shared" si="219"/>
        <v>0</v>
      </c>
    </row>
    <row r="3492" spans="1:13" x14ac:dyDescent="0.25">
      <c r="A3492" s="1">
        <v>944574</v>
      </c>
      <c r="B3492" s="6" t="s">
        <v>3642</v>
      </c>
      <c r="F3492" s="6" t="s">
        <v>9</v>
      </c>
      <c r="G3492" s="6" t="s">
        <v>59</v>
      </c>
      <c r="H3492" s="9" t="s">
        <v>60</v>
      </c>
      <c r="I3492" s="7" t="str">
        <f t="shared" si="216"/>
        <v>61001001001</v>
      </c>
      <c r="J3492" s="7" t="str">
        <f t="shared" si="217"/>
        <v>Материал по ЕГРН</v>
      </c>
      <c r="K3492" s="7">
        <f>VLOOKUP(J3492,Лист2!A$2:B$4,2,FALSE)</f>
        <v>792</v>
      </c>
      <c r="L3492" s="7" t="str">
        <f t="shared" si="218"/>
        <v>ГОТОВ_ИЗМЕНЕН</v>
      </c>
      <c r="M3492" s="7">
        <f t="shared" si="219"/>
        <v>0</v>
      </c>
    </row>
    <row r="3493" spans="1:13" x14ac:dyDescent="0.25">
      <c r="A3493" s="1">
        <v>944586</v>
      </c>
      <c r="B3493" s="6" t="s">
        <v>3643</v>
      </c>
      <c r="F3493" s="6" t="s">
        <v>9</v>
      </c>
      <c r="G3493" s="6" t="s">
        <v>10</v>
      </c>
      <c r="H3493" s="9" t="s">
        <v>11</v>
      </c>
      <c r="I3493" s="7" t="str">
        <f t="shared" si="216"/>
        <v>61001003000</v>
      </c>
      <c r="J3493" s="7" t="str">
        <f t="shared" si="217"/>
        <v>Материал по ЕГРН</v>
      </c>
      <c r="K3493" s="7">
        <f>VLOOKUP(J3493,Лист2!A$2:B$4,2,FALSE)</f>
        <v>792</v>
      </c>
      <c r="L3493" s="7" t="str">
        <f t="shared" si="218"/>
        <v>ГОТОВ_ИЗМЕНЕН</v>
      </c>
      <c r="M3493" s="7">
        <f t="shared" si="219"/>
        <v>0</v>
      </c>
    </row>
    <row r="3494" spans="1:13" x14ac:dyDescent="0.25">
      <c r="A3494" s="1">
        <v>944598</v>
      </c>
      <c r="B3494" s="6" t="s">
        <v>3644</v>
      </c>
      <c r="F3494" s="6" t="s">
        <v>9</v>
      </c>
      <c r="G3494" s="6" t="s">
        <v>38</v>
      </c>
      <c r="H3494" s="9" t="s">
        <v>33</v>
      </c>
      <c r="I3494" s="7" t="str">
        <f t="shared" si="216"/>
        <v>61001005000</v>
      </c>
      <c r="J3494" s="7" t="str">
        <f t="shared" si="217"/>
        <v>Материал по ЕГРН</v>
      </c>
      <c r="K3494" s="7">
        <f>VLOOKUP(J3494,Лист2!A$2:B$4,2,FALSE)</f>
        <v>792</v>
      </c>
      <c r="L3494" s="7" t="str">
        <f t="shared" si="218"/>
        <v>ГОТОВ_ИЗМЕНЕН</v>
      </c>
      <c r="M3494" s="7">
        <f t="shared" si="219"/>
        <v>0</v>
      </c>
    </row>
    <row r="3495" spans="1:13" x14ac:dyDescent="0.25">
      <c r="A3495" s="1">
        <v>944610</v>
      </c>
      <c r="B3495" s="6" t="s">
        <v>3645</v>
      </c>
      <c r="F3495" s="6" t="s">
        <v>9</v>
      </c>
      <c r="G3495" s="6" t="s">
        <v>38</v>
      </c>
      <c r="H3495" s="9" t="s">
        <v>33</v>
      </c>
      <c r="I3495" s="7" t="str">
        <f t="shared" si="216"/>
        <v>61001005000</v>
      </c>
      <c r="J3495" s="7" t="str">
        <f t="shared" si="217"/>
        <v>Материал по ЕГРН</v>
      </c>
      <c r="K3495" s="7">
        <f>VLOOKUP(J3495,Лист2!A$2:B$4,2,FALSE)</f>
        <v>792</v>
      </c>
      <c r="L3495" s="7" t="str">
        <f t="shared" si="218"/>
        <v>ГОТОВ_ИЗМЕНЕН</v>
      </c>
      <c r="M3495" s="7">
        <f t="shared" si="219"/>
        <v>0</v>
      </c>
    </row>
    <row r="3496" spans="1:13" x14ac:dyDescent="0.25">
      <c r="A3496" s="1">
        <v>944622</v>
      </c>
      <c r="B3496" s="6" t="s">
        <v>3646</v>
      </c>
      <c r="F3496" s="6" t="s">
        <v>9</v>
      </c>
      <c r="G3496" s="6" t="s">
        <v>38</v>
      </c>
      <c r="H3496" s="9" t="s">
        <v>33</v>
      </c>
      <c r="I3496" s="7" t="str">
        <f t="shared" si="216"/>
        <v>61001005000</v>
      </c>
      <c r="J3496" s="7" t="str">
        <f t="shared" si="217"/>
        <v>Материал по ЕГРН</v>
      </c>
      <c r="K3496" s="7">
        <f>VLOOKUP(J3496,Лист2!A$2:B$4,2,FALSE)</f>
        <v>792</v>
      </c>
      <c r="L3496" s="7" t="str">
        <f t="shared" si="218"/>
        <v>ГОТОВ_ИЗМЕНЕН</v>
      </c>
      <c r="M3496" s="7">
        <f t="shared" si="219"/>
        <v>0</v>
      </c>
    </row>
    <row r="3497" spans="1:13" x14ac:dyDescent="0.25">
      <c r="A3497" s="1">
        <v>944634</v>
      </c>
      <c r="B3497" s="6" t="s">
        <v>3647</v>
      </c>
      <c r="F3497" s="6" t="s">
        <v>9</v>
      </c>
      <c r="G3497" s="6" t="s">
        <v>62</v>
      </c>
      <c r="H3497" s="9" t="s">
        <v>63</v>
      </c>
      <c r="I3497" s="7" t="str">
        <f t="shared" si="216"/>
        <v>61001006002</v>
      </c>
      <c r="J3497" s="7" t="str">
        <f t="shared" si="217"/>
        <v>Материал по ЕГРН</v>
      </c>
      <c r="K3497" s="7">
        <f>VLOOKUP(J3497,Лист2!A$2:B$4,2,FALSE)</f>
        <v>792</v>
      </c>
      <c r="L3497" s="7" t="str">
        <f t="shared" si="218"/>
        <v>ГОТОВ_ИЗМЕНЕН</v>
      </c>
      <c r="M3497" s="7">
        <f t="shared" si="219"/>
        <v>0</v>
      </c>
    </row>
  </sheetData>
  <autoFilter ref="A1:L4" xr:uid="{00000000-0009-0000-0000-000000000000}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688"/>
  <sheetViews>
    <sheetView workbookViewId="0"/>
  </sheetViews>
  <sheetFormatPr defaultRowHeight="15" x14ac:dyDescent="0.25"/>
  <cols>
    <col min="1" max="1" width="26.5703125" style="1" customWidth="1"/>
  </cols>
  <sheetData>
    <row r="1" spans="1:2" x14ac:dyDescent="0.25">
      <c r="A1" s="1" t="s">
        <v>13</v>
      </c>
    </row>
    <row r="2" spans="1:2" x14ac:dyDescent="0.25">
      <c r="A2" s="4" t="s">
        <v>14</v>
      </c>
      <c r="B2" s="3">
        <v>792</v>
      </c>
    </row>
    <row r="3" spans="1:2" x14ac:dyDescent="0.25">
      <c r="A3" s="4" t="s">
        <v>15</v>
      </c>
      <c r="B3" s="3">
        <v>793</v>
      </c>
    </row>
    <row r="4" spans="1:2" x14ac:dyDescent="0.25">
      <c r="A4" s="4" t="s">
        <v>16</v>
      </c>
      <c r="B4" s="3">
        <v>794</v>
      </c>
    </row>
    <row r="5" spans="1:2" x14ac:dyDescent="0.25">
      <c r="A5"/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</vt:lpstr>
      <vt:lpstr>Лист2</vt:lpstr>
    </vt:vector>
  </TitlesOfParts>
  <Company>ГБУ СО ЦГКО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2019-12-17T09:05:39Z</dcterms:created>
  <dcterms:modified xsi:type="dcterms:W3CDTF">2023-03-14T17:27:45Z</dcterms:modified>
</cp:coreProperties>
</file>